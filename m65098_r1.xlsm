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MPEG\144\WG4 contribution 撰寫\"/>
    </mc:Choice>
  </mc:AlternateContent>
  <xr:revisionPtr revIDLastSave="0" documentId="13_ncr:1_{2D81BD21-D538-43BE-8329-73A693001D55}" xr6:coauthVersionLast="36" xr6:coauthVersionMax="47" xr10:uidLastSave="{00000000-0000-0000-0000-000000000000}"/>
  <bookViews>
    <workbookView xWindow="0" yWindow="0" windowWidth="28800" windowHeight="12060" activeTab="6" xr2:uid="{00000000-000D-0000-FFFF-FFFF00000000}"/>
  </bookViews>
  <sheets>
    <sheet name="Summary" sheetId="35" r:id="rId1"/>
    <sheet name="SFU-HW_RA" sheetId="44" r:id="rId2"/>
    <sheet name="SFU-HW_LD" sheetId="59" r:id="rId3"/>
    <sheet name="SFU-HW_AI" sheetId="58" r:id="rId4"/>
    <sheet name="TVD_RA" sheetId="55" r:id="rId5"/>
    <sheet name="TVD_LD" sheetId="56" r:id="rId6"/>
    <sheet name="TVD_AI" sheetId="57" r:id="rId7"/>
    <sheet name="Image_AI" sheetId="51" r:id="rId8"/>
    <sheet name="R-D Curve" sheetId="40" r:id="rId9"/>
    <sheet name="Pareto_SFU" sheetId="45" state="hidden" r:id="rId10"/>
    <sheet name="Pareto_TVD" sheetId="41" state="hidden" r:id="rId11"/>
    <sheet name="Pareto_Image" sheetId="52" state="hidden" r:id="rId12"/>
  </sheets>
  <functionGroups builtInGroupCount="19"/>
  <definedNames>
    <definedName name="_xlnm._FilterDatabase" localSheetId="8" hidden="1">'R-D Curve'!$A$106:$C$107</definedName>
    <definedName name="Action_Recognition">'R-D Curve'!$AG$4</definedName>
    <definedName name="Instance_Segmentation">'R-D Curve'!$AD$4:$AD$5</definedName>
    <definedName name="Object_Detection">'R-D Curve'!$AC$4:$AC$6</definedName>
    <definedName name="Object_Segmentation">'R-D Curve'!$AD$4:$AD$7</definedName>
    <definedName name="Object_Tracking">'R-D Curve'!$AE$4:$AE$5</definedName>
    <definedName name="Pose_Estimation">'R-D Curve'!$AF$4</definedName>
    <definedName name="SFU_HW_classes">'R-D Curve'!#REF!</definedName>
    <definedName name="SFU_HW_sequences">'R-D Curve'!$AA$15</definedName>
  </definedNames>
  <calcPr calcId="191029"/>
</workbook>
</file>

<file path=xl/calcChain.xml><?xml version="1.0" encoding="utf-8"?>
<calcChain xmlns="http://schemas.openxmlformats.org/spreadsheetml/2006/main">
  <c r="N90" i="58" l="1"/>
  <c r="N89" i="58"/>
  <c r="N91" i="58"/>
  <c r="N92" i="58"/>
  <c r="N93" i="58"/>
  <c r="N88" i="58"/>
  <c r="M88" i="58"/>
  <c r="E92" i="58"/>
  <c r="E91" i="58"/>
  <c r="E90" i="58"/>
  <c r="E89" i="58"/>
  <c r="E88" i="58"/>
  <c r="E93" i="58"/>
  <c r="D88" i="58"/>
  <c r="N93" i="59"/>
  <c r="N92" i="59"/>
  <c r="N91" i="59"/>
  <c r="N90" i="59"/>
  <c r="N89" i="59"/>
  <c r="N88" i="59"/>
  <c r="M89" i="59"/>
  <c r="M88" i="59"/>
  <c r="E89" i="59"/>
  <c r="E90" i="59"/>
  <c r="E91" i="59"/>
  <c r="E92" i="59"/>
  <c r="E93" i="59"/>
  <c r="E88" i="59"/>
  <c r="D90" i="59"/>
  <c r="D89" i="59"/>
  <c r="D88" i="59"/>
  <c r="D88" i="44"/>
  <c r="N93" i="44"/>
  <c r="N92" i="44"/>
  <c r="N91" i="44"/>
  <c r="N90" i="44"/>
  <c r="N89" i="44"/>
  <c r="N88" i="44"/>
  <c r="M89" i="44"/>
  <c r="M88" i="44"/>
  <c r="E93" i="44"/>
  <c r="E92" i="44"/>
  <c r="E91" i="44"/>
  <c r="E90" i="44"/>
  <c r="E89" i="44"/>
  <c r="E88" i="44"/>
  <c r="D90" i="44"/>
  <c r="D89" i="44"/>
  <c r="X76" i="44"/>
  <c r="X88" i="44"/>
  <c r="X100" i="44" l="1"/>
  <c r="C11" i="35" s="1"/>
  <c r="D2" i="44"/>
  <c r="M93" i="58" l="1"/>
  <c r="D93" i="58"/>
  <c r="M92" i="58"/>
  <c r="D92" i="58"/>
  <c r="M91" i="58"/>
  <c r="D91" i="58"/>
  <c r="M90" i="58"/>
  <c r="D90" i="58"/>
  <c r="M89" i="58"/>
  <c r="D89" i="58"/>
  <c r="M93" i="59"/>
  <c r="D93" i="59"/>
  <c r="M92" i="59"/>
  <c r="D92" i="59"/>
  <c r="M91" i="59"/>
  <c r="D91" i="59"/>
  <c r="M90" i="59"/>
  <c r="M93" i="44"/>
  <c r="M92" i="44"/>
  <c r="M91" i="44"/>
  <c r="M90" i="44"/>
  <c r="D93" i="44"/>
  <c r="D92" i="44"/>
  <c r="D91" i="44"/>
  <c r="J52" i="35"/>
  <c r="J53" i="35"/>
  <c r="J54" i="35"/>
  <c r="J56" i="35"/>
  <c r="K28" i="35"/>
  <c r="T100" i="59"/>
  <c r="S100" i="59"/>
  <c r="K100" i="59"/>
  <c r="J100" i="59"/>
  <c r="T99" i="59"/>
  <c r="S99" i="59"/>
  <c r="K99" i="59"/>
  <c r="J99" i="59"/>
  <c r="T98" i="59"/>
  <c r="S98" i="59"/>
  <c r="K98" i="59"/>
  <c r="J98" i="59"/>
  <c r="T97" i="59"/>
  <c r="S97" i="59"/>
  <c r="K97" i="59"/>
  <c r="J97" i="59"/>
  <c r="T96" i="59"/>
  <c r="S96" i="59"/>
  <c r="K96" i="59"/>
  <c r="J96" i="59"/>
  <c r="T95" i="59"/>
  <c r="S95" i="59"/>
  <c r="K95" i="59"/>
  <c r="J95" i="59"/>
  <c r="T94" i="59"/>
  <c r="S94" i="59"/>
  <c r="K94" i="59"/>
  <c r="J94" i="59"/>
  <c r="V93" i="59"/>
  <c r="U93" i="59"/>
  <c r="V92" i="59"/>
  <c r="U92" i="59"/>
  <c r="V91" i="59"/>
  <c r="U91" i="59"/>
  <c r="V90" i="59"/>
  <c r="U90" i="59"/>
  <c r="V89" i="59"/>
  <c r="U89" i="59"/>
  <c r="V88" i="59"/>
  <c r="V100" i="59" s="1"/>
  <c r="K34" i="35" s="1"/>
  <c r="U88" i="59"/>
  <c r="U100" i="59" s="1"/>
  <c r="J34" i="35" s="1"/>
  <c r="V87" i="59"/>
  <c r="U87" i="59"/>
  <c r="V86" i="59"/>
  <c r="U86" i="59"/>
  <c r="V85" i="59"/>
  <c r="U85" i="59"/>
  <c r="V84" i="59"/>
  <c r="U84" i="59"/>
  <c r="V83" i="59"/>
  <c r="U83" i="59"/>
  <c r="V82" i="59"/>
  <c r="V99" i="59" s="1"/>
  <c r="K33" i="35" s="1"/>
  <c r="U82" i="59"/>
  <c r="U99" i="59" s="1"/>
  <c r="J33" i="35" s="1"/>
  <c r="V81" i="59"/>
  <c r="U81" i="59"/>
  <c r="V80" i="59"/>
  <c r="U80" i="59"/>
  <c r="V79" i="59"/>
  <c r="U79" i="59"/>
  <c r="V78" i="59"/>
  <c r="U78" i="59"/>
  <c r="V77" i="59"/>
  <c r="U77" i="59"/>
  <c r="V76" i="59"/>
  <c r="U76" i="59"/>
  <c r="V75" i="59"/>
  <c r="U75" i="59"/>
  <c r="V74" i="59"/>
  <c r="U74" i="59"/>
  <c r="V73" i="59"/>
  <c r="U73" i="59"/>
  <c r="V72" i="59"/>
  <c r="U72" i="59"/>
  <c r="V71" i="59"/>
  <c r="U71" i="59"/>
  <c r="V70" i="59"/>
  <c r="U70" i="59"/>
  <c r="V69" i="59"/>
  <c r="U69" i="59"/>
  <c r="V68" i="59"/>
  <c r="U68" i="59"/>
  <c r="V67" i="59"/>
  <c r="U67" i="59"/>
  <c r="V66" i="59"/>
  <c r="U66" i="59"/>
  <c r="V65" i="59"/>
  <c r="U65" i="59"/>
  <c r="V64" i="59"/>
  <c r="U64" i="59"/>
  <c r="V63" i="59"/>
  <c r="U63" i="59"/>
  <c r="V62" i="59"/>
  <c r="U62" i="59"/>
  <c r="V61" i="59"/>
  <c r="U61" i="59"/>
  <c r="V60" i="59"/>
  <c r="U60" i="59"/>
  <c r="V59" i="59"/>
  <c r="U59" i="59"/>
  <c r="V58" i="59"/>
  <c r="V97" i="59" s="1"/>
  <c r="K31" i="35" s="1"/>
  <c r="U58" i="59"/>
  <c r="U97" i="59" s="1"/>
  <c r="J31" i="35" s="1"/>
  <c r="V57" i="59"/>
  <c r="U57" i="59"/>
  <c r="V56" i="59"/>
  <c r="U56" i="59"/>
  <c r="V55" i="59"/>
  <c r="U55" i="59"/>
  <c r="V54" i="59"/>
  <c r="U54" i="59"/>
  <c r="V53" i="59"/>
  <c r="U53" i="59"/>
  <c r="V52" i="59"/>
  <c r="U52" i="59"/>
  <c r="V51" i="59"/>
  <c r="U51" i="59"/>
  <c r="V50" i="59"/>
  <c r="U50" i="59"/>
  <c r="V49" i="59"/>
  <c r="U49" i="59"/>
  <c r="V48" i="59"/>
  <c r="U48" i="59"/>
  <c r="V47" i="59"/>
  <c r="U47" i="59"/>
  <c r="V46" i="59"/>
  <c r="U46" i="59"/>
  <c r="V45" i="59"/>
  <c r="U45" i="59"/>
  <c r="V44" i="59"/>
  <c r="U44" i="59"/>
  <c r="V43" i="59"/>
  <c r="U43" i="59"/>
  <c r="V42" i="59"/>
  <c r="U42" i="59"/>
  <c r="V41" i="59"/>
  <c r="U41" i="59"/>
  <c r="V40" i="59"/>
  <c r="U40" i="59"/>
  <c r="V39" i="59"/>
  <c r="U39" i="59"/>
  <c r="V38" i="59"/>
  <c r="U38" i="59"/>
  <c r="V37" i="59"/>
  <c r="U37" i="59"/>
  <c r="V36" i="59"/>
  <c r="U36" i="59"/>
  <c r="V35" i="59"/>
  <c r="U35" i="59"/>
  <c r="V34" i="59"/>
  <c r="V96" i="59" s="1"/>
  <c r="K30" i="35" s="1"/>
  <c r="U34" i="59"/>
  <c r="U96" i="59" s="1"/>
  <c r="J30" i="35" s="1"/>
  <c r="V33" i="59"/>
  <c r="U33" i="59"/>
  <c r="V32" i="59"/>
  <c r="U32" i="59"/>
  <c r="V31" i="59"/>
  <c r="U31" i="59"/>
  <c r="V30" i="59"/>
  <c r="U30" i="59"/>
  <c r="V29" i="59"/>
  <c r="U29" i="59"/>
  <c r="V28" i="59"/>
  <c r="U28" i="59"/>
  <c r="V27" i="59"/>
  <c r="U27" i="59"/>
  <c r="V26" i="59"/>
  <c r="U26" i="59"/>
  <c r="V25" i="59"/>
  <c r="U25" i="59"/>
  <c r="V24" i="59"/>
  <c r="U24" i="59"/>
  <c r="V23" i="59"/>
  <c r="U23" i="59"/>
  <c r="V22" i="59"/>
  <c r="U22" i="59"/>
  <c r="V21" i="59"/>
  <c r="U21" i="59"/>
  <c r="V20" i="59"/>
  <c r="U20" i="59"/>
  <c r="V19" i="59"/>
  <c r="U19" i="59"/>
  <c r="V18" i="59"/>
  <c r="U18" i="59"/>
  <c r="V17" i="59"/>
  <c r="U17" i="59"/>
  <c r="V16" i="59"/>
  <c r="U16" i="59"/>
  <c r="V15" i="59"/>
  <c r="U15" i="59"/>
  <c r="V14" i="59"/>
  <c r="U14" i="59"/>
  <c r="V13" i="59"/>
  <c r="U13" i="59"/>
  <c r="V12" i="59"/>
  <c r="U12" i="59"/>
  <c r="V11" i="59"/>
  <c r="U11" i="59"/>
  <c r="V10" i="59"/>
  <c r="V95" i="59" s="1"/>
  <c r="K29" i="35" s="1"/>
  <c r="U10" i="59"/>
  <c r="U95" i="59" s="1"/>
  <c r="J29" i="35" s="1"/>
  <c r="V9" i="59"/>
  <c r="U9" i="59"/>
  <c r="V8" i="59"/>
  <c r="U8" i="59"/>
  <c r="V7" i="59"/>
  <c r="U7" i="59"/>
  <c r="V6" i="59"/>
  <c r="U6" i="59"/>
  <c r="V5" i="59"/>
  <c r="U5" i="59"/>
  <c r="V4" i="59"/>
  <c r="V94" i="59" s="1"/>
  <c r="U4" i="59"/>
  <c r="M2" i="59"/>
  <c r="D2" i="59"/>
  <c r="T100" i="58"/>
  <c r="S100" i="58"/>
  <c r="K100" i="58"/>
  <c r="J100" i="58"/>
  <c r="T99" i="58"/>
  <c r="S99" i="58"/>
  <c r="K99" i="58"/>
  <c r="J99" i="58"/>
  <c r="T98" i="58"/>
  <c r="S98" i="58"/>
  <c r="K98" i="58"/>
  <c r="J98" i="58"/>
  <c r="T97" i="58"/>
  <c r="S97" i="58"/>
  <c r="K97" i="58"/>
  <c r="J97" i="58"/>
  <c r="V96" i="58"/>
  <c r="K53" i="35" s="1"/>
  <c r="T96" i="58"/>
  <c r="S96" i="58"/>
  <c r="K96" i="58"/>
  <c r="J96" i="58"/>
  <c r="T95" i="58"/>
  <c r="S95" i="58"/>
  <c r="K95" i="58"/>
  <c r="J95" i="58"/>
  <c r="T94" i="58"/>
  <c r="S94" i="58"/>
  <c r="K94" i="58"/>
  <c r="J94" i="58"/>
  <c r="V93" i="58"/>
  <c r="U93" i="58"/>
  <c r="V92" i="58"/>
  <c r="U92" i="58"/>
  <c r="V91" i="58"/>
  <c r="U91" i="58"/>
  <c r="V90" i="58"/>
  <c r="U90" i="58"/>
  <c r="V89" i="58"/>
  <c r="U89" i="58"/>
  <c r="V88" i="58"/>
  <c r="V100" i="58" s="1"/>
  <c r="K57" i="35" s="1"/>
  <c r="U88" i="58"/>
  <c r="U100" i="58" s="1"/>
  <c r="J57" i="35" s="1"/>
  <c r="V87" i="58"/>
  <c r="U87" i="58"/>
  <c r="V86" i="58"/>
  <c r="U86" i="58"/>
  <c r="V85" i="58"/>
  <c r="U85" i="58"/>
  <c r="V84" i="58"/>
  <c r="U84" i="58"/>
  <c r="V83" i="58"/>
  <c r="U83" i="58"/>
  <c r="V82" i="58"/>
  <c r="V99" i="58" s="1"/>
  <c r="K56" i="35" s="1"/>
  <c r="U82" i="58"/>
  <c r="U99" i="58" s="1"/>
  <c r="V81" i="58"/>
  <c r="U81" i="58"/>
  <c r="V80" i="58"/>
  <c r="U80" i="58"/>
  <c r="V79" i="58"/>
  <c r="U79" i="58"/>
  <c r="V78" i="58"/>
  <c r="U78" i="58"/>
  <c r="V77" i="58"/>
  <c r="U77" i="58"/>
  <c r="V76" i="58"/>
  <c r="U76" i="58"/>
  <c r="V75" i="58"/>
  <c r="U75" i="58"/>
  <c r="V74" i="58"/>
  <c r="U74" i="58"/>
  <c r="V73" i="58"/>
  <c r="U73" i="58"/>
  <c r="V72" i="58"/>
  <c r="U72" i="58"/>
  <c r="V71" i="58"/>
  <c r="U71" i="58"/>
  <c r="V70" i="58"/>
  <c r="U70" i="58"/>
  <c r="V69" i="58"/>
  <c r="U69" i="58"/>
  <c r="V68" i="58"/>
  <c r="U68" i="58"/>
  <c r="V67" i="58"/>
  <c r="U67" i="58"/>
  <c r="V66" i="58"/>
  <c r="U66" i="58"/>
  <c r="V65" i="58"/>
  <c r="U65" i="58"/>
  <c r="V64" i="58"/>
  <c r="U64" i="58"/>
  <c r="V63" i="58"/>
  <c r="U63" i="58"/>
  <c r="V62" i="58"/>
  <c r="U62" i="58"/>
  <c r="V61" i="58"/>
  <c r="U61" i="58"/>
  <c r="V60" i="58"/>
  <c r="U60" i="58"/>
  <c r="V59" i="58"/>
  <c r="U59" i="58"/>
  <c r="V58" i="58"/>
  <c r="V97" i="58" s="1"/>
  <c r="K54" i="35" s="1"/>
  <c r="U58" i="58"/>
  <c r="U97" i="58" s="1"/>
  <c r="V57" i="58"/>
  <c r="U57" i="58"/>
  <c r="V56" i="58"/>
  <c r="U56" i="58"/>
  <c r="V55" i="58"/>
  <c r="U55" i="58"/>
  <c r="V54" i="58"/>
  <c r="U54" i="58"/>
  <c r="V53" i="58"/>
  <c r="U53" i="58"/>
  <c r="V52" i="58"/>
  <c r="U52" i="58"/>
  <c r="V51" i="58"/>
  <c r="U51" i="58"/>
  <c r="V50" i="58"/>
  <c r="U50" i="58"/>
  <c r="V49" i="58"/>
  <c r="U49" i="58"/>
  <c r="V48" i="58"/>
  <c r="U48" i="58"/>
  <c r="V47" i="58"/>
  <c r="U47" i="58"/>
  <c r="V46" i="58"/>
  <c r="U46" i="58"/>
  <c r="V45" i="58"/>
  <c r="U45" i="58"/>
  <c r="V44" i="58"/>
  <c r="U44" i="58"/>
  <c r="V43" i="58"/>
  <c r="U43" i="58"/>
  <c r="V42" i="58"/>
  <c r="U42" i="58"/>
  <c r="V41" i="58"/>
  <c r="U41" i="58"/>
  <c r="V40" i="58"/>
  <c r="U40" i="58"/>
  <c r="V39" i="58"/>
  <c r="U39" i="58"/>
  <c r="V38" i="58"/>
  <c r="U38" i="58"/>
  <c r="V37" i="58"/>
  <c r="U37" i="58"/>
  <c r="V36" i="58"/>
  <c r="U36" i="58"/>
  <c r="V35" i="58"/>
  <c r="U35" i="58"/>
  <c r="V34" i="58"/>
  <c r="U34" i="58"/>
  <c r="U96" i="58" s="1"/>
  <c r="V33" i="58"/>
  <c r="U33" i="58"/>
  <c r="V32" i="58"/>
  <c r="U32" i="58"/>
  <c r="V31" i="58"/>
  <c r="U31" i="58"/>
  <c r="V30" i="58"/>
  <c r="U30" i="58"/>
  <c r="V29" i="58"/>
  <c r="U29" i="58"/>
  <c r="V28" i="58"/>
  <c r="U28" i="58"/>
  <c r="V27" i="58"/>
  <c r="U27" i="58"/>
  <c r="V26" i="58"/>
  <c r="U26" i="58"/>
  <c r="V25" i="58"/>
  <c r="U25" i="58"/>
  <c r="V24" i="58"/>
  <c r="U24" i="58"/>
  <c r="V23" i="58"/>
  <c r="U23" i="58"/>
  <c r="V22" i="58"/>
  <c r="U22" i="58"/>
  <c r="V21" i="58"/>
  <c r="U21" i="58"/>
  <c r="V20" i="58"/>
  <c r="U20" i="58"/>
  <c r="V19" i="58"/>
  <c r="U19" i="58"/>
  <c r="V18" i="58"/>
  <c r="U18" i="58"/>
  <c r="V17" i="58"/>
  <c r="U17" i="58"/>
  <c r="V16" i="58"/>
  <c r="U16" i="58"/>
  <c r="V15" i="58"/>
  <c r="U15" i="58"/>
  <c r="V14" i="58"/>
  <c r="U14" i="58"/>
  <c r="V13" i="58"/>
  <c r="U13" i="58"/>
  <c r="V12" i="58"/>
  <c r="U12" i="58"/>
  <c r="V11" i="58"/>
  <c r="U11" i="58"/>
  <c r="V10" i="58"/>
  <c r="V95" i="58" s="1"/>
  <c r="K52" i="35" s="1"/>
  <c r="U10" i="58"/>
  <c r="U95" i="58" s="1"/>
  <c r="V9" i="58"/>
  <c r="U9" i="58"/>
  <c r="V8" i="58"/>
  <c r="U8" i="58"/>
  <c r="V7" i="58"/>
  <c r="U7" i="58"/>
  <c r="V6" i="58"/>
  <c r="U6" i="58"/>
  <c r="V5" i="58"/>
  <c r="U5" i="58"/>
  <c r="V4" i="58"/>
  <c r="U4" i="58"/>
  <c r="U98" i="58" s="1"/>
  <c r="J55" i="35" s="1"/>
  <c r="M2" i="58"/>
  <c r="D2" i="58"/>
  <c r="T100" i="44"/>
  <c r="S100" i="44"/>
  <c r="K100" i="44"/>
  <c r="J100" i="44"/>
  <c r="V93" i="44"/>
  <c r="U93" i="44"/>
  <c r="V92" i="44"/>
  <c r="U92" i="44"/>
  <c r="V91" i="44"/>
  <c r="U91" i="44"/>
  <c r="V90" i="44"/>
  <c r="U90" i="44"/>
  <c r="V89" i="44"/>
  <c r="U89" i="44"/>
  <c r="V88" i="44"/>
  <c r="V100" i="44" s="1"/>
  <c r="K11" i="35" s="1"/>
  <c r="U88" i="44"/>
  <c r="U100" i="44" s="1"/>
  <c r="J11" i="35" s="1"/>
  <c r="J53" i="57"/>
  <c r="J51" i="57"/>
  <c r="U94" i="59" l="1"/>
  <c r="J28" i="35" s="1"/>
  <c r="U98" i="59"/>
  <c r="J32" i="35" s="1"/>
  <c r="V98" i="59"/>
  <c r="K32" i="35" s="1"/>
  <c r="V94" i="58"/>
  <c r="K51" i="35" s="1"/>
  <c r="V98" i="58"/>
  <c r="K55" i="35" s="1"/>
  <c r="U94" i="58"/>
  <c r="J51" i="35" s="1"/>
  <c r="AE15" i="40"/>
  <c r="I45" i="57"/>
  <c r="T3" i="51"/>
  <c r="U3" i="51"/>
  <c r="T4" i="51"/>
  <c r="U4" i="51"/>
  <c r="T5" i="51"/>
  <c r="U5" i="51"/>
  <c r="T6" i="51"/>
  <c r="U6" i="51"/>
  <c r="T7" i="51"/>
  <c r="U7" i="51"/>
  <c r="T8" i="51"/>
  <c r="U8" i="51"/>
  <c r="T9" i="51"/>
  <c r="U9" i="51"/>
  <c r="T10" i="51"/>
  <c r="U10" i="51"/>
  <c r="T11" i="51"/>
  <c r="U11" i="51"/>
  <c r="T12" i="51"/>
  <c r="U12" i="51"/>
  <c r="T13" i="51"/>
  <c r="U13" i="51"/>
  <c r="T14" i="51"/>
  <c r="U14" i="51"/>
  <c r="T15" i="51"/>
  <c r="U15" i="51"/>
  <c r="T16" i="51"/>
  <c r="U16" i="51"/>
  <c r="T17" i="51"/>
  <c r="U17" i="51"/>
  <c r="T18" i="51"/>
  <c r="U18" i="51"/>
  <c r="T19" i="51"/>
  <c r="U19" i="51"/>
  <c r="T20" i="51"/>
  <c r="U20" i="51"/>
  <c r="I53" i="55"/>
  <c r="AS47" i="58" a="1"/>
  <c r="AP31" i="59" a="1"/>
  <c r="AP28" i="58" a="1"/>
  <c r="AF16" i="58"/>
  <c r="AR9" i="59" a="1"/>
  <c r="AF52" i="58"/>
  <c r="AP62" i="58" a="1"/>
  <c r="AP68" i="59" a="1"/>
  <c r="AR69" i="58" a="1"/>
  <c r="AS15" i="59" a="1"/>
  <c r="AR40" i="59" a="1"/>
  <c r="X10" i="58"/>
  <c r="Y22" i="58"/>
  <c r="AH58" i="58"/>
  <c r="AB22" i="59"/>
  <c r="AQ73" i="58" a="1"/>
  <c r="AP29" i="59" a="1"/>
  <c r="AP44" i="58" a="1"/>
  <c r="AR17" i="59" a="1"/>
  <c r="AP83" i="58" a="1"/>
  <c r="AB82" i="59"/>
  <c r="AP38" i="59" a="1"/>
  <c r="AS79" i="58" a="1"/>
  <c r="AQ68" i="58" a="1"/>
  <c r="AS36" i="59" a="1"/>
  <c r="AS60" i="58" a="1"/>
  <c r="AR51" i="58" a="1"/>
  <c r="AP11" i="59" a="1"/>
  <c r="AA70" i="59"/>
  <c r="Y10" i="58"/>
  <c r="AF58" i="59"/>
  <c r="AC22" i="59"/>
  <c r="AQ26" i="59" a="1"/>
  <c r="AE28" i="58"/>
  <c r="Y82" i="58"/>
  <c r="AE46" i="58"/>
  <c r="AC22" i="58"/>
  <c r="Y40" i="59"/>
  <c r="AS62" i="58" a="1"/>
  <c r="AS6" i="58" a="1"/>
  <c r="AE28" i="59"/>
  <c r="AR16" i="59" a="1"/>
  <c r="AB70" i="59"/>
  <c r="AE34" i="59"/>
  <c r="AQ30" i="59" a="1"/>
  <c r="Y58" i="59"/>
  <c r="Y76" i="59"/>
  <c r="AH10" i="58"/>
  <c r="AS22" i="58" a="1"/>
  <c r="AS68" i="58" a="1"/>
  <c r="AA58" i="59"/>
  <c r="AP86" i="59" a="1"/>
  <c r="AQ23" i="58" a="1"/>
  <c r="X76" i="59"/>
  <c r="AP72" i="58" a="1"/>
  <c r="AR46" i="58" a="1"/>
  <c r="AR34" i="58" a="1"/>
  <c r="AQ39" i="59" a="1"/>
  <c r="AS16" i="59" a="1"/>
  <c r="AP16" i="58" a="1"/>
  <c r="AS50" i="58" a="1"/>
  <c r="AQ12" i="59" a="1"/>
  <c r="AS21" i="58" a="1"/>
  <c r="AQ65" i="59" a="1"/>
  <c r="AB46" i="59"/>
  <c r="AR27" i="59" a="1"/>
  <c r="AP9" i="58" a="1"/>
  <c r="AR23" i="58" a="1"/>
  <c r="AR29" i="59" a="1"/>
  <c r="AB58" i="59"/>
  <c r="AE76" i="58"/>
  <c r="AP19" i="59" a="1"/>
  <c r="AQ22" i="59" a="1"/>
  <c r="AS75" i="58" a="1"/>
  <c r="AR83" i="59" a="1"/>
  <c r="AS58" i="58" a="1"/>
  <c r="Z82" i="59"/>
  <c r="AQ82" i="59" a="1"/>
  <c r="Y10" i="59"/>
  <c r="AP51" i="58" a="1"/>
  <c r="AR12" i="59" a="1"/>
  <c r="AE4" i="58"/>
  <c r="AP41" i="59" a="1"/>
  <c r="AC82" i="59"/>
  <c r="AF70" i="59"/>
  <c r="AB52" i="58"/>
  <c r="AS14" i="59" a="1"/>
  <c r="AQ54" i="59" a="1"/>
  <c r="AP32" i="58" a="1"/>
  <c r="AP59" i="58" a="1"/>
  <c r="AP62" i="59" a="1"/>
  <c r="AE4" i="59"/>
  <c r="AB22" i="58"/>
  <c r="AR59" i="58" a="1"/>
  <c r="AA58" i="58"/>
  <c r="AQ85" i="58" a="1"/>
  <c r="AR5" i="58" a="1"/>
  <c r="AQ56" i="58" a="1"/>
  <c r="AP67" i="58" a="1"/>
  <c r="AP8" i="59" a="1"/>
  <c r="AP33" i="58" a="1"/>
  <c r="AF34" i="58"/>
  <c r="AQ65" i="58" a="1"/>
  <c r="AP66" i="59" a="1"/>
  <c r="AR48" i="59" a="1"/>
  <c r="Z46" i="58"/>
  <c r="AS81" i="59" a="1"/>
  <c r="AP70" i="59" a="1"/>
  <c r="AS84" i="58" a="1"/>
  <c r="AC70" i="58"/>
  <c r="AA4" i="59"/>
  <c r="AP21" i="58" a="1"/>
  <c r="AQ84" i="58" a="1"/>
  <c r="AH52" i="59"/>
  <c r="AR22" i="59" a="1"/>
  <c r="AR31" i="58" a="1"/>
  <c r="AR51" i="59" a="1"/>
  <c r="AR30" i="58" a="1"/>
  <c r="AR10" i="59" a="1"/>
  <c r="AR14" i="59" a="1"/>
  <c r="AQ53" i="59" a="1"/>
  <c r="AQ47" i="58" a="1"/>
  <c r="AQ27" i="59" a="1"/>
  <c r="AH46" i="59"/>
  <c r="AE58" i="58"/>
  <c r="AS39" i="59" a="1"/>
  <c r="AR46" i="59" a="1"/>
  <c r="AP24" i="59" a="1"/>
  <c r="AR44" i="58" a="1"/>
  <c r="AQ13" i="58" a="1"/>
  <c r="AS17" i="58" a="1"/>
  <c r="AS9" i="59" a="1"/>
  <c r="AQ80" i="59" a="1"/>
  <c r="AH28" i="59"/>
  <c r="AH52" i="58"/>
  <c r="AF40" i="58"/>
  <c r="AS67" i="59" a="1"/>
  <c r="AP78" i="59" a="1"/>
  <c r="X22" i="59"/>
  <c r="AE52" i="58"/>
  <c r="AB64" i="59"/>
  <c r="AP20" i="58" a="1"/>
  <c r="AQ6" i="58" a="1"/>
  <c r="AP25" i="58" a="1"/>
  <c r="AP69" i="58" a="1"/>
  <c r="AG4" i="58"/>
  <c r="AQ68" i="59" a="1"/>
  <c r="AH64" i="58"/>
  <c r="AS66" i="59" a="1"/>
  <c r="X4" i="59"/>
  <c r="AB28" i="58"/>
  <c r="AS84" i="59" a="1"/>
  <c r="AP80" i="58" a="1"/>
  <c r="AQ86" i="58" a="1"/>
  <c r="AC16" i="58"/>
  <c r="AR55" i="58" a="1"/>
  <c r="AS25" i="58" a="1"/>
  <c r="AF10" i="59"/>
  <c r="AR77" i="58" a="1"/>
  <c r="AF64" i="59"/>
  <c r="AA46" i="59"/>
  <c r="AQ20" i="59" a="1"/>
  <c r="AS29" i="58" a="1"/>
  <c r="AR87" i="59" a="1"/>
  <c r="AR58" i="59" a="1"/>
  <c r="AB34" i="59"/>
  <c r="AQ82" i="58" a="1"/>
  <c r="AS11" i="59" a="1"/>
  <c r="AP15" i="58" a="1"/>
  <c r="AC28" i="59"/>
  <c r="AP74" i="58" a="1"/>
  <c r="AH16" i="58"/>
  <c r="AE70" i="59"/>
  <c r="AS27" i="59" a="1"/>
  <c r="AP27" i="58" a="1"/>
  <c r="AP52" i="58" a="1"/>
  <c r="AS28" i="59" a="1"/>
  <c r="AF76" i="59"/>
  <c r="AP18" i="59" a="1"/>
  <c r="AR61" i="59" a="1"/>
  <c r="AG34" i="58"/>
  <c r="AH64" i="59"/>
  <c r="AR70" i="59" a="1"/>
  <c r="AR80" i="58" a="1"/>
  <c r="AQ24" i="59" a="1"/>
  <c r="AQ84" i="59" a="1"/>
  <c r="Z70" i="59"/>
  <c r="AR15" i="58" a="1"/>
  <c r="AA40" i="59"/>
  <c r="AS27" i="58" a="1"/>
  <c r="AH58" i="59"/>
  <c r="AP5" i="58" a="1"/>
  <c r="AF40" i="59"/>
  <c r="AR77" i="59" a="1"/>
  <c r="AP53" i="58" a="1"/>
  <c r="AC76" i="59"/>
  <c r="AR25" i="58" a="1"/>
  <c r="X34" i="58"/>
  <c r="AR70" i="58" a="1"/>
  <c r="AR26" i="59" a="1"/>
  <c r="Z28" i="58"/>
  <c r="AS9" i="58" a="1"/>
  <c r="X34" i="59"/>
  <c r="Y52" i="59"/>
  <c r="AQ4" i="58" a="1"/>
  <c r="AP7" i="59" a="1"/>
  <c r="AS81" i="58" a="1"/>
  <c r="AG28" i="58"/>
  <c r="AQ61" i="58" a="1"/>
  <c r="AH76" i="58"/>
  <c r="AD3" i="51"/>
  <c r="AS33" i="58" a="1"/>
  <c r="AS18" i="58" a="1"/>
  <c r="AR53" i="58" a="1"/>
  <c r="AP40" i="58" a="1"/>
  <c r="AC10" i="58"/>
  <c r="AQ46" i="59" a="1"/>
  <c r="AR24" i="59" a="1"/>
  <c r="AQ44" i="58" a="1"/>
  <c r="AR82" i="59" a="1"/>
  <c r="AE10" i="58"/>
  <c r="AA40" i="58"/>
  <c r="AG70" i="58"/>
  <c r="AG58" i="58"/>
  <c r="AQ59" i="58" a="1"/>
  <c r="AQ76" i="58" a="1"/>
  <c r="AP6" i="58" a="1"/>
  <c r="AQ69" i="59" a="1"/>
  <c r="Y22" i="59"/>
  <c r="X10" i="59"/>
  <c r="AR30" i="59" a="1"/>
  <c r="AS74" i="59" a="1"/>
  <c r="AQ70" i="58" a="1"/>
  <c r="AP37" i="59" a="1"/>
  <c r="AP58" i="58" a="1"/>
  <c r="AS44" i="59" a="1"/>
  <c r="AS26" i="59" a="1"/>
  <c r="AP46" i="59" a="1"/>
  <c r="AR35" i="58" a="1"/>
  <c r="AB76" i="58"/>
  <c r="AS64" i="58" a="1"/>
  <c r="AP35" i="58" a="1"/>
  <c r="AS41" i="58" a="1"/>
  <c r="AA64" i="59"/>
  <c r="AC52" i="58"/>
  <c r="AP29" i="58" a="1"/>
  <c r="Y34" i="59"/>
  <c r="AQ42" i="59" a="1"/>
  <c r="AC46" i="59"/>
  <c r="AF46" i="59"/>
  <c r="AS10" i="58" a="1"/>
  <c r="AS72" i="59" a="1"/>
  <c r="AR38" i="58" a="1"/>
  <c r="AQ45" i="59" a="1"/>
  <c r="AH22" i="59"/>
  <c r="AB4" i="58"/>
  <c r="AQ51" i="59" a="1"/>
  <c r="Z16" i="59"/>
  <c r="AG52" i="58"/>
  <c r="AQ54" i="58" a="1"/>
  <c r="X46" i="59"/>
  <c r="AS11" i="58" a="1"/>
  <c r="AQ53" i="58" a="1"/>
  <c r="AB34" i="58"/>
  <c r="AR52" i="58" a="1"/>
  <c r="AC64" i="58"/>
  <c r="AQ51" i="58" a="1"/>
  <c r="AF82" i="59"/>
  <c r="AR54" i="59" a="1"/>
  <c r="AB16" i="59"/>
  <c r="AP56" i="58" a="1"/>
  <c r="AS7" i="58" a="1"/>
  <c r="Y34" i="58"/>
  <c r="AS34" i="59" a="1"/>
  <c r="AP39" i="58" a="1"/>
  <c r="AR22" i="58" a="1"/>
  <c r="AP36" i="58" a="1"/>
  <c r="AS71" i="59" a="1"/>
  <c r="AB52" i="59"/>
  <c r="AQ73" i="59" a="1"/>
  <c r="AQ40" i="58" a="1"/>
  <c r="AG16" i="58"/>
  <c r="AP7" i="58" a="1"/>
  <c r="AC34" i="59"/>
  <c r="Y64" i="58"/>
  <c r="AR50" i="59" a="1"/>
  <c r="AP84" i="58" a="1"/>
  <c r="Z76" i="59"/>
  <c r="AS54" i="59" a="1"/>
  <c r="AR87" i="58" a="1"/>
  <c r="AR71" i="58" a="1"/>
  <c r="AQ11" i="59" a="1"/>
  <c r="Y46" i="58"/>
  <c r="AB40" i="58"/>
  <c r="AR52" i="59" a="1"/>
  <c r="AG64" i="58"/>
  <c r="AP28" i="59" a="1"/>
  <c r="AQ87" i="59" a="1"/>
  <c r="AS42" i="59" a="1"/>
  <c r="AR11" i="58" a="1"/>
  <c r="Y16" i="58"/>
  <c r="AS63" i="59" a="1"/>
  <c r="AS65" i="59" a="1"/>
  <c r="AB10" i="59"/>
  <c r="AQ41" i="59" a="1"/>
  <c r="AG82" i="59"/>
  <c r="AP55" i="58" a="1"/>
  <c r="AP53" i="59" a="1"/>
  <c r="AS64" i="59" a="1"/>
  <c r="AG16" i="59"/>
  <c r="AR78" i="59" a="1"/>
  <c r="AP71" i="59" a="1"/>
  <c r="AR73" i="58" a="1"/>
  <c r="AS45" i="58" a="1"/>
  <c r="Y76" i="58"/>
  <c r="AR37" i="58" a="1"/>
  <c r="Y16" i="59"/>
  <c r="AH76" i="59"/>
  <c r="AS38" i="59" a="1"/>
  <c r="AP31" i="58" a="1"/>
  <c r="AS57" i="59" a="1"/>
  <c r="AP12" i="58" a="1"/>
  <c r="AR26" i="58" a="1"/>
  <c r="AG34" i="59"/>
  <c r="AS30" i="59" a="1"/>
  <c r="AP63" i="58" a="1"/>
  <c r="AF70" i="58"/>
  <c r="AP58" i="59" a="1"/>
  <c r="AQ71" i="58" a="1"/>
  <c r="AR32" i="58" a="1"/>
  <c r="AP60" i="59" a="1"/>
  <c r="X70" i="58"/>
  <c r="AE46" i="59"/>
  <c r="AS55" i="59" a="1"/>
  <c r="Y4" i="58"/>
  <c r="AR74" i="58" a="1"/>
  <c r="AQ49" i="59" a="1"/>
  <c r="AQ15" i="58" a="1"/>
  <c r="AC70" i="59"/>
  <c r="AQ25" i="59" a="1"/>
  <c r="Z34" i="59"/>
  <c r="AP13" i="59" a="1"/>
  <c r="AP43" i="58" a="1"/>
  <c r="AB46" i="58"/>
  <c r="AG10" i="58"/>
  <c r="AQ71" i="59" a="1"/>
  <c r="AR33" i="58" a="1"/>
  <c r="AC34" i="58"/>
  <c r="AP74" i="59" a="1"/>
  <c r="AP19" i="58" a="1"/>
  <c r="AF28" i="59"/>
  <c r="AR85" i="59" a="1"/>
  <c r="AG46" i="59"/>
  <c r="AP83" i="59" a="1"/>
  <c r="AS23" i="59" a="1"/>
  <c r="AP78" i="58" a="1"/>
  <c r="AF16" i="59"/>
  <c r="AS53" i="58" a="1"/>
  <c r="AS61" i="58" a="1"/>
  <c r="AS47" i="59" a="1"/>
  <c r="AQ10" i="58" a="1"/>
  <c r="AQ21" i="58" a="1"/>
  <c r="AS69" i="58" a="1"/>
  <c r="AQ86" i="59" a="1"/>
  <c r="AS49" i="59" a="1"/>
  <c r="AQ44" i="59" a="1"/>
  <c r="AG10" i="59"/>
  <c r="AS53" i="59" a="1"/>
  <c r="Z58" i="58"/>
  <c r="AR12" i="58" a="1"/>
  <c r="AQ63" i="59" a="1"/>
  <c r="AP71" i="58" a="1"/>
  <c r="AG52" i="59"/>
  <c r="AA82" i="58"/>
  <c r="AH4" i="59"/>
  <c r="AP30" i="58" a="1"/>
  <c r="AR69" i="59" a="1"/>
  <c r="AQ56" i="59" a="1"/>
  <c r="AP18" i="58" a="1"/>
  <c r="AQ76" i="59" a="1"/>
  <c r="AP23" i="59" a="1"/>
  <c r="AR63" i="58" a="1"/>
  <c r="AS83" i="59" a="1"/>
  <c r="AH82" i="58"/>
  <c r="AE58" i="59"/>
  <c r="AF82" i="58"/>
  <c r="AE16" i="59"/>
  <c r="AQ12" i="58" a="1"/>
  <c r="AP14" i="58" a="1"/>
  <c r="AS73" i="59" a="1"/>
  <c r="AS25" i="59" a="1"/>
  <c r="AE70" i="58"/>
  <c r="AP69" i="59" a="1"/>
  <c r="AP64" i="58" a="1"/>
  <c r="AS4" i="58" a="1"/>
  <c r="AA82" i="59"/>
  <c r="AR63" i="59" a="1"/>
  <c r="AC64" i="59"/>
  <c r="AS10" i="59" a="1"/>
  <c r="AS23" i="58" a="1"/>
  <c r="AS76" i="59" a="1"/>
  <c r="AP6" i="59" a="1"/>
  <c r="AR64" i="59" a="1"/>
  <c r="AG40" i="59"/>
  <c r="AQ38" i="59" a="1"/>
  <c r="AS50" i="59" a="1"/>
  <c r="AR41" i="58" a="1"/>
  <c r="AA28" i="58"/>
  <c r="AQ43" i="59" a="1"/>
  <c r="AA10" i="58"/>
  <c r="AF58" i="58"/>
  <c r="AR18" i="59" a="1"/>
  <c r="Z34" i="58"/>
  <c r="Z76" i="58"/>
  <c r="AH28" i="58"/>
  <c r="AR6" i="58" a="1"/>
  <c r="AP27" i="59" a="1"/>
  <c r="AP73" i="59" a="1"/>
  <c r="AA34" i="58"/>
  <c r="AF4" i="58"/>
  <c r="AS44" i="58" a="1"/>
  <c r="AP77" i="58" a="1"/>
  <c r="AS13" i="59" a="1"/>
  <c r="AP42" i="59" a="1"/>
  <c r="AQ35" i="59" a="1"/>
  <c r="AS34" i="58" a="1"/>
  <c r="AQ8" i="58" a="1"/>
  <c r="AA46" i="58"/>
  <c r="X76" i="58"/>
  <c r="AQ19" i="59" a="1"/>
  <c r="AS31" i="58" a="1"/>
  <c r="AR85" i="58" a="1"/>
  <c r="AP61" i="58" a="1"/>
  <c r="AQ37" i="58" a="1"/>
  <c r="AQ52" i="59" a="1"/>
  <c r="AS20" i="59" a="1"/>
  <c r="Y70" i="58"/>
  <c r="AQ60" i="59" a="1"/>
  <c r="AR24" i="58" a="1"/>
  <c r="Y40" i="58"/>
  <c r="AS68" i="59" a="1"/>
  <c r="AG70" i="59"/>
  <c r="AP44" i="59" a="1"/>
  <c r="AE64" i="58"/>
  <c r="AR47" i="59" a="1"/>
  <c r="AS19" i="58" a="1"/>
  <c r="AQ36" i="58" a="1"/>
  <c r="AS13" i="58" a="1"/>
  <c r="AQ18" i="59" a="1"/>
  <c r="Y28" i="59"/>
  <c r="AS20" i="58" a="1"/>
  <c r="AG40" i="58"/>
  <c r="AP66" i="58" a="1"/>
  <c r="Z52" i="59"/>
  <c r="Z4" i="58"/>
  <c r="AS7" i="59" a="1"/>
  <c r="AS86" i="59" a="1"/>
  <c r="AQ85" i="59" a="1"/>
  <c r="AQ20" i="58" a="1"/>
  <c r="AQ64" i="59" a="1"/>
  <c r="AQ34" i="59" a="1"/>
  <c r="Z40" i="58"/>
  <c r="AR43" i="58" a="1"/>
  <c r="AQ8" i="59" a="1"/>
  <c r="AR6" i="59" a="1"/>
  <c r="Z82" i="58"/>
  <c r="AR83" i="58" a="1"/>
  <c r="Z4" i="59"/>
  <c r="AA22" i="59"/>
  <c r="AS8" i="59" a="1"/>
  <c r="AF34" i="59"/>
  <c r="AS74" i="58" a="1"/>
  <c r="AH40" i="59"/>
  <c r="AR18" i="58" a="1"/>
  <c r="AP81" i="58" a="1"/>
  <c r="AR37" i="59" a="1"/>
  <c r="AC46" i="58"/>
  <c r="W3" i="51"/>
  <c r="AQ55" i="58" a="1"/>
  <c r="AR79" i="59" a="1"/>
  <c r="AQ50" i="59" a="1"/>
  <c r="AS63" i="58" a="1"/>
  <c r="AR8" i="59" a="1"/>
  <c r="AR74" i="59" a="1"/>
  <c r="AR19" i="58" a="1"/>
  <c r="AP70" i="58" a="1"/>
  <c r="AR53" i="59" a="1"/>
  <c r="AR84" i="59" a="1"/>
  <c r="AR49" i="59" a="1"/>
  <c r="AG22" i="58"/>
  <c r="AS22" i="59" a="1"/>
  <c r="AQ67" i="58" a="1"/>
  <c r="AH70" i="58"/>
  <c r="AQ83" i="58" a="1"/>
  <c r="AP48" i="59" a="1"/>
  <c r="AS28" i="58" a="1"/>
  <c r="AS59" i="59" a="1"/>
  <c r="AG22" i="59"/>
  <c r="AR49" i="58" a="1"/>
  <c r="AR42" i="58" a="1"/>
  <c r="AE22" i="58"/>
  <c r="X46" i="58"/>
  <c r="AR33" i="59" a="1"/>
  <c r="AS48" i="59" a="1"/>
  <c r="AP50" i="59" a="1"/>
  <c r="AS70" i="59" a="1"/>
  <c r="AQ6" i="59" a="1"/>
  <c r="AA16" i="59"/>
  <c r="AR47" i="58" a="1"/>
  <c r="AQ64" i="58" a="1"/>
  <c r="AR28" i="59" a="1"/>
  <c r="AR78" i="58" a="1"/>
  <c r="AP54" i="59" a="1"/>
  <c r="AQ81" i="58" a="1"/>
  <c r="AQ7" i="58" a="1"/>
  <c r="Y52" i="58"/>
  <c r="X64" i="58"/>
  <c r="AF64" i="58"/>
  <c r="Y58" i="58"/>
  <c r="AR59" i="59" a="1"/>
  <c r="AR58" i="58" a="1"/>
  <c r="AQ69" i="58" a="1"/>
  <c r="AR38" i="59" a="1"/>
  <c r="AR86" i="58" a="1"/>
  <c r="AR16" i="58" a="1"/>
  <c r="AP39" i="59" a="1"/>
  <c r="AB4" i="59"/>
  <c r="AQ52" i="58" a="1"/>
  <c r="AE22" i="59"/>
  <c r="AS12" i="58" a="1"/>
  <c r="AR29" i="58" a="1"/>
  <c r="X28" i="58"/>
  <c r="X4" i="58"/>
  <c r="AR81" i="58" a="1"/>
  <c r="AP24" i="58" a="1"/>
  <c r="AQ33" i="59" a="1"/>
  <c r="AR60" i="58" a="1"/>
  <c r="AQ79" i="58" a="1"/>
  <c r="AS78" i="59" a="1"/>
  <c r="AR25" i="59" a="1"/>
  <c r="AQ57" i="58" a="1"/>
  <c r="AS29" i="59" a="1"/>
  <c r="AQ80" i="58" a="1"/>
  <c r="AQ27" i="58" a="1"/>
  <c r="AA52" i="58"/>
  <c r="AR36" i="58" a="1"/>
  <c r="AP30" i="59" a="1"/>
  <c r="AQ33" i="58" a="1"/>
  <c r="AS87" i="58" a="1"/>
  <c r="AC76" i="58"/>
  <c r="AR36" i="59" a="1"/>
  <c r="AS36" i="58" a="1"/>
  <c r="AP52" i="59" a="1"/>
  <c r="AQ70" i="59" a="1"/>
  <c r="AP36" i="59" a="1"/>
  <c r="AQ60" i="58" a="1"/>
  <c r="AA16" i="58"/>
  <c r="Z10" i="59"/>
  <c r="AP55" i="59" a="1"/>
  <c r="AQ7" i="59" a="1"/>
  <c r="AR68" i="58" a="1"/>
  <c r="AS19" i="59" a="1"/>
  <c r="AQ31" i="58" a="1"/>
  <c r="AR42" i="59" a="1"/>
  <c r="AG46" i="58"/>
  <c r="AP43" i="59" a="1"/>
  <c r="AA64" i="58"/>
  <c r="AQ34" i="58" a="1"/>
  <c r="AP79" i="59" a="1"/>
  <c r="AB58" i="58"/>
  <c r="AR71" i="59" a="1"/>
  <c r="AR15" i="59" a="1"/>
  <c r="AQ35" i="58" a="1"/>
  <c r="AP79" i="58" a="1"/>
  <c r="AR79" i="58" a="1"/>
  <c r="AE82" i="59"/>
  <c r="AQ37" i="59" a="1"/>
  <c r="AS77" i="59" a="1"/>
  <c r="AS8" i="58" a="1"/>
  <c r="AE34" i="58"/>
  <c r="AC52" i="59"/>
  <c r="AS62" i="59" a="1"/>
  <c r="AP14" i="59" a="1"/>
  <c r="AQ49" i="58" a="1"/>
  <c r="AQ61" i="59" a="1"/>
  <c r="AS30" i="58" a="1"/>
  <c r="AQ29" i="59" a="1"/>
  <c r="AQ16" i="58" a="1"/>
  <c r="AS24" i="58" a="1"/>
  <c r="AR20" i="59" a="1"/>
  <c r="AP87" i="58" a="1"/>
  <c r="X64" i="59"/>
  <c r="AP63" i="59" a="1"/>
  <c r="AR57" i="58" a="1"/>
  <c r="AF10" i="58"/>
  <c r="X58" i="59"/>
  <c r="AE76" i="59"/>
  <c r="AP17" i="58" a="1"/>
  <c r="AP13" i="58" a="1"/>
  <c r="AR62" i="59" a="1"/>
  <c r="AP22" i="58" a="1"/>
  <c r="AQ28" i="59" a="1"/>
  <c r="AR75" i="58" a="1"/>
  <c r="AQ57" i="59" a="1"/>
  <c r="AS5" i="58" a="1"/>
  <c r="AQ39" i="58" a="1"/>
  <c r="AS35" i="58" a="1"/>
  <c r="AS66" i="58" a="1"/>
  <c r="AB76" i="59"/>
  <c r="AP76" i="59" a="1"/>
  <c r="AR84" i="58" a="1"/>
  <c r="AR17" i="58" a="1"/>
  <c r="AP40" i="59" a="1"/>
  <c r="AS33" i="59" a="1"/>
  <c r="AS46" i="59" a="1"/>
  <c r="AR45" i="58" a="1"/>
  <c r="AS21" i="59" a="1"/>
  <c r="AS15" i="58" a="1"/>
  <c r="AH4" i="58"/>
  <c r="X28" i="59"/>
  <c r="X40" i="58"/>
  <c r="AR7" i="58" a="1"/>
  <c r="AQ11" i="58" a="1"/>
  <c r="AP57" i="59" a="1"/>
  <c r="AQ31" i="59" a="1"/>
  <c r="AR21" i="59" a="1"/>
  <c r="AF52" i="59"/>
  <c r="AR65" i="58" a="1"/>
  <c r="AA10" i="59"/>
  <c r="AG76" i="59"/>
  <c r="AH40" i="58"/>
  <c r="Z22" i="58"/>
  <c r="AR75" i="59" a="1"/>
  <c r="Y82" i="59"/>
  <c r="AR21" i="58" a="1"/>
  <c r="AQ77" i="58" a="1"/>
  <c r="AQ13" i="59" a="1"/>
  <c r="AG82" i="58"/>
  <c r="Y46" i="59"/>
  <c r="AS57" i="58" a="1"/>
  <c r="AQ75" i="59" a="1"/>
  <c r="AR45" i="59" a="1"/>
  <c r="AS35" i="59" a="1"/>
  <c r="X82" i="58"/>
  <c r="AR82" i="58" a="1"/>
  <c r="AP56" i="59" a="1"/>
  <c r="AQ66" i="59" a="1"/>
  <c r="Z64" i="59"/>
  <c r="AE10" i="59"/>
  <c r="AQ23" i="59" a="1"/>
  <c r="AS51" i="58" a="1"/>
  <c r="AR57" i="59" a="1"/>
  <c r="X40" i="59"/>
  <c r="AA22" i="58"/>
  <c r="AR56" i="58" a="1"/>
  <c r="AB64" i="58"/>
  <c r="AP16" i="59" a="1"/>
  <c r="AA76" i="58"/>
  <c r="AS54" i="58" a="1"/>
  <c r="AC58" i="58"/>
  <c r="AQ25" i="58" a="1"/>
  <c r="AS49" i="58" a="1"/>
  <c r="AS58" i="59" a="1"/>
  <c r="AQ48" i="59" a="1"/>
  <c r="AR39" i="59" a="1"/>
  <c r="AP50" i="58" a="1"/>
  <c r="AR35" i="59" a="1"/>
  <c r="AP46" i="58" a="1"/>
  <c r="AG64" i="59"/>
  <c r="AP85" i="59" a="1"/>
  <c r="AP85" i="58" a="1"/>
  <c r="AP47" i="58" a="1"/>
  <c r="AR66" i="58" a="1"/>
  <c r="AR67" i="59" a="1"/>
  <c r="AH34" i="59"/>
  <c r="AR31" i="59" a="1"/>
  <c r="AA70" i="58"/>
  <c r="AR72" i="59" a="1"/>
  <c r="AP64" i="59" a="1"/>
  <c r="AR81" i="59" a="1"/>
  <c r="AR7" i="59" a="1"/>
  <c r="X52" i="58"/>
  <c r="AQ17" i="59" a="1"/>
  <c r="AC4" i="58"/>
  <c r="AR72" i="58" a="1"/>
  <c r="AQ38" i="58" a="1"/>
  <c r="AS87" i="59" a="1"/>
  <c r="AP73" i="58" a="1"/>
  <c r="AS37" i="59" a="1"/>
  <c r="AQ26" i="58" a="1"/>
  <c r="AQ41" i="58" a="1"/>
  <c r="AQ10" i="59" a="1"/>
  <c r="AQ4" i="59" a="1"/>
  <c r="AQ58" i="59" a="1"/>
  <c r="AQ16" i="59" a="1"/>
  <c r="AQ83" i="59" a="1"/>
  <c r="Z10" i="58"/>
  <c r="AP82" i="59" a="1"/>
  <c r="AR65" i="59" a="1"/>
  <c r="AS17" i="59" a="1"/>
  <c r="AQ14" i="59" a="1"/>
  <c r="AS52" i="58" a="1"/>
  <c r="AC40" i="59"/>
  <c r="AQ78" i="59" a="1"/>
  <c r="AS55" i="58" a="1"/>
  <c r="AP10" i="58" a="1"/>
  <c r="AC4" i="59"/>
  <c r="AS46" i="58" a="1"/>
  <c r="AR76" i="59" a="1"/>
  <c r="AP33" i="59" a="1"/>
  <c r="AP76" i="58" a="1"/>
  <c r="AR86" i="59" a="1"/>
  <c r="AB28" i="59"/>
  <c r="AQ72" i="59" a="1"/>
  <c r="AR20" i="58" a="1"/>
  <c r="AE40" i="59"/>
  <c r="Z52" i="58"/>
  <c r="AS60" i="59" a="1"/>
  <c r="AS65" i="58" a="1"/>
  <c r="AP48" i="58" a="1"/>
  <c r="AQ47" i="59" a="1"/>
  <c r="AP47" i="59" a="1"/>
  <c r="AP11" i="58" a="1"/>
  <c r="AR73" i="59" a="1"/>
  <c r="Z40" i="59"/>
  <c r="AQ58" i="58" a="1"/>
  <c r="AR44" i="59" a="1"/>
  <c r="Y70" i="59"/>
  <c r="AS43" i="58" a="1"/>
  <c r="AR39" i="58" a="1"/>
  <c r="AR9" i="58" a="1"/>
  <c r="AQ72" i="58" a="1"/>
  <c r="AR5" i="59" a="1"/>
  <c r="AH10" i="59"/>
  <c r="AQ21" i="59" a="1"/>
  <c r="X16" i="59"/>
  <c r="X70" i="59"/>
  <c r="AS52" i="59" a="1"/>
  <c r="AP65" i="59" a="1"/>
  <c r="AR19" i="59" a="1"/>
  <c r="AC16" i="59"/>
  <c r="AS4" i="59" a="1"/>
  <c r="AS71" i="58" a="1"/>
  <c r="AQ14" i="58" a="1"/>
  <c r="AH70" i="59"/>
  <c r="AS51" i="59" a="1"/>
  <c r="Y4" i="59"/>
  <c r="AR55" i="59" a="1"/>
  <c r="AE52" i="59"/>
  <c r="AS6" i="59" a="1"/>
  <c r="AR11" i="59" a="1"/>
  <c r="AS26" i="58" a="1"/>
  <c r="AS14" i="58" a="1"/>
  <c r="AP15" i="59" a="1"/>
  <c r="AP84" i="59" a="1"/>
  <c r="AF22" i="59"/>
  <c r="AS45" i="59" a="1"/>
  <c r="AC58" i="59"/>
  <c r="AP35" i="59" a="1"/>
  <c r="AS5" i="59" a="1"/>
  <c r="AS43" i="59" a="1"/>
  <c r="AS73" i="58" a="1"/>
  <c r="AR43" i="59" a="1"/>
  <c r="AS69" i="59" a="1"/>
  <c r="AP32" i="59" a="1"/>
  <c r="AP42" i="58" a="1"/>
  <c r="AS38" i="58" a="1"/>
  <c r="AP65" i="58" a="1"/>
  <c r="AP59" i="59" a="1"/>
  <c r="AR64" i="58" a="1"/>
  <c r="AG58" i="59"/>
  <c r="AR4" i="59" a="1"/>
  <c r="AR13" i="58" a="1"/>
  <c r="X58" i="58"/>
  <c r="Z58" i="59"/>
  <c r="AR80" i="59" a="1"/>
  <c r="X16" i="58"/>
  <c r="AA76" i="59"/>
  <c r="AA52" i="59"/>
  <c r="AQ48" i="58" a="1"/>
  <c r="AS70" i="58" a="1"/>
  <c r="AR28" i="58" a="1"/>
  <c r="AP45" i="58" a="1"/>
  <c r="AS24" i="59" a="1"/>
  <c r="AQ63" i="58" a="1"/>
  <c r="AA34" i="59"/>
  <c r="AC10" i="59"/>
  <c r="AR40" i="58" a="1"/>
  <c r="AQ32" i="59" a="1"/>
  <c r="AS75" i="59" a="1"/>
  <c r="AH46" i="58"/>
  <c r="AC40" i="58"/>
  <c r="AS67" i="58" a="1"/>
  <c r="AS12" i="59" a="1"/>
  <c r="AP68" i="58" a="1"/>
  <c r="AS83" i="58" a="1"/>
  <c r="AP54" i="58" a="1"/>
  <c r="AQ28" i="58" a="1"/>
  <c r="AB70" i="58"/>
  <c r="AH16" i="59"/>
  <c r="Y64" i="59"/>
  <c r="AB16" i="58"/>
  <c r="AP22" i="59" a="1"/>
  <c r="AP8" i="58" a="1"/>
  <c r="AS41" i="59" a="1"/>
  <c r="AS32" i="58" a="1"/>
  <c r="AP80" i="59" a="1"/>
  <c r="AS56" i="58" a="1"/>
  <c r="AQ78" i="58" a="1"/>
  <c r="AP38" i="58" a="1"/>
  <c r="Z28" i="59"/>
  <c r="AQ66" i="58" a="1"/>
  <c r="AB82" i="58"/>
  <c r="AQ19" i="58" a="1"/>
  <c r="AR56" i="59" a="1"/>
  <c r="AS31" i="59" a="1"/>
  <c r="AR4" i="58" a="1"/>
  <c r="AQ87" i="58" a="1"/>
  <c r="Z70" i="58"/>
  <c r="AC28" i="58"/>
  <c r="AQ75" i="58" a="1"/>
  <c r="AQ62" i="58" a="1"/>
  <c r="AS39" i="58" a="1"/>
  <c r="AF46" i="58"/>
  <c r="AP41" i="58" a="1"/>
  <c r="AQ18" i="58" a="1"/>
  <c r="AS40" i="59" a="1"/>
  <c r="AP17" i="59" a="1"/>
  <c r="AQ45" i="58" a="1"/>
  <c r="AQ5" i="58" a="1"/>
  <c r="AP26" i="58" a="1"/>
  <c r="AC82" i="58"/>
  <c r="AH22" i="58"/>
  <c r="AF22" i="58"/>
  <c r="AA28" i="59"/>
  <c r="AS85" i="59" a="1"/>
  <c r="AQ5" i="59" a="1"/>
  <c r="AS85" i="58" a="1"/>
  <c r="AE40" i="58"/>
  <c r="AQ79" i="59" a="1"/>
  <c r="AQ9" i="58" a="1"/>
  <c r="AR14" i="58" a="1"/>
  <c r="AP72" i="59" a="1"/>
  <c r="AS16" i="58" a="1"/>
  <c r="AS78" i="58" a="1"/>
  <c r="AR60" i="59" a="1"/>
  <c r="AQ77" i="59" a="1"/>
  <c r="X22" i="58"/>
  <c r="Z46" i="59"/>
  <c r="AQ9" i="59" a="1"/>
  <c r="AP75" i="58" a="1"/>
  <c r="AQ62" i="59" a="1"/>
  <c r="AQ24" i="58" a="1"/>
  <c r="AG28" i="59"/>
  <c r="AA4" i="58"/>
  <c r="Y28" i="58"/>
  <c r="W3" i="57"/>
  <c r="AF76" i="58"/>
  <c r="AG4" i="59"/>
  <c r="AQ43" i="58" a="1"/>
  <c r="AP61" i="59" a="1"/>
  <c r="AR61" i="58" a="1"/>
  <c r="AR68" i="59" a="1"/>
  <c r="AR13" i="59" a="1"/>
  <c r="AS18" i="59" a="1"/>
  <c r="AR27" i="58" a="1"/>
  <c r="AS82" i="58" a="1"/>
  <c r="AR41" i="59" a="1"/>
  <c r="AS56" i="59" a="1"/>
  <c r="AS61" i="59" a="1"/>
  <c r="AQ15" i="59" a="1"/>
  <c r="AB10" i="58"/>
  <c r="AP23" i="58" a="1"/>
  <c r="AS40" i="58" a="1"/>
  <c r="AQ30" i="58" a="1"/>
  <c r="AP9" i="59" a="1"/>
  <c r="AS80" i="58" a="1"/>
  <c r="AQ74" i="59" a="1"/>
  <c r="AQ36" i="59" a="1"/>
  <c r="AH82" i="59"/>
  <c r="AQ29" i="58" a="1"/>
  <c r="AS76" i="58" a="1"/>
  <c r="AR8" i="58" a="1"/>
  <c r="AR66" i="59" a="1"/>
  <c r="AS42" i="58" a="1"/>
  <c r="AP49" i="58" a="1"/>
  <c r="AR32" i="59" a="1"/>
  <c r="AP4" i="58" a="1"/>
  <c r="AS48" i="58" a="1"/>
  <c r="AP4" i="59" a="1"/>
  <c r="AP81" i="59" a="1"/>
  <c r="AS79" i="59" a="1"/>
  <c r="Z16" i="58"/>
  <c r="AR67" i="58" a="1"/>
  <c r="AR10" i="58" a="1"/>
  <c r="AP67" i="59" a="1"/>
  <c r="AP77" i="59" a="1"/>
  <c r="X52" i="59"/>
  <c r="AQ42" i="58" a="1"/>
  <c r="AP20" i="59" a="1"/>
  <c r="AP34" i="58" a="1"/>
  <c r="AP12" i="59" a="1"/>
  <c r="AQ50" i="58" a="1"/>
  <c r="AP26" i="59" a="1"/>
  <c r="AP57" i="58" a="1"/>
  <c r="AS80" i="59" a="1"/>
  <c r="AS32" i="59" a="1"/>
  <c r="AP49" i="59" a="1"/>
  <c r="AE64" i="59"/>
  <c r="AS82" i="59" a="1"/>
  <c r="AQ40" i="59" a="1"/>
  <c r="AP37" i="58" a="1"/>
  <c r="AS86" i="58" a="1"/>
  <c r="AF4" i="59"/>
  <c r="AH34" i="58"/>
  <c r="AP25" i="59" a="1"/>
  <c r="AE16" i="58"/>
  <c r="AS37" i="58" a="1"/>
  <c r="AP10" i="59" a="1"/>
  <c r="AR34" i="59" a="1"/>
  <c r="AQ59" i="59" a="1"/>
  <c r="AP82" i="58" a="1"/>
  <c r="AQ17" i="58" a="1"/>
  <c r="AQ46" i="58" a="1"/>
  <c r="AS59" i="58" a="1"/>
  <c r="AP51" i="59" a="1"/>
  <c r="AP86" i="58" a="1"/>
  <c r="AQ81" i="59" a="1"/>
  <c r="AP5" i="59" a="1"/>
  <c r="AP21" i="59" a="1"/>
  <c r="Z64" i="58"/>
  <c r="AR50" i="58" a="1"/>
  <c r="AP87" i="59" a="1"/>
  <c r="AQ32" i="58" a="1"/>
  <c r="AR48" i="58" a="1"/>
  <c r="AS77" i="58" a="1"/>
  <c r="AB40" i="59"/>
  <c r="AS72" i="58" a="1"/>
  <c r="AQ22" i="58" a="1"/>
  <c r="X82" i="59"/>
  <c r="AG76" i="58"/>
  <c r="AR62" i="58" a="1"/>
  <c r="AP75" i="59" a="1"/>
  <c r="AP60" i="58" a="1"/>
  <c r="AR76" i="58" a="1"/>
  <c r="AE82" i="58"/>
  <c r="AR23" i="59" a="1"/>
  <c r="AF28" i="58"/>
  <c r="AQ55" i="59" a="1"/>
  <c r="Z22" i="59"/>
  <c r="AQ67" i="59" a="1"/>
  <c r="AR54" i="58" a="1"/>
  <c r="AP34" i="59" a="1"/>
  <c r="AP45" i="59" a="1"/>
  <c r="AQ74" i="58" a="1"/>
  <c r="AS88" i="58" a="1"/>
  <c r="AR93" i="58" a="1"/>
  <c r="AS92" i="58" a="1"/>
  <c r="AR91" i="58" a="1"/>
  <c r="AS93" i="58" a="1"/>
  <c r="AR89" i="58" a="1"/>
  <c r="AR92" i="58" a="1"/>
  <c r="AR90" i="58" a="1"/>
  <c r="AS90" i="58" a="1"/>
  <c r="AS91" i="58" a="1"/>
  <c r="AS89" i="58" a="1"/>
  <c r="AR88" i="58" a="1"/>
  <c r="Z88" i="58"/>
  <c r="AC88" i="58"/>
  <c r="AB88" i="58"/>
  <c r="AQ88" i="58" a="1"/>
  <c r="AP93" i="58" a="1"/>
  <c r="AP90" i="58" a="1"/>
  <c r="AQ92" i="58" a="1"/>
  <c r="Y88" i="58"/>
  <c r="AG88" i="58"/>
  <c r="X88" i="58"/>
  <c r="AP91" i="58" a="1"/>
  <c r="AQ90" i="58" a="1"/>
  <c r="AE88" i="58"/>
  <c r="AP92" i="58" a="1"/>
  <c r="AA88" i="58"/>
  <c r="AQ93" i="58" a="1"/>
  <c r="AH88" i="58"/>
  <c r="AQ91" i="58" a="1"/>
  <c r="AP89" i="58" a="1"/>
  <c r="AQ89" i="58" a="1"/>
  <c r="AP88" i="58" a="1"/>
  <c r="AF88" i="58"/>
  <c r="AR89" i="59" a="1"/>
  <c r="AS91" i="59" a="1"/>
  <c r="AS89" i="59" a="1"/>
  <c r="AR92" i="59" a="1"/>
  <c r="AS88" i="59" a="1"/>
  <c r="AR91" i="59" a="1"/>
  <c r="AS92" i="59" a="1"/>
  <c r="AR90" i="59" a="1"/>
  <c r="AS93" i="59" a="1"/>
  <c r="AS90" i="59" a="1"/>
  <c r="AR88" i="59" a="1"/>
  <c r="AR93" i="59" a="1"/>
  <c r="AC88" i="59"/>
  <c r="Z88" i="59"/>
  <c r="AB88" i="59"/>
  <c r="AG88" i="59"/>
  <c r="X88" i="59"/>
  <c r="AQ93" i="59" a="1"/>
  <c r="AQ92" i="59" a="1"/>
  <c r="AP90" i="59" a="1"/>
  <c r="AQ89" i="59" a="1"/>
  <c r="AH88" i="59"/>
  <c r="AQ91" i="59" a="1"/>
  <c r="AP88" i="59" a="1"/>
  <c r="AP89" i="59" a="1"/>
  <c r="Y88" i="59"/>
  <c r="AE88" i="59"/>
  <c r="AP91" i="59" a="1"/>
  <c r="AA88" i="59"/>
  <c r="AQ90" i="59" a="1"/>
  <c r="AQ88" i="59" a="1"/>
  <c r="AP93" i="59" a="1"/>
  <c r="AP92" i="59" a="1"/>
  <c r="AF88" i="59"/>
  <c r="AS91" i="44" a="1"/>
  <c r="AR89" i="44" a="1"/>
  <c r="AS90" i="44" a="1"/>
  <c r="AR92" i="44" a="1"/>
  <c r="AS93" i="44" a="1"/>
  <c r="AR88" i="44" a="1"/>
  <c r="AR93" i="44" a="1"/>
  <c r="AR90" i="44" a="1"/>
  <c r="AS88" i="44" a="1"/>
  <c r="AS89" i="44" a="1"/>
  <c r="AS92" i="44" a="1"/>
  <c r="AR91" i="44" a="1"/>
  <c r="AC88" i="44"/>
  <c r="Z88" i="44"/>
  <c r="AB88" i="44"/>
  <c r="AQ93" i="44" a="1"/>
  <c r="AP92" i="44" a="1"/>
  <c r="AA88" i="44"/>
  <c r="AF88" i="44"/>
  <c r="AH88" i="44"/>
  <c r="AQ88" i="44" a="1"/>
  <c r="AQ90" i="44" a="1"/>
  <c r="AP91" i="44" a="1"/>
  <c r="AP93" i="44" a="1"/>
  <c r="Y88" i="44"/>
  <c r="AE88" i="44"/>
  <c r="AP89" i="44" a="1"/>
  <c r="AQ89" i="44" a="1"/>
  <c r="AG88" i="44"/>
  <c r="AQ92" i="44" a="1"/>
  <c r="AP88" i="44" a="1"/>
  <c r="AQ91" i="44" a="1"/>
  <c r="AP90" i="44" a="1"/>
  <c r="AF15" i="40"/>
  <c r="AA98" i="58" l="1"/>
  <c r="AA94" i="58"/>
  <c r="AR68" i="59"/>
  <c r="AP33" i="58"/>
  <c r="AS65" i="59"/>
  <c r="AS6" i="58"/>
  <c r="AP64" i="58"/>
  <c r="AS4" i="59"/>
  <c r="AP51" i="59"/>
  <c r="AS17" i="58"/>
  <c r="AQ72" i="58"/>
  <c r="AS11" i="59"/>
  <c r="AS21" i="58"/>
  <c r="AP42" i="59"/>
  <c r="AR79" i="58"/>
  <c r="AS80" i="59"/>
  <c r="AS43" i="59"/>
  <c r="AP38" i="58"/>
  <c r="AS70" i="59"/>
  <c r="AQ27" i="58"/>
  <c r="AP49" i="58"/>
  <c r="AQ83" i="59"/>
  <c r="AQ69" i="59"/>
  <c r="AR72" i="58"/>
  <c r="AQ56" i="59"/>
  <c r="AR43" i="59"/>
  <c r="AQ47" i="58"/>
  <c r="AR37" i="58"/>
  <c r="AQ41" i="59"/>
  <c r="AP33" i="59"/>
  <c r="AB99" i="58"/>
  <c r="AS45" i="59"/>
  <c r="AR43" i="58"/>
  <c r="AS22" i="58"/>
  <c r="AR63" i="58"/>
  <c r="AP60" i="59"/>
  <c r="AP16" i="59"/>
  <c r="AQ23" i="59"/>
  <c r="AG100" i="58"/>
  <c r="H57" i="35" s="1"/>
  <c r="AQ5" i="58"/>
  <c r="AS57" i="58"/>
  <c r="AP58" i="59"/>
  <c r="AP78" i="58"/>
  <c r="AS58" i="58"/>
  <c r="AR12" i="58"/>
  <c r="Z100" i="59"/>
  <c r="AQ10" i="58"/>
  <c r="AR35" i="59"/>
  <c r="AS50" i="58"/>
  <c r="AP10" i="58"/>
  <c r="AP76" i="58"/>
  <c r="AQ74" i="58"/>
  <c r="AA97" i="59"/>
  <c r="AR51" i="58"/>
  <c r="AP45" i="59"/>
  <c r="AR68" i="58"/>
  <c r="AH99" i="58"/>
  <c r="I56" i="35" s="1"/>
  <c r="AP41" i="59"/>
  <c r="AR57" i="58"/>
  <c r="AB99" i="59"/>
  <c r="AP31" i="58"/>
  <c r="AR16" i="58"/>
  <c r="AS63" i="59"/>
  <c r="AR7" i="58"/>
  <c r="AH98" i="58"/>
  <c r="I55" i="35" s="1"/>
  <c r="AH94" i="58"/>
  <c r="I51" i="35" s="1"/>
  <c r="AP35" i="59"/>
  <c r="AQ25" i="58"/>
  <c r="AS88" i="44"/>
  <c r="AR91" i="58"/>
  <c r="AS10" i="59"/>
  <c r="AS22" i="59"/>
  <c r="AS34" i="59"/>
  <c r="AP90" i="59"/>
  <c r="AQ54" i="59"/>
  <c r="Z97" i="59"/>
  <c r="AQ80" i="58"/>
  <c r="AS90" i="59"/>
  <c r="AQ58" i="58"/>
  <c r="AP8" i="58"/>
  <c r="AQ53" i="58"/>
  <c r="AR92" i="59"/>
  <c r="AR78" i="59"/>
  <c r="AQ90" i="44"/>
  <c r="AP28" i="58"/>
  <c r="AP40" i="59"/>
  <c r="AR76" i="58"/>
  <c r="AQ42" i="58"/>
  <c r="AP28" i="59"/>
  <c r="AR48" i="58"/>
  <c r="AQ37" i="58"/>
  <c r="AS28" i="59"/>
  <c r="AR22" i="58"/>
  <c r="AR84" i="59"/>
  <c r="AP64" i="59"/>
  <c r="AQ59" i="59"/>
  <c r="AS18" i="58"/>
  <c r="AS60" i="59"/>
  <c r="X96" i="58"/>
  <c r="C53" i="35" s="1"/>
  <c r="AR86" i="58"/>
  <c r="AR88" i="59"/>
  <c r="AP79" i="59"/>
  <c r="AQ75" i="58"/>
  <c r="AR71" i="58"/>
  <c r="AQ77" i="59"/>
  <c r="AR52" i="59"/>
  <c r="AG100" i="59"/>
  <c r="H34" i="35" s="1"/>
  <c r="AQ39" i="59"/>
  <c r="Y95" i="58"/>
  <c r="AR85" i="58"/>
  <c r="AR46" i="59"/>
  <c r="Y99" i="59"/>
  <c r="AQ15" i="59"/>
  <c r="AB96" i="59"/>
  <c r="AQ20" i="59"/>
  <c r="AQ37" i="59"/>
  <c r="Z98" i="59"/>
  <c r="Z94" i="59"/>
  <c r="AS88" i="59"/>
  <c r="AA96" i="58"/>
  <c r="AS83" i="58"/>
  <c r="AS64" i="58"/>
  <c r="X99" i="59"/>
  <c r="C33" i="35" s="1"/>
  <c r="AS25" i="59"/>
  <c r="AS80" i="58"/>
  <c r="AQ32" i="58"/>
  <c r="AS43" i="58"/>
  <c r="AP23" i="59"/>
  <c r="Y95" i="59"/>
  <c r="AQ16" i="58"/>
  <c r="AP41" i="58"/>
  <c r="AR10" i="59"/>
  <c r="AR22" i="59"/>
  <c r="Z96" i="58"/>
  <c r="AQ48" i="59"/>
  <c r="AP67" i="58"/>
  <c r="AS26" i="58"/>
  <c r="AR34" i="58"/>
  <c r="Y94" i="59"/>
  <c r="Y98" i="59"/>
  <c r="AR50" i="59"/>
  <c r="Z96" i="59"/>
  <c r="AP89" i="59"/>
  <c r="AS42" i="58"/>
  <c r="AP29" i="58"/>
  <c r="AP93" i="59"/>
  <c r="AS60" i="58"/>
  <c r="AR60" i="58"/>
  <c r="AP59" i="59"/>
  <c r="AQ22" i="59"/>
  <c r="AP47" i="58"/>
  <c r="AB97" i="59"/>
  <c r="AB98" i="59"/>
  <c r="AB94" i="59"/>
  <c r="AS47" i="59"/>
  <c r="AR45" i="58"/>
  <c r="AP8" i="59"/>
  <c r="AP74" i="59"/>
  <c r="AP4" i="59"/>
  <c r="AP7" i="58"/>
  <c r="AS85" i="58"/>
  <c r="AQ59" i="58"/>
  <c r="Y96" i="58"/>
  <c r="AP34" i="59"/>
  <c r="AR8" i="59"/>
  <c r="AP11" i="58"/>
  <c r="AP44" i="58"/>
  <c r="AS25" i="58"/>
  <c r="AP26" i="59"/>
  <c r="AS23" i="59"/>
  <c r="AQ86" i="58"/>
  <c r="AR11" i="58"/>
  <c r="AR5" i="58"/>
  <c r="AS44" i="59"/>
  <c r="AQ70" i="58"/>
  <c r="AQ41" i="58"/>
  <c r="AR28" i="58"/>
  <c r="AS59" i="58"/>
  <c r="AP92" i="59"/>
  <c r="AR31" i="59"/>
  <c r="AP22" i="59"/>
  <c r="AS62" i="59"/>
  <c r="AF96" i="59"/>
  <c r="G30" i="35" s="1"/>
  <c r="AQ45" i="59"/>
  <c r="AR15" i="59"/>
  <c r="AP90" i="58"/>
  <c r="X98" i="58"/>
  <c r="C55" i="35" s="1"/>
  <c r="X94" i="58"/>
  <c r="C51" i="35" s="1"/>
  <c r="AQ39" i="58"/>
  <c r="Y97" i="59"/>
  <c r="AP72" i="59"/>
  <c r="AQ84" i="59"/>
  <c r="AQ79" i="59"/>
  <c r="AP5" i="59"/>
  <c r="AP52" i="58"/>
  <c r="AP9" i="59"/>
  <c r="AH98" i="59"/>
  <c r="I32" i="35" s="1"/>
  <c r="AH94" i="59"/>
  <c r="I28" i="35" s="1"/>
  <c r="AB100" i="59"/>
  <c r="AS37" i="58"/>
  <c r="AS12" i="58"/>
  <c r="AF94" i="59"/>
  <c r="G28" i="35" s="1"/>
  <c r="AF98" i="59"/>
  <c r="G32" i="35" s="1"/>
  <c r="X96" i="59"/>
  <c r="C30" i="35" s="1"/>
  <c r="AR58" i="58"/>
  <c r="AQ91" i="59"/>
  <c r="AR85" i="59"/>
  <c r="AQ60" i="58"/>
  <c r="AR82" i="58"/>
  <c r="AQ26" i="58"/>
  <c r="AQ13" i="59"/>
  <c r="AQ13" i="58"/>
  <c r="AQ45" i="58"/>
  <c r="AS30" i="59"/>
  <c r="AS30" i="58"/>
  <c r="AR41" i="59"/>
  <c r="AP81" i="58"/>
  <c r="AQ89" i="59"/>
  <c r="AR6" i="58"/>
  <c r="AR55" i="58"/>
  <c r="AR6" i="59"/>
  <c r="AQ88" i="59"/>
  <c r="AR23" i="59"/>
  <c r="AR33" i="59"/>
  <c r="AQ6" i="58"/>
  <c r="AR89" i="59"/>
  <c r="AS24" i="59"/>
  <c r="X99" i="58"/>
  <c r="C56" i="35" s="1"/>
  <c r="AP18" i="59"/>
  <c r="AE94" i="58"/>
  <c r="F51" i="35" s="1"/>
  <c r="AE98" i="58"/>
  <c r="F55" i="35" s="1"/>
  <c r="X97" i="58"/>
  <c r="C54" i="35" s="1"/>
  <c r="AQ51" i="58"/>
  <c r="AP89" i="58"/>
  <c r="AS39" i="58"/>
  <c r="AS44" i="58"/>
  <c r="AP88" i="44"/>
  <c r="AS84" i="58"/>
  <c r="AA95" i="58"/>
  <c r="X94" i="59"/>
  <c r="C28" i="35" s="1"/>
  <c r="X98" i="59"/>
  <c r="C32" i="35" s="1"/>
  <c r="AP32" i="58"/>
  <c r="AS20" i="58"/>
  <c r="AP67" i="59"/>
  <c r="AQ36" i="58"/>
  <c r="AA96" i="59"/>
  <c r="AS62" i="58"/>
  <c r="AP13" i="58"/>
  <c r="AP17" i="58"/>
  <c r="AP87" i="58"/>
  <c r="AQ46" i="59"/>
  <c r="AR79" i="59"/>
  <c r="AS38" i="58"/>
  <c r="AG95" i="59"/>
  <c r="H29" i="35" s="1"/>
  <c r="AS69" i="59"/>
  <c r="AR69" i="58"/>
  <c r="AS53" i="58"/>
  <c r="AP92" i="44"/>
  <c r="AP62" i="59"/>
  <c r="AS76" i="59"/>
  <c r="AA99" i="59"/>
  <c r="AR59" i="58"/>
  <c r="AP66" i="59"/>
  <c r="AP65" i="59"/>
  <c r="AR36" i="58"/>
  <c r="AH99" i="59"/>
  <c r="I33" i="35" s="1"/>
  <c r="AP53" i="58"/>
  <c r="AR7" i="59"/>
  <c r="AB100" i="58"/>
  <c r="AP48" i="58"/>
  <c r="AR20" i="58"/>
  <c r="AS69" i="58"/>
  <c r="AP68" i="59"/>
  <c r="AP55" i="58"/>
  <c r="AP16" i="58"/>
  <c r="AR49" i="59"/>
  <c r="AQ87" i="59"/>
  <c r="AS67" i="58"/>
  <c r="AG95" i="58"/>
  <c r="H52" i="35" s="1"/>
  <c r="AQ22" i="58"/>
  <c r="AP30" i="59"/>
  <c r="AS9" i="59"/>
  <c r="AQ81" i="59"/>
  <c r="AQ77" i="58"/>
  <c r="AP71" i="58"/>
  <c r="AR66" i="58"/>
  <c r="AP85" i="59"/>
  <c r="AR64" i="59"/>
  <c r="AS10" i="58"/>
  <c r="AP31" i="59"/>
  <c r="AS68" i="58"/>
  <c r="AS93" i="44"/>
  <c r="AS48" i="58"/>
  <c r="AQ4" i="59"/>
  <c r="AS20" i="59"/>
  <c r="AQ36" i="59"/>
  <c r="AR20" i="59"/>
  <c r="Z99" i="59"/>
  <c r="AP12" i="58"/>
  <c r="AA95" i="59"/>
  <c r="AP57" i="59"/>
  <c r="AR73" i="58"/>
  <c r="AP49" i="59"/>
  <c r="AR26" i="59"/>
  <c r="AP40" i="58"/>
  <c r="AS41" i="58"/>
  <c r="AP46" i="59"/>
  <c r="AR62" i="58"/>
  <c r="AR14" i="58"/>
  <c r="AQ93" i="58"/>
  <c r="AF99" i="58"/>
  <c r="G56" i="35" s="1"/>
  <c r="AR25" i="59"/>
  <c r="AC99" i="58"/>
  <c r="D56" i="35" s="1"/>
  <c r="AS78" i="59"/>
  <c r="AS79" i="58"/>
  <c r="AR52" i="58"/>
  <c r="AQ49" i="58"/>
  <c r="AR87" i="59"/>
  <c r="AS8" i="58"/>
  <c r="AG98" i="59"/>
  <c r="H32" i="35" s="1"/>
  <c r="AG94" i="59"/>
  <c r="H28" i="35" s="1"/>
  <c r="AP80" i="58"/>
  <c r="AQ50" i="58"/>
  <c r="AR4" i="59"/>
  <c r="AQ68" i="59"/>
  <c r="AR42" i="59"/>
  <c r="AR88" i="58"/>
  <c r="AS79" i="59"/>
  <c r="AQ63" i="58"/>
  <c r="AQ66" i="59"/>
  <c r="Y94" i="58"/>
  <c r="Y98" i="58"/>
  <c r="AR74" i="59"/>
  <c r="AR53" i="58"/>
  <c r="AR31" i="58"/>
  <c r="AQ52" i="58"/>
  <c r="AQ51" i="59"/>
  <c r="AR56" i="59"/>
  <c r="AS81" i="59"/>
  <c r="AP46" i="58"/>
  <c r="AR46" i="58"/>
  <c r="AS19" i="59"/>
  <c r="AP25" i="58"/>
  <c r="AQ28" i="58"/>
  <c r="AS71" i="59"/>
  <c r="AF97" i="59"/>
  <c r="G31" i="35" s="1"/>
  <c r="AR9" i="58"/>
  <c r="AQ17" i="58"/>
  <c r="AQ82" i="58"/>
  <c r="AQ4" i="58"/>
  <c r="AS5" i="59"/>
  <c r="AH100" i="59"/>
  <c r="I34" i="35" s="1"/>
  <c r="AQ78" i="58"/>
  <c r="AP32" i="59"/>
  <c r="AQ56" i="58"/>
  <c r="Z95" i="59"/>
  <c r="AP86" i="59"/>
  <c r="AR40" i="58"/>
  <c r="AQ16" i="59"/>
  <c r="AP22" i="58"/>
  <c r="AP6" i="58"/>
  <c r="AP76" i="59"/>
  <c r="AC94" i="58"/>
  <c r="D51" i="35" s="1"/>
  <c r="AC98" i="58"/>
  <c r="D55" i="35" s="1"/>
  <c r="AR69" i="59"/>
  <c r="AP23" i="58"/>
  <c r="AQ53" i="59"/>
  <c r="AS13" i="59"/>
  <c r="AP73" i="59"/>
  <c r="AQ43" i="58"/>
  <c r="AR76" i="59"/>
  <c r="AR9" i="59"/>
  <c r="AQ89" i="44"/>
  <c r="AH95" i="58"/>
  <c r="I52" i="35" s="1"/>
  <c r="AP50" i="59"/>
  <c r="AQ14" i="58"/>
  <c r="AE95" i="59"/>
  <c r="F29" i="35" s="1"/>
  <c r="AG96" i="58"/>
  <c r="H53" i="35" s="1"/>
  <c r="AS40" i="59"/>
  <c r="AR83" i="59"/>
  <c r="Z97" i="58"/>
  <c r="AQ14" i="59"/>
  <c r="AP88" i="59"/>
  <c r="AR77" i="58"/>
  <c r="AP50" i="58"/>
  <c r="AS55" i="58"/>
  <c r="AR4" i="58"/>
  <c r="AQ62" i="59"/>
  <c r="AS13" i="58"/>
  <c r="AQ38" i="59"/>
  <c r="AP82" i="59"/>
  <c r="AR75" i="58"/>
  <c r="AS87" i="58"/>
  <c r="AR19" i="58"/>
  <c r="AP63" i="59"/>
  <c r="AR54" i="59"/>
  <c r="AG97" i="59"/>
  <c r="H31" i="35" s="1"/>
  <c r="AP83" i="58"/>
  <c r="AS38" i="59"/>
  <c r="AH96" i="58"/>
  <c r="I53" i="35" s="1"/>
  <c r="AP21" i="58"/>
  <c r="AS15" i="58"/>
  <c r="AP57" i="58"/>
  <c r="AC97" i="58"/>
  <c r="D54" i="35" s="1"/>
  <c r="AP80" i="59"/>
  <c r="AQ55" i="59"/>
  <c r="AP60" i="58"/>
  <c r="AR57" i="59"/>
  <c r="AR36" i="59"/>
  <c r="AP48" i="59"/>
  <c r="AS14" i="59"/>
  <c r="AS76" i="58"/>
  <c r="AS29" i="59"/>
  <c r="AQ44" i="58"/>
  <c r="AR54" i="58"/>
  <c r="AS11" i="58"/>
  <c r="AS18" i="59"/>
  <c r="AR92" i="44"/>
  <c r="AP9" i="58"/>
  <c r="AP79" i="58"/>
  <c r="AR17" i="58"/>
  <c r="AP70" i="59"/>
  <c r="AQ71" i="59"/>
  <c r="AR89" i="58"/>
  <c r="AQ64" i="58"/>
  <c r="AS59" i="59"/>
  <c r="AR24" i="58"/>
  <c r="AQ26" i="59"/>
  <c r="AQ88" i="44"/>
  <c r="AR53" i="59"/>
  <c r="AR72" i="59"/>
  <c r="AR34" i="59"/>
  <c r="AS33" i="58"/>
  <c r="AS81" i="58"/>
  <c r="AR90" i="59"/>
  <c r="AR38" i="59"/>
  <c r="AQ66" i="58"/>
  <c r="AQ34" i="58"/>
  <c r="AR87" i="58"/>
  <c r="AR60" i="59"/>
  <c r="AP52" i="59"/>
  <c r="AS68" i="59"/>
  <c r="AP14" i="58"/>
  <c r="AP15" i="59"/>
  <c r="AS31" i="58"/>
  <c r="AS39" i="59"/>
  <c r="AR75" i="59"/>
  <c r="AS61" i="59"/>
  <c r="AR58" i="59"/>
  <c r="X100" i="59"/>
  <c r="C34" i="35" s="1"/>
  <c r="AP19" i="58"/>
  <c r="AR83" i="58"/>
  <c r="AS93" i="59"/>
  <c r="AS49" i="59"/>
  <c r="AP68" i="58"/>
  <c r="AS75" i="59"/>
  <c r="AR42" i="58"/>
  <c r="AS73" i="59"/>
  <c r="AQ15" i="58"/>
  <c r="AP87" i="59"/>
  <c r="AQ76" i="59"/>
  <c r="AE100" i="44"/>
  <c r="F11" i="35" s="1"/>
  <c r="AQ29" i="59"/>
  <c r="AR30" i="58"/>
  <c r="AQ40" i="59"/>
  <c r="AR18" i="59"/>
  <c r="AS46" i="58"/>
  <c r="AQ34" i="59"/>
  <c r="AR11" i="59"/>
  <c r="AP5" i="58"/>
  <c r="AS51" i="59"/>
  <c r="AQ25" i="59"/>
  <c r="AQ73" i="59"/>
  <c r="AR66" i="59"/>
  <c r="AH95" i="59"/>
  <c r="I29" i="35" s="1"/>
  <c r="AR32" i="58"/>
  <c r="AS36" i="59"/>
  <c r="AQ33" i="59"/>
  <c r="AF100" i="58"/>
  <c r="G57" i="35" s="1"/>
  <c r="AP19" i="59"/>
  <c r="AP85" i="58"/>
  <c r="AR29" i="59"/>
  <c r="AR61" i="58"/>
  <c r="AF100" i="44"/>
  <c r="G11" i="35" s="1"/>
  <c r="AS58" i="59"/>
  <c r="AR41" i="58"/>
  <c r="AQ18" i="59"/>
  <c r="AQ81" i="58"/>
  <c r="AP72" i="58"/>
  <c r="AS17" i="59"/>
  <c r="AP69" i="59"/>
  <c r="AR74" i="58"/>
  <c r="AQ5" i="59"/>
  <c r="AS87" i="59"/>
  <c r="AS7" i="58"/>
  <c r="AS66" i="59"/>
  <c r="AS63" i="58"/>
  <c r="AP47" i="59"/>
  <c r="AP29" i="59"/>
  <c r="AR21" i="59"/>
  <c r="X95" i="58"/>
  <c r="C52" i="35" s="1"/>
  <c r="AP91" i="59"/>
  <c r="AS64" i="59"/>
  <c r="AS46" i="59"/>
  <c r="AP83" i="59"/>
  <c r="AS35" i="58"/>
  <c r="AA100" i="59"/>
  <c r="AS7" i="59"/>
  <c r="AP43" i="58"/>
  <c r="AS74" i="59"/>
  <c r="X95" i="59"/>
  <c r="C29" i="35" s="1"/>
  <c r="AS70" i="58"/>
  <c r="AR45" i="59"/>
  <c r="AE95" i="58"/>
  <c r="F52" i="35" s="1"/>
  <c r="AQ46" i="58"/>
  <c r="AQ8" i="58"/>
  <c r="AH96" i="59"/>
  <c r="I30" i="35" s="1"/>
  <c r="AQ67" i="59"/>
  <c r="AQ93" i="59"/>
  <c r="AP91" i="44"/>
  <c r="AR38" i="58"/>
  <c r="AR71" i="59"/>
  <c r="AB95" i="59"/>
  <c r="AR67" i="58"/>
  <c r="Z94" i="58"/>
  <c r="Z98" i="58"/>
  <c r="AQ30" i="59"/>
  <c r="AR28" i="59"/>
  <c r="AQ24" i="59"/>
  <c r="AR70" i="59"/>
  <c r="AQ21" i="59"/>
  <c r="X97" i="59"/>
  <c r="C31" i="35" s="1"/>
  <c r="AP27" i="58"/>
  <c r="AQ30" i="58"/>
  <c r="AA99" i="58"/>
  <c r="AS86" i="58"/>
  <c r="AS73" i="58"/>
  <c r="AS9" i="58"/>
  <c r="AR59" i="59"/>
  <c r="AQ42" i="59"/>
  <c r="AQ7" i="59"/>
  <c r="AP36" i="59"/>
  <c r="AP58" i="58"/>
  <c r="AS67" i="59"/>
  <c r="AS37" i="59"/>
  <c r="AS92" i="59"/>
  <c r="AR44" i="58"/>
  <c r="AR89" i="44"/>
  <c r="AG96" i="59"/>
  <c r="H30" i="35" s="1"/>
  <c r="AQ61" i="59"/>
  <c r="AS82" i="58"/>
  <c r="AR18" i="58"/>
  <c r="AS91" i="44"/>
  <c r="AR86" i="59"/>
  <c r="AQ8" i="59"/>
  <c r="AR25" i="58"/>
  <c r="AP92" i="58"/>
  <c r="AQ6" i="59"/>
  <c r="AE99" i="58"/>
  <c r="F56" i="35" s="1"/>
  <c r="AR15" i="58"/>
  <c r="AE94" i="59"/>
  <c r="F28" i="35" s="1"/>
  <c r="AE98" i="59"/>
  <c r="F32" i="35" s="1"/>
  <c r="AP59" i="58"/>
  <c r="AS35" i="59"/>
  <c r="AR12" i="59"/>
  <c r="AR13" i="58"/>
  <c r="AA100" i="44"/>
  <c r="AR81" i="58"/>
  <c r="AQ62" i="58"/>
  <c r="AF98" i="58"/>
  <c r="G55" i="35" s="1"/>
  <c r="AF94" i="58"/>
  <c r="G51" i="35" s="1"/>
  <c r="AQ87" i="58"/>
  <c r="AC100" i="58"/>
  <c r="D57" i="35" s="1"/>
  <c r="AQ43" i="59"/>
  <c r="AS91" i="59"/>
  <c r="AS93" i="58"/>
  <c r="AR10" i="58"/>
  <c r="AS19" i="58"/>
  <c r="AP20" i="58"/>
  <c r="AP61" i="58"/>
  <c r="AP11" i="59"/>
  <c r="AR44" i="59"/>
  <c r="AC95" i="58"/>
  <c r="D52" i="35" s="1"/>
  <c r="AQ55" i="58"/>
  <c r="AP42" i="58"/>
  <c r="AQ44" i="59"/>
  <c r="AR90" i="44"/>
  <c r="AQ65" i="59"/>
  <c r="AR48" i="59"/>
  <c r="Y99" i="58"/>
  <c r="AS23" i="58"/>
  <c r="AF100" i="59"/>
  <c r="G34" i="35" s="1"/>
  <c r="AS4" i="58"/>
  <c r="AQ20" i="58"/>
  <c r="AP34" i="58"/>
  <c r="AS83" i="59"/>
  <c r="AS41" i="59"/>
  <c r="AR81" i="59"/>
  <c r="AP15" i="58"/>
  <c r="AQ35" i="59"/>
  <c r="AS65" i="58"/>
  <c r="AQ91" i="44"/>
  <c r="AQ72" i="59"/>
  <c r="AE99" i="59"/>
  <c r="F33" i="35" s="1"/>
  <c r="AP62" i="58"/>
  <c r="AG99" i="59"/>
  <c r="H33" i="35" s="1"/>
  <c r="AS16" i="59"/>
  <c r="AR47" i="59"/>
  <c r="AR33" i="58"/>
  <c r="AQ92" i="58"/>
  <c r="AS72" i="58"/>
  <c r="AS77" i="58"/>
  <c r="AQ67" i="58"/>
  <c r="AP86" i="58"/>
  <c r="AR21" i="58"/>
  <c r="AQ27" i="59"/>
  <c r="AQ63" i="59"/>
  <c r="AS92" i="58"/>
  <c r="AQ54" i="58"/>
  <c r="Y100" i="59"/>
  <c r="AP39" i="59"/>
  <c r="AQ7" i="58"/>
  <c r="AS47" i="58"/>
  <c r="AQ9" i="59"/>
  <c r="AQ11" i="59"/>
  <c r="AR55" i="59"/>
  <c r="AP84" i="58"/>
  <c r="AS32" i="58"/>
  <c r="AP4" i="58"/>
  <c r="AR32" i="59"/>
  <c r="AQ52" i="59"/>
  <c r="AP39" i="58"/>
  <c r="AQ74" i="59"/>
  <c r="AS24" i="58"/>
  <c r="AP93" i="44"/>
  <c r="AS57" i="59"/>
  <c r="AR65" i="58"/>
  <c r="AQ61" i="58"/>
  <c r="AQ11" i="58"/>
  <c r="AS8" i="59"/>
  <c r="AS32" i="59"/>
  <c r="AR70" i="58"/>
  <c r="AP20" i="59"/>
  <c r="AP51" i="58"/>
  <c r="AP35" i="58"/>
  <c r="AP6" i="59"/>
  <c r="AS26" i="59"/>
  <c r="AQ9" i="58"/>
  <c r="AQ93" i="44"/>
  <c r="AE97" i="59"/>
  <c r="F31" i="35" s="1"/>
  <c r="AG97" i="58"/>
  <c r="H54" i="35" s="1"/>
  <c r="AP26" i="58"/>
  <c r="AQ79" i="58"/>
  <c r="AP38" i="59"/>
  <c r="AB96" i="58"/>
  <c r="AP14" i="59"/>
  <c r="AS29" i="58"/>
  <c r="AS77" i="59"/>
  <c r="AS84" i="59"/>
  <c r="AP12" i="59"/>
  <c r="Y100" i="44"/>
  <c r="AP54" i="59"/>
  <c r="AS27" i="58"/>
  <c r="AP81" i="59"/>
  <c r="AQ91" i="58"/>
  <c r="AP45" i="58"/>
  <c r="AS55" i="59"/>
  <c r="AR80" i="59"/>
  <c r="AC100" i="59"/>
  <c r="D34" i="35" s="1"/>
  <c r="AQ65" i="58"/>
  <c r="AC100" i="44"/>
  <c r="D11" i="35" s="1"/>
  <c r="AR29" i="58"/>
  <c r="AR93" i="58"/>
  <c r="AH100" i="44"/>
  <c r="I11" i="35" s="1"/>
  <c r="AQ21" i="58"/>
  <c r="AQ19" i="58"/>
  <c r="AQ90" i="59"/>
  <c r="AQ24" i="58"/>
  <c r="AP54" i="58"/>
  <c r="AG98" i="58"/>
  <c r="H55" i="35" s="1"/>
  <c r="AG94" i="58"/>
  <c r="H51" i="35" s="1"/>
  <c r="AS5" i="58"/>
  <c r="AE100" i="58"/>
  <c r="F57" i="35" s="1"/>
  <c r="AS16" i="58"/>
  <c r="AR19" i="59"/>
  <c r="AS52" i="59"/>
  <c r="AP36" i="58"/>
  <c r="AP89" i="44"/>
  <c r="AR39" i="58"/>
  <c r="AP90" i="44"/>
  <c r="AP82" i="58"/>
  <c r="AR90" i="58"/>
  <c r="AR37" i="59"/>
  <c r="AS91" i="58"/>
  <c r="AS74" i="58"/>
  <c r="AP71" i="59"/>
  <c r="AR93" i="59"/>
  <c r="AQ12" i="59"/>
  <c r="AS56" i="58"/>
  <c r="AS14" i="58"/>
  <c r="AQ23" i="58"/>
  <c r="AA97" i="58"/>
  <c r="AC95" i="59"/>
  <c r="D29" i="35" s="1"/>
  <c r="AQ58" i="59"/>
  <c r="AQ10" i="59"/>
  <c r="AQ76" i="58"/>
  <c r="AC99" i="59"/>
  <c r="D33" i="35" s="1"/>
  <c r="AQ17" i="59"/>
  <c r="AP30" i="58"/>
  <c r="AB95" i="58"/>
  <c r="AR14" i="59"/>
  <c r="AP77" i="58"/>
  <c r="AH97" i="58"/>
  <c r="I54" i="35" s="1"/>
  <c r="AP27" i="59"/>
  <c r="AB94" i="58"/>
  <c r="AB98" i="58"/>
  <c r="AS88" i="58"/>
  <c r="AP84" i="59"/>
  <c r="AS66" i="58"/>
  <c r="AS48" i="59"/>
  <c r="AR16" i="59"/>
  <c r="AS71" i="58"/>
  <c r="AP56" i="59"/>
  <c r="AR61" i="59"/>
  <c r="AQ92" i="44"/>
  <c r="AG99" i="58"/>
  <c r="H56" i="35" s="1"/>
  <c r="AP63" i="58"/>
  <c r="AQ18" i="58"/>
  <c r="AS75" i="58"/>
  <c r="AS53" i="59"/>
  <c r="AF96" i="58"/>
  <c r="G53" i="35" s="1"/>
  <c r="AQ86" i="59"/>
  <c r="AR93" i="44"/>
  <c r="AR39" i="59"/>
  <c r="AQ85" i="59"/>
  <c r="AQ78" i="59"/>
  <c r="AS86" i="59"/>
  <c r="AH100" i="58"/>
  <c r="I57" i="35" s="1"/>
  <c r="X100" i="58"/>
  <c r="C57" i="35" s="1"/>
  <c r="Z95" i="58"/>
  <c r="AQ28" i="59"/>
  <c r="AR62" i="59"/>
  <c r="AQ80" i="59"/>
  <c r="AF99" i="59"/>
  <c r="G33" i="35" s="1"/>
  <c r="AR64" i="58"/>
  <c r="AR17" i="59"/>
  <c r="AR91" i="44"/>
  <c r="AS45" i="58"/>
  <c r="AF95" i="59"/>
  <c r="G29" i="35" s="1"/>
  <c r="AS21" i="59"/>
  <c r="AS89" i="59"/>
  <c r="AS54" i="58"/>
  <c r="AQ31" i="58"/>
  <c r="AR63" i="59"/>
  <c r="AP75" i="59"/>
  <c r="AS51" i="58"/>
  <c r="AQ33" i="58"/>
  <c r="AP21" i="59"/>
  <c r="AQ57" i="58"/>
  <c r="AR24" i="59"/>
  <c r="AR73" i="59"/>
  <c r="Z100" i="44"/>
  <c r="AR92" i="58"/>
  <c r="AR13" i="59"/>
  <c r="AA94" i="59"/>
  <c r="AA98" i="59"/>
  <c r="AQ35" i="58"/>
  <c r="AP91" i="58"/>
  <c r="AR84" i="58"/>
  <c r="Y100" i="58"/>
  <c r="AP77" i="59"/>
  <c r="AP66" i="58"/>
  <c r="AS28" i="58"/>
  <c r="AQ83" i="58"/>
  <c r="AQ29" i="58"/>
  <c r="AP70" i="58"/>
  <c r="AP74" i="58"/>
  <c r="AP10" i="59"/>
  <c r="AS90" i="58"/>
  <c r="AP7" i="59"/>
  <c r="AR27" i="59"/>
  <c r="AQ69" i="58"/>
  <c r="AR47" i="58"/>
  <c r="AS54" i="59"/>
  <c r="AS78" i="58"/>
  <c r="AS36" i="58"/>
  <c r="AQ60" i="59"/>
  <c r="AS52" i="58"/>
  <c r="AQ19" i="59"/>
  <c r="AE97" i="58"/>
  <c r="F54" i="35" s="1"/>
  <c r="AS56" i="59"/>
  <c r="Z100" i="58"/>
  <c r="AS89" i="58"/>
  <c r="AS15" i="59"/>
  <c r="Z99" i="58"/>
  <c r="AC97" i="59"/>
  <c r="D31" i="35" s="1"/>
  <c r="AS12" i="59"/>
  <c r="AR35" i="58"/>
  <c r="AQ32" i="59"/>
  <c r="AR49" i="58"/>
  <c r="AS90" i="44"/>
  <c r="AQ12" i="58"/>
  <c r="AR50" i="58"/>
  <c r="AP18" i="58"/>
  <c r="AQ82" i="59"/>
  <c r="AS92" i="44"/>
  <c r="AQ89" i="58"/>
  <c r="AR51" i="59"/>
  <c r="AQ84" i="58"/>
  <c r="AP43" i="59"/>
  <c r="AF97" i="58"/>
  <c r="G54" i="35" s="1"/>
  <c r="AC94" i="59"/>
  <c r="D28" i="35" s="1"/>
  <c r="AC98" i="59"/>
  <c r="D32" i="35" s="1"/>
  <c r="AQ64" i="59"/>
  <c r="AS42" i="59"/>
  <c r="AS6" i="59"/>
  <c r="AH97" i="59"/>
  <c r="I31" i="35" s="1"/>
  <c r="AP44" i="59"/>
  <c r="AQ49" i="59"/>
  <c r="AR8" i="58"/>
  <c r="AR5" i="59"/>
  <c r="AQ71" i="58"/>
  <c r="AQ68" i="58"/>
  <c r="AP24" i="58"/>
  <c r="AP65" i="58"/>
  <c r="AP88" i="58"/>
  <c r="AE100" i="59"/>
  <c r="F34" i="35" s="1"/>
  <c r="AR23" i="58"/>
  <c r="AS82" i="59"/>
  <c r="AS61" i="58"/>
  <c r="AS49" i="58"/>
  <c r="AS50" i="59"/>
  <c r="AC96" i="58"/>
  <c r="D53" i="35" s="1"/>
  <c r="AG100" i="44"/>
  <c r="H11" i="35" s="1"/>
  <c r="AP69" i="58"/>
  <c r="AR65" i="59"/>
  <c r="AQ40" i="58"/>
  <c r="AA100" i="58"/>
  <c r="AS85" i="59"/>
  <c r="AQ38" i="58"/>
  <c r="AP56" i="58"/>
  <c r="AP75" i="58"/>
  <c r="AQ50" i="59"/>
  <c r="AQ47" i="59"/>
  <c r="AQ73" i="58"/>
  <c r="AQ31" i="59"/>
  <c r="AR40" i="59"/>
  <c r="AP61" i="59"/>
  <c r="AP53" i="59"/>
  <c r="AS33" i="59"/>
  <c r="AR56" i="58"/>
  <c r="AQ85" i="58"/>
  <c r="AP13" i="59"/>
  <c r="AR30" i="59"/>
  <c r="AQ48" i="58"/>
  <c r="AQ75" i="59"/>
  <c r="AR82" i="59"/>
  <c r="AP93" i="58"/>
  <c r="AS34" i="58"/>
  <c r="AR67" i="59"/>
  <c r="AR77" i="59"/>
  <c r="AE96" i="58"/>
  <c r="F53" i="35" s="1"/>
  <c r="AS31" i="59"/>
  <c r="AS72" i="59"/>
  <c r="AB97" i="58"/>
  <c r="AQ88" i="58"/>
  <c r="AR78" i="58"/>
  <c r="AE96" i="59"/>
  <c r="F30" i="35" s="1"/>
  <c r="AQ57" i="59"/>
  <c r="AC96" i="59"/>
  <c r="D30" i="35" s="1"/>
  <c r="AR80" i="58"/>
  <c r="AR91" i="59"/>
  <c r="AF95" i="58"/>
  <c r="G52" i="35" s="1"/>
  <c r="AS27" i="59"/>
  <c r="AS40" i="58"/>
  <c r="AP25" i="59"/>
  <c r="AB100" i="44"/>
  <c r="AP37" i="58"/>
  <c r="AQ90" i="58"/>
  <c r="Y97" i="58"/>
  <c r="Y96" i="59"/>
  <c r="AP55" i="59"/>
  <c r="AQ70" i="59"/>
  <c r="AP37" i="59"/>
  <c r="AP78" i="59"/>
  <c r="AP73" i="58"/>
  <c r="AR88" i="44"/>
  <c r="AP24" i="59"/>
  <c r="AP17" i="59"/>
  <c r="AR26" i="58"/>
  <c r="AQ92" i="59"/>
  <c r="AR27" i="58"/>
  <c r="AS89" i="44"/>
  <c r="AD76" i="59" a="1"/>
  <c r="AD4" i="59" a="1"/>
  <c r="AD40" i="58" a="1"/>
  <c r="AD22" i="59" a="1"/>
  <c r="AD28" i="58" a="1"/>
  <c r="AD22" i="58" a="1"/>
  <c r="AD58" i="59" a="1"/>
  <c r="AD34" i="59" a="1"/>
  <c r="AD52" i="58" a="1"/>
  <c r="AD10" i="59" a="1"/>
  <c r="AD4" i="58" a="1"/>
  <c r="AD64" i="58" a="1"/>
  <c r="AD46" i="59" a="1"/>
  <c r="AD64" i="59" a="1"/>
  <c r="AD76" i="58" a="1"/>
  <c r="AD70" i="59" a="1"/>
  <c r="AD28" i="59" a="1"/>
  <c r="AD58" i="58" a="1"/>
  <c r="AD16" i="58" a="1"/>
  <c r="AD34" i="58" a="1"/>
  <c r="AD16" i="59" a="1"/>
  <c r="AD82" i="59" a="1"/>
  <c r="AD40" i="59" a="1"/>
  <c r="AD70" i="58" a="1"/>
  <c r="AD46" i="58" a="1"/>
  <c r="AD82" i="58" a="1"/>
  <c r="AD10" i="58" a="1"/>
  <c r="AD52" i="59" a="1"/>
  <c r="AD88" i="58" a="1"/>
  <c r="AD88" i="59" a="1"/>
  <c r="AD88" i="44" a="1"/>
  <c r="AD10" i="58" l="1"/>
  <c r="AD95" i="58" s="1"/>
  <c r="E52" i="35" s="1"/>
  <c r="AD40" i="59"/>
  <c r="AD16" i="59"/>
  <c r="AD28" i="59"/>
  <c r="AD58" i="58"/>
  <c r="AD34" i="59"/>
  <c r="AD22" i="58"/>
  <c r="AD52" i="59"/>
  <c r="AD4" i="59"/>
  <c r="AD94" i="59" s="1"/>
  <c r="E28" i="35" s="1"/>
  <c r="AD82" i="59"/>
  <c r="AD99" i="59" s="1"/>
  <c r="E33" i="35" s="1"/>
  <c r="AD10" i="59"/>
  <c r="AD64" i="58"/>
  <c r="AD70" i="59"/>
  <c r="AD88" i="44"/>
  <c r="AD100" i="44" s="1"/>
  <c r="E11" i="35" s="1"/>
  <c r="AD64" i="59"/>
  <c r="AD4" i="58"/>
  <c r="AD52" i="58"/>
  <c r="AD58" i="59"/>
  <c r="AD28" i="58"/>
  <c r="AD40" i="58"/>
  <c r="AD82" i="58"/>
  <c r="AD99" i="58" s="1"/>
  <c r="E56" i="35" s="1"/>
  <c r="AD88" i="59"/>
  <c r="AD100" i="59" s="1"/>
  <c r="E34" i="35" s="1"/>
  <c r="AD16" i="58"/>
  <c r="AD76" i="58"/>
  <c r="AD46" i="58"/>
  <c r="AD88" i="58"/>
  <c r="AD100" i="58" s="1"/>
  <c r="E57" i="35" s="1"/>
  <c r="AD70" i="58"/>
  <c r="AD22" i="59"/>
  <c r="AD76" i="59"/>
  <c r="AD34" i="58"/>
  <c r="AD46" i="59"/>
  <c r="T99" i="44"/>
  <c r="T98" i="44"/>
  <c r="S99" i="44"/>
  <c r="K99" i="44"/>
  <c r="J99" i="44"/>
  <c r="J98" i="44"/>
  <c r="J94" i="44"/>
  <c r="X4" i="44"/>
  <c r="AD95" i="59" l="1"/>
  <c r="E29" i="35" s="1"/>
  <c r="AD96" i="58"/>
  <c r="E53" i="35" s="1"/>
  <c r="AD98" i="58"/>
  <c r="E55" i="35" s="1"/>
  <c r="AD97" i="58"/>
  <c r="E54" i="35" s="1"/>
  <c r="AD94" i="58"/>
  <c r="E51" i="35" s="1"/>
  <c r="AD97" i="59"/>
  <c r="E31" i="35" s="1"/>
  <c r="AD98" i="59"/>
  <c r="E32" i="35" s="1"/>
  <c r="AD96" i="59"/>
  <c r="E30" i="35" s="1"/>
  <c r="X94" i="44"/>
  <c r="V87" i="44"/>
  <c r="U87" i="44"/>
  <c r="V86" i="44"/>
  <c r="U86" i="44"/>
  <c r="V85" i="44"/>
  <c r="U85" i="44"/>
  <c r="V84" i="44"/>
  <c r="U84" i="44"/>
  <c r="V83" i="44"/>
  <c r="U83" i="44"/>
  <c r="V82" i="44"/>
  <c r="U82" i="44"/>
  <c r="C1" i="51"/>
  <c r="C1" i="57"/>
  <c r="C1" i="56"/>
  <c r="C1" i="55"/>
  <c r="K94" i="44"/>
  <c r="AO37" i="57" a="1"/>
  <c r="AO10" i="57" a="1"/>
  <c r="AB82" i="44"/>
  <c r="AP14" i="57" a="1"/>
  <c r="AO17" i="57" a="1"/>
  <c r="AR84" i="44" a="1"/>
  <c r="AP43" i="55" a="1"/>
  <c r="AP40" i="55" a="1"/>
  <c r="AO36" i="57" a="1"/>
  <c r="AP25" i="57" a="1"/>
  <c r="AO12" i="57" a="1"/>
  <c r="AP85" i="44" a="1"/>
  <c r="AO23" i="57" a="1"/>
  <c r="AQ82" i="44" a="1"/>
  <c r="AO22" i="57" a="1"/>
  <c r="AP9" i="57" a="1"/>
  <c r="AO28" i="57" a="1"/>
  <c r="AO44" i="57" a="1"/>
  <c r="AP16" i="57" a="1"/>
  <c r="AP5" i="57" a="1"/>
  <c r="AO5" i="57" a="1"/>
  <c r="AO8" i="57" a="1"/>
  <c r="AP20" i="57" a="1"/>
  <c r="AO34" i="57" a="1"/>
  <c r="AP43" i="56" a="1"/>
  <c r="AO42" i="56" a="1"/>
  <c r="Z82" i="44"/>
  <c r="AO14" i="57" a="1"/>
  <c r="AO43" i="55" a="1"/>
  <c r="AP18" i="57" a="1"/>
  <c r="AP24" i="57" a="1"/>
  <c r="AP44" i="56" a="1"/>
  <c r="Y82" i="44"/>
  <c r="AP87" i="44" a="1"/>
  <c r="AQ86" i="44" a="1"/>
  <c r="AO41" i="56" a="1"/>
  <c r="AS85" i="44" a="1"/>
  <c r="AO26" i="57" a="1"/>
  <c r="AO3" i="57" a="1"/>
  <c r="AP26" i="57" a="1"/>
  <c r="AP83" i="44" a="1"/>
  <c r="AO27" i="57" a="1"/>
  <c r="AO42" i="55" a="1"/>
  <c r="AP39" i="55" a="1"/>
  <c r="AO41" i="57" a="1"/>
  <c r="AP36" i="57" a="1"/>
  <c r="AP12" i="57" a="1"/>
  <c r="AR85" i="44" a="1"/>
  <c r="AR86" i="44" a="1"/>
  <c r="AP39" i="57" a="1"/>
  <c r="AO15" i="57" a="1"/>
  <c r="AR82" i="44" a="1"/>
  <c r="AO40" i="55" a="1"/>
  <c r="AO7" i="57" a="1"/>
  <c r="AQ83" i="44" a="1"/>
  <c r="AP7" i="57" a="1"/>
  <c r="X82" i="44"/>
  <c r="AP41" i="56" a="1"/>
  <c r="AO29" i="57" a="1"/>
  <c r="AR87" i="44" a="1"/>
  <c r="AP22" i="57" a="1"/>
  <c r="AF82" i="44"/>
  <c r="AS86" i="44" a="1"/>
  <c r="AO19" i="57" a="1"/>
  <c r="AP43" i="57" a="1"/>
  <c r="AP30" i="57" a="1"/>
  <c r="AP13" i="57" a="1"/>
  <c r="AP21" i="57" a="1"/>
  <c r="AP39" i="56" a="1"/>
  <c r="AO44" i="55" a="1"/>
  <c r="AA82" i="44"/>
  <c r="AP42" i="56" a="1"/>
  <c r="AO42" i="57" a="1"/>
  <c r="AP42" i="55" a="1"/>
  <c r="AP33" i="57" a="1"/>
  <c r="AP27" i="57" a="1"/>
  <c r="AO25" i="57" a="1"/>
  <c r="AP42" i="57" a="1"/>
  <c r="AP84" i="44" a="1"/>
  <c r="AO41" i="55" a="1"/>
  <c r="AO13" i="57" a="1"/>
  <c r="AO31" i="57" a="1"/>
  <c r="AO40" i="57" a="1"/>
  <c r="AO40" i="56" a="1"/>
  <c r="AP40" i="56" a="1"/>
  <c r="AO20" i="57" a="1"/>
  <c r="AO38" i="57" a="1"/>
  <c r="AH82" i="44"/>
  <c r="AO21" i="57" a="1"/>
  <c r="AP41" i="55" a="1"/>
  <c r="AS83" i="44" a="1"/>
  <c r="AP10" i="57" a="1"/>
  <c r="AP82" i="44" a="1"/>
  <c r="AS87" i="44" a="1"/>
  <c r="AO35" i="57" a="1"/>
  <c r="AC82" i="44"/>
  <c r="AO4" i="57" a="1"/>
  <c r="AO24" i="57" a="1"/>
  <c r="AP37" i="57" a="1"/>
  <c r="AO39" i="55" a="1"/>
  <c r="AP23" i="57" a="1"/>
  <c r="AE82" i="44"/>
  <c r="AP32" i="57" a="1"/>
  <c r="AO39" i="56" a="1"/>
  <c r="AO33" i="57" a="1"/>
  <c r="AP31" i="57" a="1"/>
  <c r="AO30" i="57" a="1"/>
  <c r="AR83" i="44" a="1"/>
  <c r="AO16" i="57" a="1"/>
  <c r="AP41" i="57" a="1"/>
  <c r="AO44" i="56" a="1"/>
  <c r="AS82" i="44" a="1"/>
  <c r="AP8" i="57" a="1"/>
  <c r="AP15" i="57" a="1"/>
  <c r="AP34" i="57" a="1"/>
  <c r="AP17" i="57" a="1"/>
  <c r="AP29" i="57" a="1"/>
  <c r="AP38" i="57" a="1"/>
  <c r="AP4" i="57" a="1"/>
  <c r="AO11" i="57" a="1"/>
  <c r="AG82" i="44"/>
  <c r="AQ84" i="44" a="1"/>
  <c r="AP6" i="57" a="1"/>
  <c r="AP3" i="57" a="1"/>
  <c r="AO6" i="57" a="1"/>
  <c r="AQ87" i="44" a="1"/>
  <c r="AP40" i="57" a="1"/>
  <c r="AQ85" i="44" a="1"/>
  <c r="AP44" i="57" a="1"/>
  <c r="AP44" i="55" a="1"/>
  <c r="AO18" i="57" a="1"/>
  <c r="AP11" i="57" a="1"/>
  <c r="AP28" i="57" a="1"/>
  <c r="AO32" i="57" a="1"/>
  <c r="AP35" i="57" a="1"/>
  <c r="AO39" i="57" a="1"/>
  <c r="AO9" i="57" a="1"/>
  <c r="AS84" i="44" a="1"/>
  <c r="AP86" i="44" a="1"/>
  <c r="AP19" i="57" a="1"/>
  <c r="AO43" i="56" a="1"/>
  <c r="AO43" i="57" a="1"/>
  <c r="AB99" i="44" l="1"/>
  <c r="AF99" i="44"/>
  <c r="G10" i="35" s="1"/>
  <c r="AE99" i="44"/>
  <c r="F10" i="35" s="1"/>
  <c r="AG99" i="44"/>
  <c r="H10" i="35" s="1"/>
  <c r="AH99" i="44"/>
  <c r="I10" i="35" s="1"/>
  <c r="X99" i="44"/>
  <c r="C10" i="35" s="1"/>
  <c r="Y99" i="44"/>
  <c r="AA99" i="44"/>
  <c r="Z99" i="44"/>
  <c r="AC99" i="44"/>
  <c r="D10" i="35" s="1"/>
  <c r="V99" i="44"/>
  <c r="K10" i="35" s="1"/>
  <c r="U99" i="44"/>
  <c r="J10" i="35" s="1"/>
  <c r="AR83" i="44"/>
  <c r="AP85" i="44"/>
  <c r="AR87" i="44"/>
  <c r="AQ82" i="44"/>
  <c r="AP83" i="44"/>
  <c r="AS84" i="44"/>
  <c r="AR85" i="44"/>
  <c r="AQ86" i="44"/>
  <c r="AP87" i="44"/>
  <c r="AQ84" i="44"/>
  <c r="AS86" i="44"/>
  <c r="AR82" i="44"/>
  <c r="AQ83" i="44"/>
  <c r="AP84" i="44"/>
  <c r="AS85" i="44"/>
  <c r="AR86" i="44"/>
  <c r="AQ87" i="44"/>
  <c r="AS82" i="44"/>
  <c r="AP82" i="44"/>
  <c r="AS83" i="44"/>
  <c r="AR84" i="44"/>
  <c r="AQ85" i="44"/>
  <c r="AP86" i="44"/>
  <c r="AS87" i="44"/>
  <c r="AP44" i="57"/>
  <c r="AP43" i="57"/>
  <c r="AP42" i="57"/>
  <c r="AP41" i="57"/>
  <c r="AP40" i="57"/>
  <c r="AP39" i="57"/>
  <c r="AP38" i="57"/>
  <c r="AP37" i="57"/>
  <c r="AP36" i="57"/>
  <c r="AP35" i="57"/>
  <c r="AP34" i="57"/>
  <c r="AP33" i="57"/>
  <c r="AP32" i="57"/>
  <c r="AP31" i="57"/>
  <c r="AP30" i="57"/>
  <c r="AP29" i="57"/>
  <c r="AP28" i="57"/>
  <c r="AP27" i="57"/>
  <c r="AP26" i="57"/>
  <c r="AP25" i="57"/>
  <c r="AP24" i="57"/>
  <c r="AP23" i="57"/>
  <c r="AP22" i="57"/>
  <c r="AP21" i="57"/>
  <c r="AP20" i="57"/>
  <c r="AP19" i="57"/>
  <c r="AP18" i="57"/>
  <c r="AP17" i="57"/>
  <c r="AP16" i="57"/>
  <c r="AP15" i="57"/>
  <c r="AP14" i="57"/>
  <c r="AP13" i="57"/>
  <c r="AP12" i="57"/>
  <c r="AP11" i="57"/>
  <c r="AP10" i="57"/>
  <c r="AP9" i="57"/>
  <c r="AP8" i="57"/>
  <c r="AP7" i="57"/>
  <c r="AP6" i="57"/>
  <c r="AP5" i="57"/>
  <c r="AP4" i="57"/>
  <c r="AP3" i="57"/>
  <c r="AO44" i="57"/>
  <c r="AO43" i="57"/>
  <c r="AO42" i="57"/>
  <c r="AO41" i="57"/>
  <c r="AO40" i="57"/>
  <c r="AO39" i="57"/>
  <c r="AO38" i="57"/>
  <c r="AO37" i="57"/>
  <c r="AO36" i="57"/>
  <c r="AO35" i="57"/>
  <c r="AO34" i="57"/>
  <c r="AO33" i="57"/>
  <c r="AO32" i="57"/>
  <c r="AO31" i="57"/>
  <c r="AO30" i="57"/>
  <c r="AO29" i="57"/>
  <c r="AO28" i="57"/>
  <c r="AO27" i="57"/>
  <c r="AO26" i="57"/>
  <c r="AO25" i="57"/>
  <c r="AO24" i="57"/>
  <c r="AO23" i="57"/>
  <c r="AO22" i="57"/>
  <c r="AO21" i="57"/>
  <c r="AO20" i="57"/>
  <c r="AO19" i="57"/>
  <c r="AO18" i="57"/>
  <c r="AO17" i="57"/>
  <c r="AO16" i="57"/>
  <c r="AO15" i="57"/>
  <c r="AO14" i="57"/>
  <c r="AO13" i="57"/>
  <c r="AO12" i="57"/>
  <c r="AO11" i="57"/>
  <c r="AO10" i="57"/>
  <c r="AO9" i="57"/>
  <c r="AO8" i="57"/>
  <c r="AO7" i="57"/>
  <c r="AO6" i="57"/>
  <c r="AO5" i="57"/>
  <c r="AO4" i="57"/>
  <c r="AO3" i="57"/>
  <c r="AP44" i="56"/>
  <c r="AP43" i="56"/>
  <c r="AP42" i="56"/>
  <c r="AP41" i="56"/>
  <c r="AP40" i="56"/>
  <c r="AP39" i="56"/>
  <c r="AO44" i="56"/>
  <c r="AO43" i="56"/>
  <c r="AO42" i="56"/>
  <c r="AO41" i="56"/>
  <c r="AO40" i="56"/>
  <c r="AO39" i="56"/>
  <c r="AP44" i="55"/>
  <c r="AP43" i="55"/>
  <c r="AP42" i="55"/>
  <c r="AP41" i="55"/>
  <c r="AP40" i="55"/>
  <c r="AP39" i="55"/>
  <c r="AO44" i="55"/>
  <c r="AO43" i="55"/>
  <c r="AO42" i="55"/>
  <c r="AO41" i="55"/>
  <c r="AO40" i="55"/>
  <c r="AO39" i="55"/>
  <c r="AA124" i="40"/>
  <c r="AL26" i="40"/>
  <c r="AD82" i="44" a="1"/>
  <c r="AD124" i="40"/>
  <c r="AD82" i="44" l="1"/>
  <c r="AD99" i="44" s="1"/>
  <c r="E10" i="35" s="1"/>
  <c r="S55" i="57" l="1"/>
  <c r="R55" i="57"/>
  <c r="J55" i="57"/>
  <c r="I55" i="57"/>
  <c r="S53" i="57"/>
  <c r="R53" i="57"/>
  <c r="I53" i="57"/>
  <c r="S52" i="57"/>
  <c r="R52" i="57"/>
  <c r="J52" i="57"/>
  <c r="I52" i="57"/>
  <c r="S51" i="57"/>
  <c r="R51" i="57"/>
  <c r="I51" i="57"/>
  <c r="S50" i="57"/>
  <c r="R50" i="57"/>
  <c r="J50" i="57"/>
  <c r="I50" i="57"/>
  <c r="S49" i="57"/>
  <c r="R49" i="57"/>
  <c r="J49" i="57"/>
  <c r="I49" i="57"/>
  <c r="S48" i="57"/>
  <c r="R48" i="57"/>
  <c r="J48" i="57"/>
  <c r="I48" i="57"/>
  <c r="S47" i="57"/>
  <c r="R47" i="57"/>
  <c r="J47" i="57"/>
  <c r="I47" i="57"/>
  <c r="S46" i="57"/>
  <c r="R46" i="57"/>
  <c r="J46" i="57"/>
  <c r="I46" i="57"/>
  <c r="S45" i="57"/>
  <c r="R45" i="57"/>
  <c r="J45" i="57"/>
  <c r="U44" i="57"/>
  <c r="T44" i="57"/>
  <c r="U43" i="57"/>
  <c r="T43" i="57"/>
  <c r="U42" i="57"/>
  <c r="T42" i="57"/>
  <c r="U41" i="57"/>
  <c r="T41" i="57"/>
  <c r="U40" i="57"/>
  <c r="T40" i="57"/>
  <c r="U39" i="57"/>
  <c r="T39" i="57"/>
  <c r="U38" i="57"/>
  <c r="T38" i="57"/>
  <c r="U37" i="57"/>
  <c r="T37" i="57"/>
  <c r="U36" i="57"/>
  <c r="T36" i="57"/>
  <c r="U35" i="57"/>
  <c r="T35" i="57"/>
  <c r="U34" i="57"/>
  <c r="T34" i="57"/>
  <c r="U33" i="57"/>
  <c r="T33" i="57"/>
  <c r="U32" i="57"/>
  <c r="T32" i="57"/>
  <c r="U31" i="57"/>
  <c r="T31" i="57"/>
  <c r="U30" i="57"/>
  <c r="T30" i="57"/>
  <c r="U29" i="57"/>
  <c r="T29" i="57"/>
  <c r="U28" i="57"/>
  <c r="T28" i="57"/>
  <c r="U27" i="57"/>
  <c r="T27" i="57"/>
  <c r="U26" i="57"/>
  <c r="T26" i="57"/>
  <c r="U25" i="57"/>
  <c r="T25" i="57"/>
  <c r="U24" i="57"/>
  <c r="T24" i="57"/>
  <c r="U23" i="57"/>
  <c r="T23" i="57"/>
  <c r="U22" i="57"/>
  <c r="T22" i="57"/>
  <c r="U21" i="57"/>
  <c r="T21" i="57"/>
  <c r="U20" i="57"/>
  <c r="T20" i="57"/>
  <c r="U19" i="57"/>
  <c r="T19" i="57"/>
  <c r="U18" i="57"/>
  <c r="T18" i="57"/>
  <c r="U17" i="57"/>
  <c r="T17" i="57"/>
  <c r="U16" i="57"/>
  <c r="T16" i="57"/>
  <c r="U15" i="57"/>
  <c r="T15" i="57"/>
  <c r="U14" i="57"/>
  <c r="T14" i="57"/>
  <c r="U13" i="57"/>
  <c r="T13" i="57"/>
  <c r="U12" i="57"/>
  <c r="T12" i="57"/>
  <c r="U11" i="57"/>
  <c r="T11" i="57"/>
  <c r="U10" i="57"/>
  <c r="T10" i="57"/>
  <c r="U9" i="57"/>
  <c r="T9" i="57"/>
  <c r="U8" i="57"/>
  <c r="T8" i="57"/>
  <c r="U7" i="57"/>
  <c r="T7" i="57"/>
  <c r="U6" i="57"/>
  <c r="T6" i="57"/>
  <c r="U5" i="57"/>
  <c r="T5" i="57"/>
  <c r="U4" i="57"/>
  <c r="T4" i="57"/>
  <c r="U3" i="57"/>
  <c r="T3" i="57"/>
  <c r="L1" i="57"/>
  <c r="S55" i="56"/>
  <c r="R55" i="56"/>
  <c r="J55" i="56"/>
  <c r="I55" i="56"/>
  <c r="S53" i="56"/>
  <c r="R53" i="56"/>
  <c r="J53" i="56"/>
  <c r="I53" i="56"/>
  <c r="S52" i="56"/>
  <c r="R52" i="56"/>
  <c r="J52" i="56"/>
  <c r="I52" i="56"/>
  <c r="S51" i="56"/>
  <c r="R51" i="56"/>
  <c r="J51" i="56"/>
  <c r="I51" i="56"/>
  <c r="S50" i="56"/>
  <c r="R50" i="56"/>
  <c r="J50" i="56"/>
  <c r="I50" i="56"/>
  <c r="S49" i="56"/>
  <c r="R49" i="56"/>
  <c r="J49" i="56"/>
  <c r="I49" i="56"/>
  <c r="S48" i="56"/>
  <c r="R48" i="56"/>
  <c r="J48" i="56"/>
  <c r="I48" i="56"/>
  <c r="S47" i="56"/>
  <c r="R47" i="56"/>
  <c r="J47" i="56"/>
  <c r="I47" i="56"/>
  <c r="S46" i="56"/>
  <c r="R46" i="56"/>
  <c r="J46" i="56"/>
  <c r="I46" i="56"/>
  <c r="S45" i="56"/>
  <c r="R45" i="56"/>
  <c r="J45" i="56"/>
  <c r="I45" i="56"/>
  <c r="U44" i="56"/>
  <c r="T44" i="56"/>
  <c r="U43" i="56"/>
  <c r="T43" i="56"/>
  <c r="U42" i="56"/>
  <c r="T42" i="56"/>
  <c r="U41" i="56"/>
  <c r="T41" i="56"/>
  <c r="U40" i="56"/>
  <c r="T40" i="56"/>
  <c r="U39" i="56"/>
  <c r="T39" i="56"/>
  <c r="U38" i="56"/>
  <c r="T38" i="56"/>
  <c r="U37" i="56"/>
  <c r="T37" i="56"/>
  <c r="U36" i="56"/>
  <c r="T36" i="56"/>
  <c r="U35" i="56"/>
  <c r="T35" i="56"/>
  <c r="U34" i="56"/>
  <c r="T34" i="56"/>
  <c r="U33" i="56"/>
  <c r="T33" i="56"/>
  <c r="U32" i="56"/>
  <c r="T32" i="56"/>
  <c r="U31" i="56"/>
  <c r="T31" i="56"/>
  <c r="U30" i="56"/>
  <c r="T30" i="56"/>
  <c r="U29" i="56"/>
  <c r="T29" i="56"/>
  <c r="U28" i="56"/>
  <c r="T28" i="56"/>
  <c r="U27" i="56"/>
  <c r="T27" i="56"/>
  <c r="U26" i="56"/>
  <c r="T26" i="56"/>
  <c r="U25" i="56"/>
  <c r="T25" i="56"/>
  <c r="U24" i="56"/>
  <c r="T24" i="56"/>
  <c r="U23" i="56"/>
  <c r="T23" i="56"/>
  <c r="U22" i="56"/>
  <c r="T22" i="56"/>
  <c r="U21" i="56"/>
  <c r="T21" i="56"/>
  <c r="U20" i="56"/>
  <c r="T20" i="56"/>
  <c r="U19" i="56"/>
  <c r="T19" i="56"/>
  <c r="U18" i="56"/>
  <c r="T18" i="56"/>
  <c r="U17" i="56"/>
  <c r="T17" i="56"/>
  <c r="U16" i="56"/>
  <c r="T16" i="56"/>
  <c r="U15" i="56"/>
  <c r="T15" i="56"/>
  <c r="U14" i="56"/>
  <c r="T14" i="56"/>
  <c r="U13" i="56"/>
  <c r="T13" i="56"/>
  <c r="U12" i="56"/>
  <c r="T12" i="56"/>
  <c r="U11" i="56"/>
  <c r="T11" i="56"/>
  <c r="U10" i="56"/>
  <c r="T10" i="56"/>
  <c r="U9" i="56"/>
  <c r="T9" i="56"/>
  <c r="U8" i="56"/>
  <c r="T8" i="56"/>
  <c r="U7" i="56"/>
  <c r="T7" i="56"/>
  <c r="U6" i="56"/>
  <c r="T6" i="56"/>
  <c r="U5" i="56"/>
  <c r="T5" i="56"/>
  <c r="U4" i="56"/>
  <c r="T4" i="56"/>
  <c r="U3" i="56"/>
  <c r="T3" i="56"/>
  <c r="L1" i="56"/>
  <c r="T45" i="56" l="1"/>
  <c r="T47" i="56"/>
  <c r="T49" i="56"/>
  <c r="T51" i="56"/>
  <c r="U47" i="56"/>
  <c r="U49" i="56"/>
  <c r="U51" i="56"/>
  <c r="T46" i="56"/>
  <c r="T48" i="56"/>
  <c r="U49" i="57"/>
  <c r="U48" i="57"/>
  <c r="U51" i="57"/>
  <c r="U45" i="57"/>
  <c r="T46" i="57"/>
  <c r="T48" i="57"/>
  <c r="T50" i="57"/>
  <c r="U46" i="57"/>
  <c r="U50" i="57"/>
  <c r="T45" i="57"/>
  <c r="T47" i="57"/>
  <c r="T49" i="57"/>
  <c r="T51" i="57"/>
  <c r="U47" i="57"/>
  <c r="U45" i="56"/>
  <c r="T50" i="56"/>
  <c r="U50" i="56"/>
  <c r="U46" i="56"/>
  <c r="U48" i="56"/>
  <c r="T52" i="57"/>
  <c r="R56" i="57"/>
  <c r="R56" i="56"/>
  <c r="T52" i="56"/>
  <c r="R54" i="57"/>
  <c r="S54" i="57"/>
  <c r="S56" i="57"/>
  <c r="S56" i="56"/>
  <c r="R54" i="56"/>
  <c r="S54" i="56"/>
  <c r="U52" i="57"/>
  <c r="U52" i="56"/>
  <c r="K72" i="35" l="1"/>
  <c r="J72" i="35"/>
  <c r="K71" i="35"/>
  <c r="J71" i="35"/>
  <c r="K70" i="35"/>
  <c r="J70" i="35"/>
  <c r="K69" i="35"/>
  <c r="J69" i="35"/>
  <c r="K68" i="35"/>
  <c r="J68" i="35"/>
  <c r="K67" i="35"/>
  <c r="J67" i="35"/>
  <c r="K66" i="35"/>
  <c r="J66" i="35"/>
  <c r="K65" i="35"/>
  <c r="J65" i="35"/>
  <c r="K38" i="35"/>
  <c r="K39" i="35"/>
  <c r="K40" i="35"/>
  <c r="K41" i="35"/>
  <c r="K42" i="35"/>
  <c r="K43" i="35"/>
  <c r="K44" i="35"/>
  <c r="K45" i="35"/>
  <c r="J39" i="35"/>
  <c r="J40" i="35"/>
  <c r="J41" i="35"/>
  <c r="J42" i="35"/>
  <c r="J43" i="35"/>
  <c r="J44" i="35"/>
  <c r="J45" i="35"/>
  <c r="J38" i="35"/>
  <c r="I52" i="55"/>
  <c r="I51" i="55"/>
  <c r="R55" i="55"/>
  <c r="S55" i="55"/>
  <c r="J52" i="55"/>
  <c r="S53" i="55"/>
  <c r="R53" i="55"/>
  <c r="S45" i="55"/>
  <c r="S46" i="55"/>
  <c r="S47" i="55"/>
  <c r="S48" i="55"/>
  <c r="S49" i="55"/>
  <c r="S50" i="55"/>
  <c r="S51" i="55"/>
  <c r="S52" i="55"/>
  <c r="R51" i="55"/>
  <c r="R50" i="55"/>
  <c r="R49" i="55"/>
  <c r="R48" i="55"/>
  <c r="R47" i="55"/>
  <c r="R46" i="55"/>
  <c r="R45" i="55"/>
  <c r="J55" i="55"/>
  <c r="I55" i="55"/>
  <c r="J53" i="55"/>
  <c r="J51" i="55"/>
  <c r="J50" i="55"/>
  <c r="J49" i="55"/>
  <c r="J48" i="55"/>
  <c r="J47" i="55"/>
  <c r="J46" i="55"/>
  <c r="J45" i="55"/>
  <c r="I50" i="55"/>
  <c r="I49" i="55"/>
  <c r="I48" i="55"/>
  <c r="I47" i="55"/>
  <c r="I46" i="55"/>
  <c r="I45" i="55"/>
  <c r="U44" i="55"/>
  <c r="T44" i="55"/>
  <c r="U43" i="55"/>
  <c r="T43" i="55"/>
  <c r="U42" i="55"/>
  <c r="T42" i="55"/>
  <c r="U41" i="55"/>
  <c r="T41" i="55"/>
  <c r="U40" i="55"/>
  <c r="T40" i="55"/>
  <c r="U39" i="55"/>
  <c r="T39" i="55"/>
  <c r="U38" i="55"/>
  <c r="T38" i="55"/>
  <c r="U37" i="55"/>
  <c r="T37" i="55"/>
  <c r="U36" i="55"/>
  <c r="T36" i="55"/>
  <c r="U35" i="55"/>
  <c r="T35" i="55"/>
  <c r="U34" i="55"/>
  <c r="T34" i="55"/>
  <c r="U33" i="55"/>
  <c r="T33" i="55"/>
  <c r="R52" i="55"/>
  <c r="U32" i="55"/>
  <c r="T32" i="55"/>
  <c r="U31" i="55"/>
  <c r="T31" i="55"/>
  <c r="U30" i="55"/>
  <c r="T30" i="55"/>
  <c r="U29" i="55"/>
  <c r="T29" i="55"/>
  <c r="U28" i="55"/>
  <c r="T28" i="55"/>
  <c r="U27" i="55"/>
  <c r="T27" i="55"/>
  <c r="T51" i="55" l="1"/>
  <c r="J21" i="35" s="1"/>
  <c r="T50" i="55"/>
  <c r="J20" i="35" s="1"/>
  <c r="T49" i="55"/>
  <c r="J19" i="35" s="1"/>
  <c r="U50" i="55"/>
  <c r="K20" i="35" s="1"/>
  <c r="U49" i="55"/>
  <c r="K19" i="35" s="1"/>
  <c r="U51" i="55"/>
  <c r="K21" i="35" s="1"/>
  <c r="R56" i="55"/>
  <c r="S56" i="55"/>
  <c r="S54" i="55"/>
  <c r="R54" i="55"/>
  <c r="U14" i="55"/>
  <c r="T14" i="55"/>
  <c r="U13" i="55"/>
  <c r="T13" i="55"/>
  <c r="U12" i="55"/>
  <c r="T12" i="55"/>
  <c r="U11" i="55"/>
  <c r="T11" i="55"/>
  <c r="U10" i="55"/>
  <c r="T10" i="55"/>
  <c r="U9" i="55" l="1"/>
  <c r="U46" i="55" s="1"/>
  <c r="K16" i="35" s="1"/>
  <c r="T9" i="55"/>
  <c r="T46" i="55" s="1"/>
  <c r="J16" i="35" s="1"/>
  <c r="T21" i="55"/>
  <c r="U21" i="55"/>
  <c r="T22" i="55" l="1"/>
  <c r="U22" i="55"/>
  <c r="T23" i="55"/>
  <c r="U23" i="55"/>
  <c r="T24" i="55"/>
  <c r="U24" i="55"/>
  <c r="T25" i="55"/>
  <c r="U25" i="55"/>
  <c r="T26" i="55"/>
  <c r="U26" i="55"/>
  <c r="U20" i="55"/>
  <c r="T20" i="55"/>
  <c r="U19" i="55"/>
  <c r="T19" i="55"/>
  <c r="U18" i="55"/>
  <c r="T18" i="55"/>
  <c r="U17" i="55"/>
  <c r="T17" i="55"/>
  <c r="U16" i="55"/>
  <c r="T16" i="55"/>
  <c r="U15" i="55"/>
  <c r="T15" i="55"/>
  <c r="U8" i="55"/>
  <c r="T8" i="55"/>
  <c r="U7" i="55"/>
  <c r="T7" i="55"/>
  <c r="U6" i="55"/>
  <c r="T6" i="55"/>
  <c r="U5" i="55"/>
  <c r="T5" i="55"/>
  <c r="U4" i="55"/>
  <c r="T4" i="55"/>
  <c r="U3" i="55"/>
  <c r="T3" i="55"/>
  <c r="L1" i="55"/>
  <c r="AK247" i="40"/>
  <c r="AK248" i="40" s="1"/>
  <c r="AJ208" i="40"/>
  <c r="AI241" i="40"/>
  <c r="AI242" i="40" s="1"/>
  <c r="AI243" i="40" s="1"/>
  <c r="AI237" i="40"/>
  <c r="AI238" i="40" s="1"/>
  <c r="AI239" i="40" s="1"/>
  <c r="AI229" i="40"/>
  <c r="AI230" i="40" s="1"/>
  <c r="AI231" i="40" s="1"/>
  <c r="AI212" i="40"/>
  <c r="AI215" i="40" s="1"/>
  <c r="AI218" i="40" s="1"/>
  <c r="AI211" i="40"/>
  <c r="AI214" i="40" s="1"/>
  <c r="AI217" i="40" s="1"/>
  <c r="AA21" i="57"/>
  <c r="AF3" i="55"/>
  <c r="AS39" i="44" a="1"/>
  <c r="AP8" i="56" a="1"/>
  <c r="AE33" i="55"/>
  <c r="AP37" i="44" a="1"/>
  <c r="AP33" i="56" a="1"/>
  <c r="AP7" i="56" a="1"/>
  <c r="AP72" i="44" a="1"/>
  <c r="AR3" i="51" a="1"/>
  <c r="AS36" i="44" a="1"/>
  <c r="AQ44" i="55" a="1"/>
  <c r="AQ12" i="51" a="1"/>
  <c r="AC58" i="44"/>
  <c r="AP18" i="56" a="1"/>
  <c r="AQ18" i="55" a="1"/>
  <c r="AB16" i="44"/>
  <c r="AQ60" i="44" a="1"/>
  <c r="AQ37" i="56" a="1"/>
  <c r="AP36" i="44" a="1"/>
  <c r="AP22" i="56" a="1"/>
  <c r="AO12" i="55" a="1"/>
  <c r="AP15" i="56" a="1"/>
  <c r="AS5" i="44" a="1"/>
  <c r="AS20" i="44" a="1"/>
  <c r="AP20" i="51" a="1"/>
  <c r="AQ8" i="44" a="1"/>
  <c r="AE27" i="55"/>
  <c r="AQ20" i="51" a="1"/>
  <c r="AS58" i="44" a="1"/>
  <c r="AQ64" i="44" a="1"/>
  <c r="AO24" i="55" a="1"/>
  <c r="AR19" i="56" a="1"/>
  <c r="AQ10" i="57" a="1"/>
  <c r="AR65" i="44" a="1"/>
  <c r="AQ49" i="44" a="1"/>
  <c r="AR12" i="57" a="1"/>
  <c r="AR9" i="44" a="1"/>
  <c r="AR67" i="44" a="1"/>
  <c r="AA39" i="57"/>
  <c r="AR54" i="44" a="1"/>
  <c r="AP26" i="56" a="1"/>
  <c r="AQ41" i="57" a="1"/>
  <c r="AS38" i="44" a="1"/>
  <c r="Z15" i="56"/>
  <c r="AQ12" i="44" a="1"/>
  <c r="AR34" i="44" a="1"/>
  <c r="AR30" i="55" a="1"/>
  <c r="Z28" i="44"/>
  <c r="W39" i="55"/>
  <c r="AQ34" i="44" a="1"/>
  <c r="AO9" i="56" a="1"/>
  <c r="AR26" i="57" a="1"/>
  <c r="AF15" i="57"/>
  <c r="AA3" i="56"/>
  <c r="AP76" i="44" a="1"/>
  <c r="AO7" i="55" a="1"/>
  <c r="AE9" i="57"/>
  <c r="Z3" i="57"/>
  <c r="Z33" i="56"/>
  <c r="AP21" i="56" a="1"/>
  <c r="AP9" i="44" a="1"/>
  <c r="Z15" i="57"/>
  <c r="AQ41" i="55" a="1"/>
  <c r="AQ43" i="57" a="1"/>
  <c r="AB10" i="44"/>
  <c r="AR3" i="55" a="1"/>
  <c r="AB3" i="55"/>
  <c r="AQ9" i="57" a="1"/>
  <c r="AP37" i="55" a="1"/>
  <c r="AP17" i="55" a="1"/>
  <c r="AR47" i="44" a="1"/>
  <c r="AP35" i="55" a="1"/>
  <c r="AO12" i="51" a="1"/>
  <c r="AO14" i="55" a="1"/>
  <c r="AR23" i="44" a="1"/>
  <c r="AQ7" i="44" a="1"/>
  <c r="AA58" i="44"/>
  <c r="AG21" i="56"/>
  <c r="AQ43" i="44" a="1"/>
  <c r="AQ7" i="55" a="1"/>
  <c r="AS29" i="44" a="1"/>
  <c r="AG15" i="57"/>
  <c r="AR53" i="44" a="1"/>
  <c r="AR70" i="44" a="1"/>
  <c r="AQ19" i="56" a="1"/>
  <c r="X21" i="55"/>
  <c r="AR40" i="56" a="1"/>
  <c r="AD39" i="55"/>
  <c r="AS51" i="44" a="1"/>
  <c r="AQ39" i="56" a="1"/>
  <c r="AQ71" i="44" a="1"/>
  <c r="AO6" i="56" a="1"/>
  <c r="AR31" i="56" a="1"/>
  <c r="AR72" i="44" a="1"/>
  <c r="AS56" i="44" a="1"/>
  <c r="AP28" i="55" a="1"/>
  <c r="AR41" i="57" a="1"/>
  <c r="AR31" i="44" a="1"/>
  <c r="Y9" i="56"/>
  <c r="AQ4" i="56" a="1"/>
  <c r="AP6" i="55" a="1"/>
  <c r="X33" i="57"/>
  <c r="AQ57" i="44" a="1"/>
  <c r="AO32" i="55" a="1"/>
  <c r="AQ29" i="57" a="1"/>
  <c r="AO22" i="56" a="1"/>
  <c r="AO13" i="51" a="1"/>
  <c r="AP14" i="51" a="1"/>
  <c r="AQ27" i="44" a="1"/>
  <c r="Z9" i="56"/>
  <c r="AQ5" i="55" a="1"/>
  <c r="AR37" i="44" a="1"/>
  <c r="AP18" i="51" a="1"/>
  <c r="AR37" i="56" a="1"/>
  <c r="AO23" i="55" a="1"/>
  <c r="AR78" i="44" a="1"/>
  <c r="AB33" i="56"/>
  <c r="AR43" i="57" a="1"/>
  <c r="AR26" i="44" a="1"/>
  <c r="AO34" i="55" a="1"/>
  <c r="AS6" i="44" a="1"/>
  <c r="AQ34" i="57" a="1"/>
  <c r="AD33" i="56"/>
  <c r="Z39" i="57"/>
  <c r="AO11" i="55" a="1"/>
  <c r="AE39" i="55"/>
  <c r="AS40" i="44" a="1"/>
  <c r="X15" i="56"/>
  <c r="AP11" i="55" a="1"/>
  <c r="AR33" i="57" a="1"/>
  <c r="AQ4" i="51" a="1"/>
  <c r="AQ23" i="57" a="1"/>
  <c r="AR30" i="44" a="1"/>
  <c r="AR16" i="55" a="1"/>
  <c r="AB70" i="44"/>
  <c r="AQ35" i="55" a="1"/>
  <c r="AR38" i="56" a="1"/>
  <c r="AR4" i="57" a="1"/>
  <c r="Y28" i="44"/>
  <c r="AQ74" i="44" a="1"/>
  <c r="AR25" i="55" a="1"/>
  <c r="AR15" i="56" a="1"/>
  <c r="AQ17" i="55" a="1"/>
  <c r="AE3" i="55"/>
  <c r="AD9" i="56"/>
  <c r="AF15" i="55"/>
  <c r="AP71" i="44" a="1"/>
  <c r="AQ62" i="44" a="1"/>
  <c r="AQ12" i="57" a="1"/>
  <c r="Z76" i="44"/>
  <c r="Z39" i="55"/>
  <c r="AQ44" i="56" a="1"/>
  <c r="AQ9" i="44" a="1"/>
  <c r="E4" i="41" a="1"/>
  <c r="AA28" i="44"/>
  <c r="AO17" i="51" a="1"/>
  <c r="AQ67" i="44" a="1"/>
  <c r="AP60" i="44" a="1"/>
  <c r="AQ18" i="57" a="1"/>
  <c r="AQ17" i="57" a="1"/>
  <c r="AP58" i="44" a="1"/>
  <c r="AR58" i="44" a="1"/>
  <c r="AS57" i="44" a="1"/>
  <c r="AQ44" i="44" a="1"/>
  <c r="X15" i="57"/>
  <c r="AB15" i="56"/>
  <c r="AP3" i="51" a="1"/>
  <c r="AR7" i="57" a="1"/>
  <c r="AR17" i="55" a="1"/>
  <c r="Y3" i="57"/>
  <c r="AF15" i="56"/>
  <c r="AP16" i="56" a="1"/>
  <c r="AP9" i="55" a="1"/>
  <c r="AP11" i="56" a="1"/>
  <c r="X15" i="55"/>
  <c r="AA39" i="56"/>
  <c r="AR20" i="57" a="1"/>
  <c r="AQ37" i="57" a="1"/>
  <c r="AQ45" i="44" a="1"/>
  <c r="AP13" i="51" a="1"/>
  <c r="AE33" i="56"/>
  <c r="AF33" i="56"/>
  <c r="AB9" i="51"/>
  <c r="AA15" i="57"/>
  <c r="AP15" i="55" a="1"/>
  <c r="AP16" i="51" a="1"/>
  <c r="AP19" i="55" a="1"/>
  <c r="Y21" i="55"/>
  <c r="AQ21" i="44" a="1"/>
  <c r="AR48" i="44" a="1"/>
  <c r="AO5" i="56" a="1"/>
  <c r="AC40" i="44"/>
  <c r="AO32" i="56" a="1"/>
  <c r="AQ38" i="55" a="1"/>
  <c r="AQ9" i="56" a="1"/>
  <c r="Z33" i="55"/>
  <c r="AQ16" i="44" a="1"/>
  <c r="AQ33" i="55" a="1"/>
  <c r="AA27" i="55"/>
  <c r="AO35" i="55" a="1"/>
  <c r="AR8" i="44" a="1"/>
  <c r="AS50" i="44" a="1"/>
  <c r="Z70" i="44"/>
  <c r="AQ30" i="44" a="1"/>
  <c r="Z9" i="57"/>
  <c r="Z34" i="44"/>
  <c r="AB33" i="57"/>
  <c r="AP68" i="44" a="1"/>
  <c r="AR68" i="44" a="1"/>
  <c r="AP56" i="44" a="1"/>
  <c r="AR59" i="44" a="1"/>
  <c r="AP23" i="55" a="1"/>
  <c r="AA15" i="55"/>
  <c r="AP14" i="56" a="1"/>
  <c r="AD9" i="55"/>
  <c r="AQ41" i="56" a="1"/>
  <c r="AP38" i="55" a="1"/>
  <c r="AR64" i="44" a="1"/>
  <c r="X27" i="55"/>
  <c r="AP5" i="44" a="1"/>
  <c r="AO29" i="55" a="1"/>
  <c r="AO14" i="51" a="1"/>
  <c r="AP38" i="44" a="1"/>
  <c r="Y76" i="44"/>
  <c r="AP70" i="44" a="1"/>
  <c r="AC64" i="44"/>
  <c r="AO20" i="55" a="1"/>
  <c r="AQ10" i="51" a="1"/>
  <c r="AS53" i="44" a="1"/>
  <c r="AQ23" i="55" a="1"/>
  <c r="AP29" i="56" a="1"/>
  <c r="AR44" i="56" a="1"/>
  <c r="AS37" i="44" a="1"/>
  <c r="Z9" i="51"/>
  <c r="AR14" i="55" a="1"/>
  <c r="AR44" i="55" a="1"/>
  <c r="AR43" i="55" a="1"/>
  <c r="AO16" i="51" a="1"/>
  <c r="AR15" i="57" a="1"/>
  <c r="AQ4" i="44" a="1"/>
  <c r="AQ25" i="44" a="1"/>
  <c r="AP4" i="56" a="1"/>
  <c r="Y16" i="44"/>
  <c r="W9" i="55"/>
  <c r="AO37" i="55" a="1"/>
  <c r="AD15" i="56"/>
  <c r="X3" i="51"/>
  <c r="AQ6" i="44" a="1"/>
  <c r="AP50" i="44" a="1"/>
  <c r="AF21" i="56"/>
  <c r="AS42" i="44" a="1"/>
  <c r="AR13" i="51" a="1"/>
  <c r="W15" i="56"/>
  <c r="AQ44" i="57" a="1"/>
  <c r="Z4" i="44"/>
  <c r="AQ54" i="44" a="1"/>
  <c r="AB3" i="56"/>
  <c r="AS35" i="44" a="1"/>
  <c r="AQ5" i="44" a="1"/>
  <c r="AQ42" i="55" a="1"/>
  <c r="AR8" i="56" a="1"/>
  <c r="AP14" i="44" a="1"/>
  <c r="AP27" i="56" a="1"/>
  <c r="AR38" i="55" a="1"/>
  <c r="X9" i="57"/>
  <c r="AQ10" i="44" a="1"/>
  <c r="X3" i="56"/>
  <c r="AQ58" i="44" a="1"/>
  <c r="AF9" i="56"/>
  <c r="AQ37" i="44" a="1"/>
  <c r="AQ10" i="55" a="1"/>
  <c r="AG15" i="55"/>
  <c r="AR10" i="56" a="1"/>
  <c r="AQ39" i="55" a="1"/>
  <c r="AQ16" i="57" a="1"/>
  <c r="AO9" i="55" a="1"/>
  <c r="Y27" i="57"/>
  <c r="AQ3" i="55" a="1"/>
  <c r="AR36" i="44" a="1"/>
  <c r="AD33" i="57"/>
  <c r="AA21" i="55"/>
  <c r="AQ16" i="51" a="1"/>
  <c r="AO8" i="55" a="1"/>
  <c r="AR17" i="56" a="1"/>
  <c r="AQ26" i="44" a="1"/>
  <c r="AQ3" i="51" a="1"/>
  <c r="W9" i="57"/>
  <c r="AB76" i="44"/>
  <c r="AS81" i="44" a="1"/>
  <c r="AD15" i="57"/>
  <c r="AR11" i="55" a="1"/>
  <c r="AQ39" i="44" a="1"/>
  <c r="AO20" i="56" a="1"/>
  <c r="AR44" i="44" a="1"/>
  <c r="AR60" i="44" a="1"/>
  <c r="AR18" i="57" a="1"/>
  <c r="AO25" i="55" a="1"/>
  <c r="AR21" i="55" a="1"/>
  <c r="AA15" i="51"/>
  <c r="AP21" i="44" a="1"/>
  <c r="AQ39" i="57" a="1"/>
  <c r="AQ8" i="57" a="1"/>
  <c r="AA21" i="56"/>
  <c r="AP34" i="44" a="1"/>
  <c r="AQ17" i="51" a="1"/>
  <c r="AQ11" i="44" a="1"/>
  <c r="Y21" i="57"/>
  <c r="AR22" i="57" a="1"/>
  <c r="AS32" i="44" a="1"/>
  <c r="W3" i="55"/>
  <c r="AA4" i="44"/>
  <c r="AO24" i="56" a="1"/>
  <c r="AS52" i="44" a="1"/>
  <c r="X39" i="57"/>
  <c r="AP13" i="55" a="1"/>
  <c r="AQ40" i="56" a="1"/>
  <c r="AR50" i="44" a="1"/>
  <c r="AO28" i="55" a="1"/>
  <c r="AP79" i="44" a="1"/>
  <c r="Y22" i="44"/>
  <c r="AP12" i="56" a="1"/>
  <c r="AQ35" i="56" a="1"/>
  <c r="AQ33" i="44" a="1"/>
  <c r="AQ16" i="55" a="1"/>
  <c r="AS60" i="44" a="1"/>
  <c r="AD21" i="56"/>
  <c r="AR9" i="56" a="1"/>
  <c r="AP28" i="56" a="1"/>
  <c r="AQ8" i="56" a="1"/>
  <c r="AS66" i="44" a="1"/>
  <c r="AP16" i="55" a="1"/>
  <c r="AR6" i="51" a="1"/>
  <c r="AP18" i="55" a="1"/>
  <c r="AO10" i="55" a="1"/>
  <c r="AS79" i="44" a="1"/>
  <c r="AG27" i="57"/>
  <c r="AR14" i="56" a="1"/>
  <c r="AQ12" i="55" a="1"/>
  <c r="AB27" i="56"/>
  <c r="AR33" i="44" a="1"/>
  <c r="AO19" i="55" a="1"/>
  <c r="AQ28" i="57" a="1"/>
  <c r="AO10" i="56" a="1"/>
  <c r="AR29" i="55" a="1"/>
  <c r="AR66" i="44" a="1"/>
  <c r="Y9" i="55"/>
  <c r="AE21" i="55"/>
  <c r="AP20" i="44" a="1"/>
  <c r="AR30" i="57" a="1"/>
  <c r="AQ51" i="44" a="1"/>
  <c r="AR18" i="44" a="1"/>
  <c r="AP26" i="44" a="1"/>
  <c r="AP28" i="44" a="1"/>
  <c r="Y3" i="55"/>
  <c r="W15" i="55"/>
  <c r="AA3" i="55"/>
  <c r="AR33" i="55" a="1"/>
  <c r="AB9" i="55"/>
  <c r="AR69" i="44" a="1"/>
  <c r="AP35" i="56" a="1"/>
  <c r="AB9" i="57"/>
  <c r="W21" i="57"/>
  <c r="AO38" i="55" a="1"/>
  <c r="W27" i="55"/>
  <c r="AP53" i="44" a="1"/>
  <c r="AO15" i="51" a="1"/>
  <c r="AO3" i="55" a="1"/>
  <c r="AS11" i="44" a="1"/>
  <c r="AQ63" i="44" a="1"/>
  <c r="AP17" i="44" a="1"/>
  <c r="AQ8" i="55" a="1"/>
  <c r="AR5" i="56" a="1"/>
  <c r="AQ38" i="57" a="1"/>
  <c r="AR63" i="44" a="1"/>
  <c r="AP8" i="51" a="1"/>
  <c r="AP12" i="55" a="1"/>
  <c r="AE21" i="57"/>
  <c r="AP57" i="44" a="1"/>
  <c r="AP55" i="44" a="1"/>
  <c r="AS30" i="44" a="1"/>
  <c r="AG27" i="56"/>
  <c r="AP10" i="55" a="1"/>
  <c r="AQ29" i="55" a="1"/>
  <c r="AP33" i="55" a="1"/>
  <c r="W33" i="57"/>
  <c r="AS24" i="44" a="1"/>
  <c r="AO22" i="55" a="1"/>
  <c r="X9" i="55"/>
  <c r="AA9" i="57"/>
  <c r="AE15" i="56"/>
  <c r="AR26" i="56" a="1"/>
  <c r="AQ14" i="51" a="1"/>
  <c r="AR5" i="55" a="1"/>
  <c r="Y39" i="57"/>
  <c r="AS70" i="44" a="1"/>
  <c r="Z15" i="51"/>
  <c r="AQ11" i="56" a="1"/>
  <c r="AR21" i="57" a="1"/>
  <c r="W33" i="55"/>
  <c r="AB33" i="55"/>
  <c r="AR39" i="55" a="1"/>
  <c r="AQ29" i="56" a="1"/>
  <c r="AB39" i="56"/>
  <c r="AQ48" i="44" a="1"/>
  <c r="AR13" i="56" a="1"/>
  <c r="AS64" i="44" a="1"/>
  <c r="AQ6" i="57" a="1"/>
  <c r="AR11" i="44" a="1"/>
  <c r="AA33" i="57"/>
  <c r="AO19" i="51" a="1"/>
  <c r="AP5" i="55" a="1"/>
  <c r="AG15" i="56"/>
  <c r="W27" i="56"/>
  <c r="AR76" i="44" a="1"/>
  <c r="AB27" i="57"/>
  <c r="AO31" i="56" a="1"/>
  <c r="AQ32" i="57" a="1"/>
  <c r="Z9" i="55"/>
  <c r="AB15" i="51"/>
  <c r="AE27" i="57"/>
  <c r="Z21" i="57"/>
  <c r="AP45" i="44" a="1"/>
  <c r="AP31" i="56" a="1"/>
  <c r="AP19" i="56" a="1"/>
  <c r="X39" i="55"/>
  <c r="Y39" i="56"/>
  <c r="AP6" i="56" a="1"/>
  <c r="AP6" i="51" a="1"/>
  <c r="Z22" i="44"/>
  <c r="D6" i="45" a="1"/>
  <c r="AR21" i="44" a="1"/>
  <c r="Z33" i="57"/>
  <c r="AD27" i="55"/>
  <c r="AP21" i="55" a="1"/>
  <c r="AR6" i="55" a="1"/>
  <c r="AD3" i="55"/>
  <c r="AS67" i="44" a="1"/>
  <c r="AQ5" i="57" a="1"/>
  <c r="AF21" i="57"/>
  <c r="AP63" i="44" a="1"/>
  <c r="AQ34" i="56" a="1"/>
  <c r="AO18" i="55" a="1"/>
  <c r="AE3" i="57"/>
  <c r="AR9" i="55" a="1"/>
  <c r="AE33" i="57"/>
  <c r="AP52" i="44" a="1"/>
  <c r="AQ36" i="55" a="1"/>
  <c r="AR12" i="55" a="1"/>
  <c r="AQ22" i="57" a="1"/>
  <c r="AP54" i="44" a="1"/>
  <c r="AQ13" i="44" a="1"/>
  <c r="AA15" i="56"/>
  <c r="AE39" i="56"/>
  <c r="AF3" i="56"/>
  <c r="AP15" i="51" a="1"/>
  <c r="AB3" i="57"/>
  <c r="AP32" i="44" a="1"/>
  <c r="AS71" i="44" a="1"/>
  <c r="AR9" i="57" a="1"/>
  <c r="AP9" i="56" a="1"/>
  <c r="AS17" i="44" a="1"/>
  <c r="AO20" i="51" a="1"/>
  <c r="AP7" i="51" a="1"/>
  <c r="Z27" i="56"/>
  <c r="AQ24" i="56" a="1"/>
  <c r="AQ11" i="57" a="1"/>
  <c r="AP40" i="44" a="1"/>
  <c r="AA22" i="44"/>
  <c r="AO12" i="56" a="1"/>
  <c r="AB15" i="55"/>
  <c r="AQ40" i="57" a="1"/>
  <c r="AP34" i="56" a="1"/>
  <c r="AQ27" i="57" a="1"/>
  <c r="AR18" i="56" a="1"/>
  <c r="AQ26" i="56" a="1"/>
  <c r="AQ13" i="57" a="1"/>
  <c r="AO9" i="51" a="1"/>
  <c r="AQ36" i="56" a="1"/>
  <c r="AG39" i="56"/>
  <c r="AQ56" i="44" a="1"/>
  <c r="Y39" i="55"/>
  <c r="AR34" i="55" a="1"/>
  <c r="AQ37" i="55" a="1"/>
  <c r="AB39" i="57"/>
  <c r="AR42" i="56" a="1"/>
  <c r="AR14" i="51" a="1"/>
  <c r="AP3" i="55" a="1"/>
  <c r="AQ26" i="57" a="1"/>
  <c r="Z3" i="55"/>
  <c r="AS25" i="44" a="1"/>
  <c r="AP51" i="44" a="1"/>
  <c r="X33" i="56"/>
  <c r="X21" i="56"/>
  <c r="AR30" i="56" a="1"/>
  <c r="AC34" i="44"/>
  <c r="AP20" i="55" a="1"/>
  <c r="AR40" i="44" a="1"/>
  <c r="AR39" i="44" a="1"/>
  <c r="X27" i="56"/>
  <c r="AP74" i="44" a="1"/>
  <c r="AQ3" i="56" a="1"/>
  <c r="AQ66" i="44" a="1"/>
  <c r="AP6" i="44" a="1"/>
  <c r="AO16" i="56" a="1"/>
  <c r="AS54" i="44" a="1"/>
  <c r="AR3" i="56" a="1"/>
  <c r="AQ28" i="44" a="1"/>
  <c r="AR39" i="57" a="1"/>
  <c r="AP5" i="51" a="1"/>
  <c r="AO18" i="56" a="1"/>
  <c r="AQ21" i="55" a="1"/>
  <c r="AR12" i="51" a="1"/>
  <c r="AQ21" i="57" a="1"/>
  <c r="W27" i="57"/>
  <c r="AR16" i="57" a="1"/>
  <c r="AP59" i="44" a="1"/>
  <c r="AO14" i="56" a="1"/>
  <c r="AB46" i="44"/>
  <c r="AQ24" i="44" a="1"/>
  <c r="AP39" i="44" a="1"/>
  <c r="AP19" i="44" a="1"/>
  <c r="Z21" i="55"/>
  <c r="AR71" i="44" a="1"/>
  <c r="AO11" i="51" a="1"/>
  <c r="Y64" i="44"/>
  <c r="AS44" i="44" a="1"/>
  <c r="AQ6" i="55" a="1"/>
  <c r="AQ77" i="44" a="1"/>
  <c r="AQ22" i="56" a="1"/>
  <c r="AS75" i="44" a="1"/>
  <c r="AP10" i="44" a="1"/>
  <c r="AP8" i="44" a="1"/>
  <c r="AQ26" i="55" a="1"/>
  <c r="AQ69" i="44" a="1"/>
  <c r="AR19" i="44" a="1"/>
  <c r="AR13" i="55" a="1"/>
  <c r="AQ61" i="44" a="1"/>
  <c r="AR23" i="56" a="1"/>
  <c r="AR9" i="51" a="1"/>
  <c r="AB58" i="44"/>
  <c r="AR14" i="44" a="1"/>
  <c r="AP80" i="44" a="1"/>
  <c r="AR27" i="57" a="1"/>
  <c r="AP64" i="44" a="1"/>
  <c r="AR16" i="56" a="1"/>
  <c r="AE15" i="55"/>
  <c r="AS10" i="44" a="1"/>
  <c r="AR3" i="57" a="1"/>
  <c r="Y27" i="55"/>
  <c r="AP75" i="44" a="1"/>
  <c r="AS33" i="44" a="1"/>
  <c r="AR32" i="57" a="1"/>
  <c r="AR23" i="55" a="1"/>
  <c r="AP19" i="51" a="1"/>
  <c r="AR22" i="44" a="1"/>
  <c r="Y3" i="51"/>
  <c r="Y33" i="57"/>
  <c r="AE9" i="55"/>
  <c r="AR4" i="55" a="1"/>
  <c r="AQ38" i="56" a="1"/>
  <c r="AR15" i="51" a="1"/>
  <c r="AR11" i="57" a="1"/>
  <c r="AS77" i="44" a="1"/>
  <c r="Z3" i="56"/>
  <c r="AR23" i="57" a="1"/>
  <c r="AR22" i="55" a="1"/>
  <c r="AR25" i="56" a="1"/>
  <c r="AQ23" i="44" a="1"/>
  <c r="AP22" i="44" a="1"/>
  <c r="AR49" i="44" a="1"/>
  <c r="AQ23" i="56" a="1"/>
  <c r="AG33" i="56"/>
  <c r="AS21" i="44" a="1"/>
  <c r="AP62" i="44" a="1"/>
  <c r="AQ18" i="44" a="1"/>
  <c r="AS4" i="44" a="1"/>
  <c r="AO15" i="55" a="1"/>
  <c r="X3" i="55"/>
  <c r="X21" i="57"/>
  <c r="AR11" i="51" a="1"/>
  <c r="AD39" i="57"/>
  <c r="AF27" i="56"/>
  <c r="Y52" i="44"/>
  <c r="AG33" i="55"/>
  <c r="Z15" i="55"/>
  <c r="AR4" i="51" a="1"/>
  <c r="AD27" i="56"/>
  <c r="AR77" i="44" a="1"/>
  <c r="AR12" i="44" a="1"/>
  <c r="AQ14" i="57" a="1"/>
  <c r="AQ55" i="44" a="1"/>
  <c r="Y15" i="51"/>
  <c r="AR26" i="55" a="1"/>
  <c r="AP25" i="44" a="1"/>
  <c r="AR17" i="44" a="1"/>
  <c r="AQ20" i="56" a="1"/>
  <c r="AQ28" i="56" a="1"/>
  <c r="AQ9" i="55" a="1"/>
  <c r="AB15" i="57"/>
  <c r="AS78" i="44" a="1"/>
  <c r="AQ19" i="55" a="1"/>
  <c r="AA64" i="44"/>
  <c r="D5" i="45" a="1"/>
  <c r="Z27" i="57"/>
  <c r="AP77" i="44" a="1"/>
  <c r="AA10" i="44"/>
  <c r="AQ42" i="44" a="1"/>
  <c r="AQ14" i="44" a="1"/>
  <c r="AR81" i="44" a="1"/>
  <c r="AS47" i="44" a="1"/>
  <c r="AQ59" i="44" a="1"/>
  <c r="AQ42" i="56" a="1"/>
  <c r="AP27" i="55" a="1"/>
  <c r="AE21" i="56"/>
  <c r="AO21" i="56" a="1"/>
  <c r="AP10" i="51" a="1"/>
  <c r="AB21" i="57"/>
  <c r="AO38" i="56" a="1"/>
  <c r="AQ33" i="56" a="1"/>
  <c r="AQ31" i="55" a="1"/>
  <c r="AR10" i="55" a="1"/>
  <c r="AR80" i="44" a="1"/>
  <c r="AO19" i="56" a="1"/>
  <c r="Y3" i="56"/>
  <c r="AE39" i="57"/>
  <c r="AQ4" i="55" a="1"/>
  <c r="AQ30" i="55" a="1"/>
  <c r="AO4" i="55" a="1"/>
  <c r="AS22" i="44" a="1"/>
  <c r="AO25" i="56" a="1"/>
  <c r="AP23" i="56" a="1"/>
  <c r="AQ68" i="44" a="1"/>
  <c r="AR35" i="44" a="1"/>
  <c r="AR42" i="44" a="1"/>
  <c r="AO23" i="56" a="1"/>
  <c r="AO18" i="51" a="1"/>
  <c r="AQ17" i="44" a="1"/>
  <c r="AP43" i="44" a="1"/>
  <c r="AS69" i="44" a="1"/>
  <c r="AP34" i="55" a="1"/>
  <c r="AO8" i="56" a="1"/>
  <c r="AB52" i="44"/>
  <c r="Y9" i="51"/>
  <c r="AG39" i="55"/>
  <c r="Y33" i="55"/>
  <c r="AP30" i="56" a="1"/>
  <c r="AO30" i="55" a="1"/>
  <c r="AR24" i="56" a="1"/>
  <c r="AD21" i="57"/>
  <c r="AR31" i="57" a="1"/>
  <c r="Y70" i="44"/>
  <c r="AC22" i="44"/>
  <c r="AR15" i="55" a="1"/>
  <c r="AC76" i="44"/>
  <c r="AQ35" i="57" a="1"/>
  <c r="AR22" i="56" a="1"/>
  <c r="AR10" i="57" a="1"/>
  <c r="Z39" i="56"/>
  <c r="AR20" i="51" a="1"/>
  <c r="AQ33" i="57" a="1"/>
  <c r="AQ31" i="44" a="1"/>
  <c r="AQ15" i="55" a="1"/>
  <c r="AP25" i="55" a="1"/>
  <c r="AR29" i="44" a="1"/>
  <c r="AS15" i="44" a="1"/>
  <c r="AO10" i="51" a="1"/>
  <c r="Y27" i="56"/>
  <c r="AF9" i="55"/>
  <c r="AS76" i="44" a="1"/>
  <c r="AS14" i="44" a="1"/>
  <c r="AQ75" i="44" a="1"/>
  <c r="AO4" i="51" a="1"/>
  <c r="AR24" i="44" a="1"/>
  <c r="AP27" i="44" a="1"/>
  <c r="AR28" i="57" a="1"/>
  <c r="AR43" i="44" a="1"/>
  <c r="AS46" i="44" a="1"/>
  <c r="AP24" i="56" a="1"/>
  <c r="AO5" i="51" a="1"/>
  <c r="AP42" i="44" a="1"/>
  <c r="AQ25" i="57" a="1"/>
  <c r="AE27" i="56"/>
  <c r="AR36" i="56" a="1"/>
  <c r="AR61" i="44" a="1"/>
  <c r="AP24" i="55" a="1"/>
  <c r="AC16" i="44"/>
  <c r="AS49" i="44" a="1"/>
  <c r="AO8" i="51" a="1"/>
  <c r="AB34" i="44"/>
  <c r="AP37" i="56" a="1"/>
  <c r="AS43" i="44" a="1"/>
  <c r="AG21" i="55"/>
  <c r="AP11" i="44" a="1"/>
  <c r="AD9" i="57"/>
  <c r="Z16" i="44"/>
  <c r="AO33" i="56" a="1"/>
  <c r="AQ30" i="56" a="1"/>
  <c r="AR62" i="44" a="1"/>
  <c r="AP36" i="56" a="1"/>
  <c r="AD3" i="57"/>
  <c r="AF39" i="56"/>
  <c r="AP61" i="44" a="1"/>
  <c r="AP4" i="44" a="1"/>
  <c r="AR15" i="44" a="1"/>
  <c r="AP30" i="44" a="1"/>
  <c r="AR18" i="51" a="1"/>
  <c r="AA34" i="44"/>
  <c r="AR27" i="44" a="1"/>
  <c r="AQ50" i="44" a="1"/>
  <c r="AQ78" i="44" a="1"/>
  <c r="AP35" i="44" a="1"/>
  <c r="AS28" i="44" a="1"/>
  <c r="AR29" i="57" a="1"/>
  <c r="AA33" i="56"/>
  <c r="AP9" i="51" a="1"/>
  <c r="AQ14" i="56" a="1"/>
  <c r="AQ43" i="55" a="1"/>
  <c r="AQ40" i="55" a="1"/>
  <c r="Y10" i="44"/>
  <c r="X27" i="57"/>
  <c r="AR35" i="56" a="1"/>
  <c r="AA9" i="51"/>
  <c r="AQ27" i="55" a="1"/>
  <c r="Z3" i="51"/>
  <c r="AR37" i="55" a="1"/>
  <c r="AP69" i="44" a="1"/>
  <c r="AO36" i="55" a="1"/>
  <c r="AQ42" i="57" a="1"/>
  <c r="AR28" i="56" a="1"/>
  <c r="AP18" i="44" a="1"/>
  <c r="Y58" i="44"/>
  <c r="AO28" i="56" a="1"/>
  <c r="W21" i="55"/>
  <c r="AR25" i="57" a="1"/>
  <c r="AQ13" i="51" a="1"/>
  <c r="AP24" i="44" a="1"/>
  <c r="AQ19" i="44" a="1"/>
  <c r="AQ18" i="51" a="1"/>
  <c r="AR4" i="44" a="1"/>
  <c r="AA33" i="55"/>
  <c r="AR24" i="55" a="1"/>
  <c r="AR38" i="44" a="1"/>
  <c r="AP46" i="44" a="1"/>
  <c r="AR40" i="55" a="1"/>
  <c r="AO3" i="51" a="1"/>
  <c r="AQ20" i="44" a="1"/>
  <c r="AO11" i="56" a="1"/>
  <c r="AQ7" i="57" a="1"/>
  <c r="AR20" i="44" a="1"/>
  <c r="AO6" i="51" a="1"/>
  <c r="AS9" i="44" a="1"/>
  <c r="AQ65" i="44" a="1"/>
  <c r="AP15" i="44" a="1"/>
  <c r="AS8" i="44" a="1"/>
  <c r="AQ35" i="44" a="1"/>
  <c r="AB64" i="44"/>
  <c r="AP30" i="55" a="1"/>
  <c r="AA9" i="55"/>
  <c r="AR34" i="56" a="1"/>
  <c r="AR8" i="57" a="1"/>
  <c r="Z40" i="44"/>
  <c r="AR44" i="57" a="1"/>
  <c r="Y40" i="44"/>
  <c r="AP14" i="55" a="1"/>
  <c r="AR32" i="55" a="1"/>
  <c r="AQ22" i="44" a="1"/>
  <c r="AF9" i="57"/>
  <c r="AR55" i="44" a="1"/>
  <c r="AA3" i="51"/>
  <c r="AB21" i="56"/>
  <c r="AR39" i="56" a="1"/>
  <c r="Z46" i="44"/>
  <c r="Z58" i="44"/>
  <c r="Y33" i="56"/>
  <c r="AD27" i="57"/>
  <c r="AR13" i="44" a="1"/>
  <c r="AO26" i="55" a="1"/>
  <c r="AA27" i="57"/>
  <c r="AB28" i="44"/>
  <c r="AG9" i="55"/>
  <c r="AQ32" i="56" a="1"/>
  <c r="AS18" i="44" a="1"/>
  <c r="AP4" i="55" a="1"/>
  <c r="AA70" i="44"/>
  <c r="AR28" i="44" a="1"/>
  <c r="AR7" i="51" a="1"/>
  <c r="AS16" i="44" a="1"/>
  <c r="W39" i="56"/>
  <c r="AR31" i="55" a="1"/>
  <c r="AR19" i="57" a="1"/>
  <c r="AS62" i="44" a="1"/>
  <c r="AQ8" i="51" a="1"/>
  <c r="AQ25" i="55" a="1"/>
  <c r="AO34" i="56" a="1"/>
  <c r="AR33" i="56" a="1"/>
  <c r="AP44" i="44" a="1"/>
  <c r="AG3" i="56"/>
  <c r="AP48" i="44" a="1"/>
  <c r="AP25" i="56" a="1"/>
  <c r="AR20" i="55" a="1"/>
  <c r="Z10" i="44"/>
  <c r="AF33" i="55"/>
  <c r="W3" i="56"/>
  <c r="AP38" i="56" a="1"/>
  <c r="AO37" i="56" a="1"/>
  <c r="AR42" i="57" a="1"/>
  <c r="AR29" i="56" a="1"/>
  <c r="AQ13" i="56" a="1"/>
  <c r="AP78" i="44" a="1"/>
  <c r="AP12" i="51" a="1"/>
  <c r="AO17" i="55" a="1"/>
  <c r="AP10" i="56" a="1"/>
  <c r="AS41" i="44" a="1"/>
  <c r="W21" i="56"/>
  <c r="AR13" i="57" a="1"/>
  <c r="AQ31" i="56" a="1"/>
  <c r="AP17" i="56" a="1"/>
  <c r="AR34" i="57" a="1"/>
  <c r="AS74" i="44" a="1"/>
  <c r="AQ20" i="57" a="1"/>
  <c r="AS7" i="44" a="1"/>
  <c r="AO6" i="55" a="1"/>
  <c r="AR12" i="56" a="1"/>
  <c r="AR74" i="44" a="1"/>
  <c r="AR27" i="55" a="1"/>
  <c r="AQ4" i="57" a="1"/>
  <c r="AS80" i="44" a="1"/>
  <c r="AO7" i="56" a="1"/>
  <c r="AQ36" i="57" a="1"/>
  <c r="W15" i="57"/>
  <c r="AP32" i="56" a="1"/>
  <c r="AR14" i="57" a="1"/>
  <c r="AQ25" i="56" a="1"/>
  <c r="AR5" i="57" a="1"/>
  <c r="W9" i="56"/>
  <c r="AO16" i="55" a="1"/>
  <c r="AR75" i="44" a="1"/>
  <c r="AP29" i="44" a="1"/>
  <c r="AR27" i="56" a="1"/>
  <c r="AS34" i="44" a="1"/>
  <c r="AQ38" i="44" a="1"/>
  <c r="AR41" i="55" a="1"/>
  <c r="AQ40" i="44" a="1"/>
  <c r="AG39" i="57"/>
  <c r="AQ12" i="56" a="1"/>
  <c r="AR73" i="44" a="1"/>
  <c r="AF33" i="57"/>
  <c r="AB9" i="56"/>
  <c r="AR20" i="56" a="1"/>
  <c r="AR11" i="56" a="1"/>
  <c r="AR37" i="57" a="1"/>
  <c r="AP36" i="55" a="1"/>
  <c r="AB39" i="55"/>
  <c r="AF3" i="57"/>
  <c r="AR28" i="55" a="1"/>
  <c r="AQ76" i="44" a="1"/>
  <c r="AR6" i="44" a="1"/>
  <c r="AD3" i="56"/>
  <c r="AS12" i="44" a="1"/>
  <c r="AR45" i="44" a="1"/>
  <c r="AS65" i="44" a="1"/>
  <c r="AR42" i="55" a="1"/>
  <c r="AD33" i="55"/>
  <c r="AR7" i="44" a="1"/>
  <c r="AR41" i="44" a="1"/>
  <c r="AD15" i="55"/>
  <c r="AR8" i="51" a="1"/>
  <c r="AG3" i="55"/>
  <c r="AP49" i="44" a="1"/>
  <c r="Y9" i="57"/>
  <c r="AQ31" i="57" a="1"/>
  <c r="AR5" i="44" a="1"/>
  <c r="AR32" i="44" a="1"/>
  <c r="AB4" i="44"/>
  <c r="AE3" i="56"/>
  <c r="AR18" i="55" a="1"/>
  <c r="AO36" i="56" a="1"/>
  <c r="AO13" i="55" a="1"/>
  <c r="AA3" i="57"/>
  <c r="AR17" i="57" a="1"/>
  <c r="AO3" i="56" a="1"/>
  <c r="AE15" i="57"/>
  <c r="X9" i="56"/>
  <c r="AR38" i="57" a="1"/>
  <c r="AR4" i="56" a="1"/>
  <c r="AA27" i="56"/>
  <c r="AQ19" i="51" a="1"/>
  <c r="AD21" i="55"/>
  <c r="Z27" i="55"/>
  <c r="AQ80" i="44" a="1"/>
  <c r="X15" i="51"/>
  <c r="AP65" i="44" a="1"/>
  <c r="AQ18" i="56" a="1"/>
  <c r="AG9" i="56"/>
  <c r="AF27" i="55"/>
  <c r="AB27" i="55"/>
  <c r="AO26" i="56" a="1"/>
  <c r="AQ70" i="44" a="1"/>
  <c r="AQ24" i="57" a="1"/>
  <c r="Z21" i="56"/>
  <c r="AQ19" i="57" a="1"/>
  <c r="AS59" i="44" a="1"/>
  <c r="AR10" i="44" a="1"/>
  <c r="AP13" i="44" a="1"/>
  <c r="AQ17" i="56" a="1"/>
  <c r="AR41" i="56" a="1"/>
  <c r="AB3" i="51"/>
  <c r="AO13" i="56" a="1"/>
  <c r="AR51" i="44" a="1"/>
  <c r="AP26" i="55" a="1"/>
  <c r="AQ21" i="56" a="1"/>
  <c r="AS13" i="44" a="1"/>
  <c r="AQ15" i="56" a="1"/>
  <c r="AC52" i="44"/>
  <c r="AP41" i="44" a="1"/>
  <c r="AQ41" i="44" a="1"/>
  <c r="AR21" i="56" a="1"/>
  <c r="AQ81" i="44" a="1"/>
  <c r="AP31" i="55" a="1"/>
  <c r="AC10" i="44"/>
  <c r="AQ13" i="55" a="1"/>
  <c r="AR43" i="56" a="1"/>
  <c r="AP4" i="51" a="1"/>
  <c r="AA16" i="44"/>
  <c r="AF39" i="57"/>
  <c r="AQ73" i="44" a="1"/>
  <c r="AG9" i="57"/>
  <c r="AQ6" i="51" a="1"/>
  <c r="AQ32" i="55" a="1"/>
  <c r="AA52" i="44"/>
  <c r="AO27" i="55" a="1"/>
  <c r="AS73" i="44" a="1"/>
  <c r="AC70" i="44"/>
  <c r="Z64" i="44"/>
  <c r="AP7" i="55" a="1"/>
  <c r="AF27" i="57"/>
  <c r="AQ6" i="56" a="1"/>
  <c r="AQ72" i="44" a="1"/>
  <c r="AQ53" i="44" a="1"/>
  <c r="AO15" i="56" a="1"/>
  <c r="AG27" i="55"/>
  <c r="AR16" i="44" a="1"/>
  <c r="AP5" i="56" a="1"/>
  <c r="AP73" i="44" a="1"/>
  <c r="AS48" i="44" a="1"/>
  <c r="AQ47" i="44" a="1"/>
  <c r="AQ10" i="56" a="1"/>
  <c r="AQ52" i="44" a="1"/>
  <c r="AS19" i="44" a="1"/>
  <c r="AQ5" i="51" a="1"/>
  <c r="X39" i="56"/>
  <c r="AF21" i="55"/>
  <c r="AS63" i="44" a="1"/>
  <c r="AC28" i="44"/>
  <c r="AR35" i="55" a="1"/>
  <c r="D4" i="41" a="1"/>
  <c r="AS61" i="44" a="1"/>
  <c r="AS23" i="44" a="1"/>
  <c r="AP22" i="55" a="1"/>
  <c r="AQ16" i="56" a="1"/>
  <c r="X3" i="57"/>
  <c r="AD39" i="56"/>
  <c r="AS26" i="44" a="1"/>
  <c r="AR25" i="44" a="1"/>
  <c r="AQ29" i="44" a="1"/>
  <c r="AG33" i="57"/>
  <c r="AA9" i="56"/>
  <c r="AQ15" i="57" a="1"/>
  <c r="AP66" i="44" a="1"/>
  <c r="AO31" i="55" a="1"/>
  <c r="AA39" i="55"/>
  <c r="AQ36" i="44" a="1"/>
  <c r="AR56" i="44" a="1"/>
  <c r="AA76" i="44"/>
  <c r="AS27" i="44" a="1"/>
  <c r="AQ7" i="56" a="1"/>
  <c r="AQ28" i="55" a="1"/>
  <c r="AG21" i="57"/>
  <c r="AR32" i="56" a="1"/>
  <c r="AR35" i="57" a="1"/>
  <c r="AQ11" i="51" a="1"/>
  <c r="AP8" i="55" a="1"/>
  <c r="X9" i="51"/>
  <c r="AB40" i="44"/>
  <c r="AP81" i="44" a="1"/>
  <c r="AR57" i="44" a="1"/>
  <c r="Y21" i="56"/>
  <c r="AR36" i="57" a="1"/>
  <c r="AP20" i="56" a="1"/>
  <c r="AO21" i="55" a="1"/>
  <c r="AR17" i="51" a="1"/>
  <c r="AO4" i="56" a="1"/>
  <c r="AO7" i="51" a="1"/>
  <c r="AR19" i="55" a="1"/>
  <c r="AR8" i="55" a="1"/>
  <c r="AR7" i="56" a="1"/>
  <c r="AS45" i="44" a="1"/>
  <c r="AP11" i="51" a="1"/>
  <c r="AR40" i="57" a="1"/>
  <c r="AB22" i="44"/>
  <c r="AO30" i="56" a="1"/>
  <c r="AO35" i="56" a="1"/>
  <c r="AR36" i="55" a="1"/>
  <c r="AQ11" i="55" a="1"/>
  <c r="AQ14" i="55" a="1"/>
  <c r="AA40" i="44"/>
  <c r="AQ46" i="44" a="1"/>
  <c r="AS68" i="44" a="1"/>
  <c r="W39" i="57"/>
  <c r="Y46" i="44"/>
  <c r="AG3" i="57"/>
  <c r="AR6" i="56" a="1"/>
  <c r="AQ3" i="57" a="1"/>
  <c r="AB21" i="55"/>
  <c r="AS31" i="44" a="1"/>
  <c r="AC4" i="44"/>
  <c r="AA46" i="44"/>
  <c r="Z52" i="44"/>
  <c r="AR10" i="51" a="1"/>
  <c r="AC46" i="44"/>
  <c r="Y15" i="55"/>
  <c r="Y4" i="44"/>
  <c r="AR19" i="51" a="1"/>
  <c r="Y34" i="44"/>
  <c r="AS72" i="44" a="1"/>
  <c r="AQ27" i="56" a="1"/>
  <c r="AE9" i="56"/>
  <c r="AQ15" i="51" a="1"/>
  <c r="AS55" i="44" a="1"/>
  <c r="AQ7" i="51" a="1"/>
  <c r="AO17" i="56" a="1"/>
  <c r="AQ22" i="55" a="1"/>
  <c r="AQ5" i="56" a="1"/>
  <c r="AP12" i="44" a="1"/>
  <c r="Y15" i="56"/>
  <c r="AQ30" i="57" a="1"/>
  <c r="AR46" i="44" a="1"/>
  <c r="AO29" i="56" a="1"/>
  <c r="AQ79" i="44" a="1"/>
  <c r="X33" i="55"/>
  <c r="AP16" i="44" a="1"/>
  <c r="AP67" i="44" a="1"/>
  <c r="AR24" i="57" a="1"/>
  <c r="Y15" i="57"/>
  <c r="AR7" i="55" a="1"/>
  <c r="W33" i="56"/>
  <c r="AR5" i="51" a="1"/>
  <c r="AP3" i="56" a="1"/>
  <c r="AP13" i="56" a="1"/>
  <c r="AR79" i="44" a="1"/>
  <c r="AP17" i="51" a="1"/>
  <c r="AP33" i="44" a="1"/>
  <c r="AO27" i="56" a="1"/>
  <c r="AP31" i="44" a="1"/>
  <c r="AF39" i="55"/>
  <c r="AR52" i="44" a="1"/>
  <c r="AQ15" i="44" a="1"/>
  <c r="AO5" i="55" a="1"/>
  <c r="AQ24" i="55" a="1"/>
  <c r="AP47" i="44" a="1"/>
  <c r="AP23" i="44" a="1"/>
  <c r="AQ43" i="56" a="1"/>
  <c r="AQ34" i="55" a="1"/>
  <c r="AP29" i="55" a="1"/>
  <c r="AP7" i="44" a="1"/>
  <c r="AR16" i="51" a="1"/>
  <c r="AO33" i="55" a="1"/>
  <c r="AQ20" i="55" a="1"/>
  <c r="AP32" i="55" a="1"/>
  <c r="AR6" i="57" a="1"/>
  <c r="AQ32" i="44" a="1"/>
  <c r="AQ9" i="51" a="1"/>
  <c r="AL208" i="40"/>
  <c r="AK208" i="40"/>
  <c r="AM208" i="40"/>
  <c r="AO208" i="40"/>
  <c r="AN208" i="40"/>
  <c r="AQ208" i="40"/>
  <c r="AU208" i="40"/>
  <c r="AS208" i="40"/>
  <c r="AT208" i="40"/>
  <c r="AR208" i="40"/>
  <c r="W52" i="55" l="1"/>
  <c r="AA98" i="44"/>
  <c r="G21" i="35"/>
  <c r="D21" i="35"/>
  <c r="H21" i="35"/>
  <c r="F21" i="35"/>
  <c r="AP54" i="44"/>
  <c r="H19" i="35"/>
  <c r="AR30" i="55"/>
  <c r="AQ73" i="44"/>
  <c r="AQ12" i="44"/>
  <c r="AR69" i="44"/>
  <c r="AQ57" i="44"/>
  <c r="AQ24" i="57"/>
  <c r="AS38" i="44"/>
  <c r="I18" i="35"/>
  <c r="D16" i="35"/>
  <c r="AR19" i="44"/>
  <c r="AP8" i="44"/>
  <c r="AQ46" i="44"/>
  <c r="AS71" i="44"/>
  <c r="AR38" i="44"/>
  <c r="AR5" i="44"/>
  <c r="AQ15" i="55"/>
  <c r="AR18" i="44"/>
  <c r="D39" i="35"/>
  <c r="AQ6" i="56"/>
  <c r="AO30" i="55"/>
  <c r="AP6" i="55"/>
  <c r="AR12" i="44"/>
  <c r="AR12" i="57"/>
  <c r="AS80" i="44"/>
  <c r="AO38" i="55"/>
  <c r="AQ51" i="44"/>
  <c r="H38" i="35"/>
  <c r="AF52" i="56"/>
  <c r="H45" i="35" s="1"/>
  <c r="AQ31" i="55"/>
  <c r="AQ71" i="44"/>
  <c r="AQ45" i="44"/>
  <c r="I44" i="35"/>
  <c r="AQ18" i="51"/>
  <c r="AR19" i="55"/>
  <c r="AQ30" i="55"/>
  <c r="AS67" i="44"/>
  <c r="AR43" i="44"/>
  <c r="AP29" i="44"/>
  <c r="AS29" i="44"/>
  <c r="AP4" i="51"/>
  <c r="AP9" i="55"/>
  <c r="AQ11" i="44"/>
  <c r="AS9" i="44"/>
  <c r="AP17" i="56"/>
  <c r="AR10" i="57"/>
  <c r="AO36" i="55"/>
  <c r="AQ59" i="44"/>
  <c r="AR35" i="44"/>
  <c r="F42" i="35"/>
  <c r="AP41" i="44"/>
  <c r="AP49" i="44"/>
  <c r="AR44" i="57"/>
  <c r="AQ35" i="57"/>
  <c r="AQ38" i="55"/>
  <c r="AR27" i="44"/>
  <c r="AQ23" i="44"/>
  <c r="AR26" i="55"/>
  <c r="AR20" i="57"/>
  <c r="AR8" i="56"/>
  <c r="AR41" i="56"/>
  <c r="AR37" i="55"/>
  <c r="AR79" i="44"/>
  <c r="AO11" i="51"/>
  <c r="AR7" i="57"/>
  <c r="AS14" i="44"/>
  <c r="C19" i="35"/>
  <c r="AP73" i="44"/>
  <c r="AR42" i="44"/>
  <c r="AO13" i="56"/>
  <c r="H43" i="35"/>
  <c r="AR16" i="44"/>
  <c r="AQ29" i="57"/>
  <c r="G69" i="35"/>
  <c r="AR15" i="57"/>
  <c r="AP34" i="56"/>
  <c r="AS28" i="44"/>
  <c r="AQ25" i="55"/>
  <c r="AP22" i="56"/>
  <c r="AQ78" i="44"/>
  <c r="AR71" i="44"/>
  <c r="AR16" i="55"/>
  <c r="G20" i="35"/>
  <c r="AS32" i="44"/>
  <c r="AS77" i="44"/>
  <c r="AS64" i="44"/>
  <c r="AP51" i="44"/>
  <c r="H65" i="35"/>
  <c r="AF52" i="57"/>
  <c r="H72" i="35" s="1"/>
  <c r="AP4" i="56"/>
  <c r="F18" i="35"/>
  <c r="AP7" i="51"/>
  <c r="AP4" i="55"/>
  <c r="I67" i="35"/>
  <c r="AQ72" i="44"/>
  <c r="AP72" i="44"/>
  <c r="AR15" i="56"/>
  <c r="AS57" i="44"/>
  <c r="AP20" i="55"/>
  <c r="AR35" i="55"/>
  <c r="AO10" i="51"/>
  <c r="AP31" i="44"/>
  <c r="AS62" i="44"/>
  <c r="AO28" i="55"/>
  <c r="AP25" i="44"/>
  <c r="AR61" i="44"/>
  <c r="AS16" i="44"/>
  <c r="AR6" i="51"/>
  <c r="AR19" i="57"/>
  <c r="AQ35" i="55"/>
  <c r="AR44" i="44"/>
  <c r="AP30" i="55"/>
  <c r="AR28" i="56"/>
  <c r="AQ74" i="44"/>
  <c r="AR13" i="44"/>
  <c r="AR22" i="44"/>
  <c r="AR31" i="44"/>
  <c r="AP63" i="44"/>
  <c r="AR5" i="55"/>
  <c r="AQ13" i="56"/>
  <c r="AO11" i="56"/>
  <c r="AR31" i="55"/>
  <c r="AR26" i="56"/>
  <c r="AQ56" i="44"/>
  <c r="AQ7" i="44"/>
  <c r="AR42" i="55"/>
  <c r="AR15" i="55"/>
  <c r="AP22" i="55"/>
  <c r="Y52" i="56"/>
  <c r="AO4" i="56"/>
  <c r="AO17" i="55"/>
  <c r="F71" i="35"/>
  <c r="AS69" i="44"/>
  <c r="AQ70" i="44"/>
  <c r="G42" i="35"/>
  <c r="AQ37" i="55"/>
  <c r="AQ48" i="44"/>
  <c r="AR37" i="57"/>
  <c r="AP5" i="55"/>
  <c r="AR54" i="44"/>
  <c r="AO10" i="55"/>
  <c r="AR41" i="55"/>
  <c r="AR24" i="55"/>
  <c r="AR8" i="44"/>
  <c r="AQ21" i="55"/>
  <c r="C40" i="35"/>
  <c r="D5" i="45"/>
  <c r="AP48" i="44"/>
  <c r="AO6" i="51"/>
  <c r="H70" i="35"/>
  <c r="I43" i="35"/>
  <c r="AR64" i="44"/>
  <c r="AQ68" i="44"/>
  <c r="AQ38" i="56"/>
  <c r="AQ43" i="44"/>
  <c r="AO8" i="51"/>
  <c r="AS39" i="44"/>
  <c r="AR11" i="55"/>
  <c r="AQ34" i="44"/>
  <c r="AQ9" i="55"/>
  <c r="AO15" i="56"/>
  <c r="AP29" i="55"/>
  <c r="AR14" i="55"/>
  <c r="AP45" i="44"/>
  <c r="AP12" i="44"/>
  <c r="AR13" i="51"/>
  <c r="AP60" i="44"/>
  <c r="AR18" i="55"/>
  <c r="AS7" i="44"/>
  <c r="AQ4" i="44"/>
  <c r="AQ17" i="55"/>
  <c r="AP80" i="44"/>
  <c r="D69" i="35"/>
  <c r="AQ17" i="44"/>
  <c r="D67" i="35"/>
  <c r="AQ35" i="44"/>
  <c r="AS81" i="44"/>
  <c r="AS33" i="44"/>
  <c r="AR16" i="51"/>
  <c r="AS11" i="44"/>
  <c r="AR34" i="44"/>
  <c r="AP38" i="44"/>
  <c r="AP57" i="44"/>
  <c r="AS10" i="44"/>
  <c r="AS23" i="44"/>
  <c r="AR12" i="55"/>
  <c r="AQ20" i="56"/>
  <c r="AQ14" i="55"/>
  <c r="F69" i="35"/>
  <c r="AS27" i="44"/>
  <c r="AQ30" i="44"/>
  <c r="AQ17" i="57"/>
  <c r="AS61" i="44"/>
  <c r="AO33" i="56"/>
  <c r="AQ23" i="57"/>
  <c r="AR10" i="56"/>
  <c r="AR33" i="55"/>
  <c r="AR63" i="44"/>
  <c r="AP26" i="55"/>
  <c r="AP37" i="55"/>
  <c r="I65" i="35"/>
  <c r="AG52" i="57"/>
  <c r="I72" i="35" s="1"/>
  <c r="AS49" i="44"/>
  <c r="AR53" i="44"/>
  <c r="AR36" i="57"/>
  <c r="AR31" i="57"/>
  <c r="AR72" i="44"/>
  <c r="AP16" i="55"/>
  <c r="AS6" i="44"/>
  <c r="AR49" i="44"/>
  <c r="AQ67" i="44"/>
  <c r="AO21" i="56"/>
  <c r="AR52" i="44"/>
  <c r="AQ9" i="51"/>
  <c r="AQ27" i="55"/>
  <c r="AR74" i="44"/>
  <c r="AQ26" i="57"/>
  <c r="AQ4" i="51"/>
  <c r="AR43" i="55"/>
  <c r="AQ5" i="44"/>
  <c r="AR39" i="44"/>
  <c r="AQ15" i="56"/>
  <c r="AP36" i="55"/>
  <c r="AR23" i="44"/>
  <c r="AP35" i="55"/>
  <c r="AS55" i="44"/>
  <c r="AP56" i="44"/>
  <c r="AR50" i="44"/>
  <c r="AQ14" i="44"/>
  <c r="AR25" i="44"/>
  <c r="AQ39" i="55"/>
  <c r="AR5" i="56"/>
  <c r="F67" i="35"/>
  <c r="AQ13" i="55"/>
  <c r="I16" i="35"/>
  <c r="AR45" i="44"/>
  <c r="AP19" i="51"/>
  <c r="AQ33" i="55"/>
  <c r="AO5" i="55"/>
  <c r="I68" i="35"/>
  <c r="AR47" i="44"/>
  <c r="AQ39" i="44"/>
  <c r="AR21" i="57"/>
  <c r="AR51" i="44"/>
  <c r="AQ49" i="44"/>
  <c r="AR36" i="55"/>
  <c r="AQ31" i="44"/>
  <c r="AQ65" i="44"/>
  <c r="AQ19" i="57"/>
  <c r="AR76" i="44"/>
  <c r="AR33" i="56"/>
  <c r="AR21" i="55"/>
  <c r="AR7" i="56"/>
  <c r="AS79" i="44"/>
  <c r="AP47" i="44"/>
  <c r="AQ32" i="44"/>
  <c r="I41" i="35"/>
  <c r="AR7" i="44"/>
  <c r="AQ36" i="57"/>
  <c r="AS21" i="44"/>
  <c r="AO19" i="55"/>
  <c r="H68" i="35"/>
  <c r="AR22" i="55"/>
  <c r="F43" i="35"/>
  <c r="AQ80" i="44"/>
  <c r="F68" i="35"/>
  <c r="AQ7" i="56"/>
  <c r="AO35" i="56"/>
  <c r="AO8" i="55"/>
  <c r="AQ34" i="56"/>
  <c r="AP31" i="55"/>
  <c r="AO18" i="55"/>
  <c r="AQ38" i="44"/>
  <c r="AQ11" i="51"/>
  <c r="AQ40" i="56"/>
  <c r="AQ53" i="44"/>
  <c r="AS58" i="44"/>
  <c r="AP19" i="44"/>
  <c r="AR25" i="55"/>
  <c r="AQ9" i="56"/>
  <c r="I69" i="35"/>
  <c r="AQ18" i="55"/>
  <c r="AP16" i="44"/>
  <c r="AQ7" i="55"/>
  <c r="AR65" i="44"/>
  <c r="G18" i="35"/>
  <c r="AQ62" i="44"/>
  <c r="D18" i="35"/>
  <c r="I19" i="35"/>
  <c r="H67" i="35"/>
  <c r="AO23" i="55"/>
  <c r="AQ11" i="56"/>
  <c r="AP33" i="55"/>
  <c r="AS48" i="44"/>
  <c r="AR44" i="55"/>
  <c r="AS59" i="44"/>
  <c r="AP28" i="44"/>
  <c r="AR33" i="44"/>
  <c r="AS17" i="44"/>
  <c r="AS4" i="44"/>
  <c r="AR10" i="51"/>
  <c r="AQ10" i="44"/>
  <c r="AQ28" i="44"/>
  <c r="AO33" i="55"/>
  <c r="AO24" i="55"/>
  <c r="AQ18" i="44"/>
  <c r="AQ29" i="55"/>
  <c r="C17" i="35"/>
  <c r="AQ24" i="44"/>
  <c r="AQ6" i="44"/>
  <c r="AR19" i="56"/>
  <c r="G41" i="35"/>
  <c r="AQ29" i="44"/>
  <c r="AP21" i="55"/>
  <c r="AR3" i="55"/>
  <c r="AQ44" i="55"/>
  <c r="C22" i="35"/>
  <c r="C15" i="35"/>
  <c r="AS60" i="44"/>
  <c r="AP13" i="44"/>
  <c r="AQ64" i="44"/>
  <c r="AS45" i="44"/>
  <c r="AO34" i="55"/>
  <c r="AR38" i="55"/>
  <c r="AO13" i="55"/>
  <c r="AQ25" i="56"/>
  <c r="AR37" i="44"/>
  <c r="AP24" i="44"/>
  <c r="AP71" i="44"/>
  <c r="AR40" i="55"/>
  <c r="AR20" i="55"/>
  <c r="AS70" i="44"/>
  <c r="AR26" i="44"/>
  <c r="I40" i="35"/>
  <c r="AQ19" i="51"/>
  <c r="AP25" i="55"/>
  <c r="F16" i="35"/>
  <c r="AR23" i="57"/>
  <c r="AR77" i="44"/>
  <c r="AO4" i="55"/>
  <c r="AR43" i="57"/>
  <c r="AQ21" i="57"/>
  <c r="AR14" i="56"/>
  <c r="AQ5" i="56"/>
  <c r="I42" i="35"/>
  <c r="F70" i="35"/>
  <c r="AQ81" i="44"/>
  <c r="AO14" i="51"/>
  <c r="AS78" i="44"/>
  <c r="AO29" i="55"/>
  <c r="AP55" i="44"/>
  <c r="H16" i="35"/>
  <c r="AS26" i="44"/>
  <c r="AQ6" i="57"/>
  <c r="AP24" i="55"/>
  <c r="AP37" i="44"/>
  <c r="D19" i="35"/>
  <c r="AP15" i="55"/>
  <c r="AO19" i="56"/>
  <c r="AP74" i="44"/>
  <c r="AR66" i="44"/>
  <c r="AP9" i="44"/>
  <c r="G16" i="35"/>
  <c r="AQ43" i="55"/>
  <c r="AR35" i="56"/>
  <c r="AP6" i="44"/>
  <c r="AQ10" i="57"/>
  <c r="AP13" i="55"/>
  <c r="AP21" i="56"/>
  <c r="AR9" i="51"/>
  <c r="AR55" i="44"/>
  <c r="AP35" i="44"/>
  <c r="AP32" i="44"/>
  <c r="AP77" i="44"/>
  <c r="AQ15" i="44"/>
  <c r="AR15" i="51"/>
  <c r="AO15" i="51"/>
  <c r="AO31" i="56"/>
  <c r="AP22" i="44"/>
  <c r="AQ16" i="44"/>
  <c r="AR68" i="44"/>
  <c r="AP64" i="44"/>
  <c r="AO6" i="55"/>
  <c r="AP23" i="55"/>
  <c r="AQ9" i="44"/>
  <c r="AQ23" i="55"/>
  <c r="AR29" i="55"/>
  <c r="C21" i="35"/>
  <c r="AQ32" i="56"/>
  <c r="AQ29" i="56"/>
  <c r="Z52" i="56"/>
  <c r="G19" i="35"/>
  <c r="AS12" i="44"/>
  <c r="AS74" i="44"/>
  <c r="AQ8" i="55"/>
  <c r="AR4" i="55"/>
  <c r="AQ19" i="44"/>
  <c r="AO10" i="56"/>
  <c r="H69" i="35"/>
  <c r="AR56" i="44"/>
  <c r="AP11" i="44"/>
  <c r="AO14" i="56"/>
  <c r="AO32" i="55"/>
  <c r="AP12" i="55"/>
  <c r="AQ33" i="56"/>
  <c r="AR4" i="44"/>
  <c r="AP30" i="44"/>
  <c r="AR58" i="44"/>
  <c r="AS73" i="44"/>
  <c r="AP59" i="44"/>
  <c r="AO12" i="55"/>
  <c r="AQ69" i="44"/>
  <c r="AQ76" i="44"/>
  <c r="X52" i="56"/>
  <c r="AQ43" i="57"/>
  <c r="H18" i="35"/>
  <c r="AP7" i="55"/>
  <c r="AP12" i="51"/>
  <c r="AR10" i="44"/>
  <c r="AS13" i="44"/>
  <c r="AR29" i="44"/>
  <c r="AP21" i="44"/>
  <c r="AP8" i="51"/>
  <c r="AQ58" i="44"/>
  <c r="AQ47" i="44"/>
  <c r="AQ33" i="44"/>
  <c r="AP43" i="44"/>
  <c r="AS22" i="44"/>
  <c r="AR30" i="44"/>
  <c r="H20" i="35"/>
  <c r="AQ20" i="57"/>
  <c r="AA52" i="57"/>
  <c r="AO16" i="51"/>
  <c r="AR80" i="44"/>
  <c r="AQ50" i="44"/>
  <c r="AQ30" i="57"/>
  <c r="AP17" i="44"/>
  <c r="AQ16" i="51"/>
  <c r="AR59" i="44"/>
  <c r="AQ19" i="55"/>
  <c r="AS37" i="44"/>
  <c r="AQ39" i="57"/>
  <c r="AQ26" i="55"/>
  <c r="AR62" i="44"/>
  <c r="AP78" i="44"/>
  <c r="AR81" i="44"/>
  <c r="AS46" i="44"/>
  <c r="AO17" i="56"/>
  <c r="AP4" i="44"/>
  <c r="AS42" i="44"/>
  <c r="C16" i="35"/>
  <c r="AR23" i="55"/>
  <c r="AS20" i="44"/>
  <c r="F40" i="35"/>
  <c r="AR13" i="56"/>
  <c r="AQ26" i="44"/>
  <c r="AQ37" i="44"/>
  <c r="AR40" i="56"/>
  <c r="AR6" i="55"/>
  <c r="AQ19" i="56"/>
  <c r="I38" i="35"/>
  <c r="AG52" i="56"/>
  <c r="I45" i="35" s="1"/>
  <c r="AR9" i="55"/>
  <c r="AP14" i="44"/>
  <c r="AO16" i="55"/>
  <c r="AR75" i="44"/>
  <c r="AQ5" i="55"/>
  <c r="AR11" i="57"/>
  <c r="AP36" i="44"/>
  <c r="AR11" i="44"/>
  <c r="AS76" i="44"/>
  <c r="AQ27" i="44"/>
  <c r="AQ3" i="55"/>
  <c r="AQ63" i="44"/>
  <c r="G67" i="35"/>
  <c r="Z52" i="57"/>
  <c r="AP34" i="55"/>
  <c r="AP58" i="44"/>
  <c r="AQ25" i="57"/>
  <c r="AP42" i="44"/>
  <c r="AR21" i="44"/>
  <c r="AQ18" i="57"/>
  <c r="AQ44" i="57"/>
  <c r="AR4" i="56"/>
  <c r="C39" i="35"/>
  <c r="AR16" i="57"/>
  <c r="AP8" i="55"/>
  <c r="AR12" i="56"/>
  <c r="AQ13" i="57"/>
  <c r="AQ24" i="56"/>
  <c r="AR9" i="56"/>
  <c r="AQ27" i="57"/>
  <c r="I39" i="35"/>
  <c r="AO18" i="56"/>
  <c r="AS8" i="44"/>
  <c r="AO12" i="51"/>
  <c r="AR28" i="55"/>
  <c r="AS30" i="44"/>
  <c r="AP17" i="51"/>
  <c r="AR31" i="56"/>
  <c r="AR30" i="57"/>
  <c r="AR11" i="56"/>
  <c r="AS51" i="44"/>
  <c r="I21" i="35"/>
  <c r="AR21" i="56"/>
  <c r="G39" i="35"/>
  <c r="AQ4" i="57"/>
  <c r="AP44" i="44"/>
  <c r="AS54" i="44"/>
  <c r="AS34" i="44"/>
  <c r="AS35" i="44"/>
  <c r="AR73" i="44"/>
  <c r="AP13" i="51"/>
  <c r="AO12" i="56"/>
  <c r="AQ79" i="44"/>
  <c r="AP81" i="44"/>
  <c r="AQ36" i="55"/>
  <c r="AP61" i="44"/>
  <c r="AR8" i="55"/>
  <c r="AR8" i="57"/>
  <c r="AR3" i="56"/>
  <c r="AP69" i="44"/>
  <c r="AQ38" i="57"/>
  <c r="AP32" i="56"/>
  <c r="AQ37" i="57"/>
  <c r="AO5" i="51"/>
  <c r="AP28" i="55"/>
  <c r="G40" i="35"/>
  <c r="AP15" i="51"/>
  <c r="D65" i="35"/>
  <c r="AB52" i="57"/>
  <c r="D72" i="35" s="1"/>
  <c r="AQ3" i="51"/>
  <c r="AR29" i="57"/>
  <c r="D41" i="35"/>
  <c r="AQ8" i="51"/>
  <c r="AQ42" i="55"/>
  <c r="AP8" i="56"/>
  <c r="AR13" i="55"/>
  <c r="AQ6" i="55"/>
  <c r="AS31" i="44"/>
  <c r="AP7" i="56"/>
  <c r="AS44" i="44"/>
  <c r="AP76" i="44"/>
  <c r="AR19" i="51"/>
  <c r="AP27" i="55"/>
  <c r="AR5" i="57"/>
  <c r="AO22" i="56"/>
  <c r="AQ32" i="55"/>
  <c r="AQ54" i="44"/>
  <c r="AQ40" i="55"/>
  <c r="AR4" i="57"/>
  <c r="AR32" i="44"/>
  <c r="AS50" i="44"/>
  <c r="D71" i="35"/>
  <c r="AQ31" i="57"/>
  <c r="AR33" i="57"/>
  <c r="AP26" i="56"/>
  <c r="AO7" i="51"/>
  <c r="AR29" i="56"/>
  <c r="AR70" i="44"/>
  <c r="AR35" i="57"/>
  <c r="AR18" i="51"/>
  <c r="AP31" i="56"/>
  <c r="AR15" i="44"/>
  <c r="H42" i="35"/>
  <c r="I20" i="35"/>
  <c r="AR27" i="56"/>
  <c r="AO38" i="56"/>
  <c r="AP23" i="44"/>
  <c r="AQ39" i="56"/>
  <c r="AP16" i="51"/>
  <c r="AS75" i="44"/>
  <c r="AQ6" i="51"/>
  <c r="E4" i="41"/>
  <c r="AO35" i="55"/>
  <c r="AP18" i="55"/>
  <c r="AS63" i="44"/>
  <c r="AQ55" i="44"/>
  <c r="AS66" i="44"/>
  <c r="AS53" i="44"/>
  <c r="AR34" i="55"/>
  <c r="AQ34" i="57"/>
  <c r="AQ4" i="55"/>
  <c r="AR17" i="55"/>
  <c r="D20" i="35"/>
  <c r="AS19" i="44"/>
  <c r="AP37" i="56"/>
  <c r="AR28" i="44"/>
  <c r="D66" i="35"/>
  <c r="AQ10" i="56"/>
  <c r="AR37" i="56"/>
  <c r="AQ22" i="55"/>
  <c r="AR17" i="51"/>
  <c r="AO13" i="51"/>
  <c r="AO9" i="56"/>
  <c r="AQ43" i="56"/>
  <c r="AO26" i="56"/>
  <c r="AQ32" i="57"/>
  <c r="AS43" i="44"/>
  <c r="AR9" i="57"/>
  <c r="AR4" i="51"/>
  <c r="AQ12" i="57"/>
  <c r="D4" i="41"/>
  <c r="AR42" i="57"/>
  <c r="AR41" i="44"/>
  <c r="AQ44" i="44"/>
  <c r="AP9" i="56"/>
  <c r="G68" i="35"/>
  <c r="AP53" i="44"/>
  <c r="AQ11" i="57"/>
  <c r="D43" i="35"/>
  <c r="AP38" i="56"/>
  <c r="AP18" i="51"/>
  <c r="C41" i="35"/>
  <c r="D44" i="35"/>
  <c r="AO26" i="55"/>
  <c r="AP10" i="51"/>
  <c r="C70" i="35"/>
  <c r="AQ40" i="57"/>
  <c r="G44" i="35"/>
  <c r="AP29" i="56"/>
  <c r="AR40" i="57"/>
  <c r="AP33" i="56"/>
  <c r="AP19" i="56"/>
  <c r="AP5" i="51"/>
  <c r="AO21" i="55"/>
  <c r="AQ28" i="56"/>
  <c r="AQ17" i="56"/>
  <c r="AS40" i="44"/>
  <c r="C20" i="35"/>
  <c r="C67" i="35"/>
  <c r="AR39" i="56"/>
  <c r="AQ14" i="57"/>
  <c r="AP5" i="56"/>
  <c r="AR6" i="44"/>
  <c r="AR28" i="57"/>
  <c r="AP39" i="44"/>
  <c r="AR32" i="55"/>
  <c r="C42" i="35"/>
  <c r="G70" i="35"/>
  <c r="F44" i="35"/>
  <c r="AR18" i="56"/>
  <c r="AP65" i="44"/>
  <c r="AP17" i="55"/>
  <c r="AP75" i="44"/>
  <c r="AS65" i="44"/>
  <c r="AO3" i="51"/>
  <c r="AQ16" i="55"/>
  <c r="AQ7" i="57"/>
  <c r="AQ41" i="55"/>
  <c r="AR38" i="56"/>
  <c r="AR36" i="44"/>
  <c r="C66" i="35"/>
  <c r="AQ9" i="57"/>
  <c r="AR41" i="57"/>
  <c r="AQ18" i="56"/>
  <c r="D42" i="35"/>
  <c r="AS25" i="44"/>
  <c r="AR60" i="44"/>
  <c r="H44" i="35"/>
  <c r="AR34" i="56"/>
  <c r="AP20" i="56"/>
  <c r="AE52" i="56"/>
  <c r="G45" i="35" s="1"/>
  <c r="G38" i="35"/>
  <c r="H40" i="35"/>
  <c r="AO4" i="51"/>
  <c r="AR9" i="44"/>
  <c r="AQ33" i="57"/>
  <c r="AR16" i="56"/>
  <c r="AQ30" i="56"/>
  <c r="AS52" i="44"/>
  <c r="C65" i="35"/>
  <c r="W52" i="57"/>
  <c r="C72" i="35" s="1"/>
  <c r="AQ13" i="51"/>
  <c r="AR27" i="57"/>
  <c r="AS68" i="44"/>
  <c r="AP62" i="44"/>
  <c r="AQ5" i="51"/>
  <c r="AQ27" i="56"/>
  <c r="AR43" i="56"/>
  <c r="AQ41" i="56"/>
  <c r="AR22" i="57"/>
  <c r="AP20" i="51"/>
  <c r="AR20" i="51"/>
  <c r="AQ28" i="57"/>
  <c r="AO22" i="55"/>
  <c r="AQ22" i="44"/>
  <c r="AQ10" i="51"/>
  <c r="AQ26" i="56"/>
  <c r="AP26" i="44"/>
  <c r="AR17" i="57"/>
  <c r="AO27" i="56"/>
  <c r="AO20" i="51"/>
  <c r="AQ36" i="56"/>
  <c r="F39" i="35"/>
  <c r="AR23" i="56"/>
  <c r="AR32" i="57"/>
  <c r="AP15" i="56"/>
  <c r="AP36" i="56"/>
  <c r="C44" i="35"/>
  <c r="X52" i="57"/>
  <c r="AQ15" i="57"/>
  <c r="AP27" i="44"/>
  <c r="AQ12" i="56"/>
  <c r="AR14" i="44"/>
  <c r="AQ60" i="44"/>
  <c r="AQ28" i="55"/>
  <c r="AO25" i="56"/>
  <c r="AS5" i="44"/>
  <c r="AR14" i="57"/>
  <c r="AP3" i="51"/>
  <c r="AR24" i="57"/>
  <c r="C71" i="35"/>
  <c r="AQ14" i="56"/>
  <c r="AP70" i="44"/>
  <c r="AR32" i="56"/>
  <c r="AP35" i="56"/>
  <c r="AR34" i="57"/>
  <c r="AP6" i="56"/>
  <c r="AO9" i="51"/>
  <c r="AQ36" i="44"/>
  <c r="AP10" i="56"/>
  <c r="AQ52" i="44"/>
  <c r="AA52" i="56"/>
  <c r="AR44" i="56"/>
  <c r="AR30" i="56"/>
  <c r="AQ22" i="56"/>
  <c r="AR42" i="56"/>
  <c r="AP10" i="44"/>
  <c r="AP38" i="55"/>
  <c r="AP12" i="56"/>
  <c r="AQ66" i="44"/>
  <c r="G71" i="35"/>
  <c r="AR17" i="56"/>
  <c r="AP25" i="56"/>
  <c r="AR20" i="44"/>
  <c r="AQ20" i="55"/>
  <c r="AP15" i="44"/>
  <c r="AS72" i="44"/>
  <c r="F41" i="35"/>
  <c r="AO7" i="56"/>
  <c r="AS47" i="44"/>
  <c r="AO14" i="55"/>
  <c r="AQ16" i="57"/>
  <c r="AP20" i="44"/>
  <c r="AO34" i="56"/>
  <c r="AP30" i="56"/>
  <c r="AP10" i="55"/>
  <c r="G43" i="35"/>
  <c r="AP34" i="44"/>
  <c r="AR40" i="44"/>
  <c r="AQ35" i="56"/>
  <c r="AR27" i="55"/>
  <c r="AR25" i="57"/>
  <c r="H66" i="35"/>
  <c r="AP11" i="56"/>
  <c r="AO25" i="55"/>
  <c r="AP52" i="44"/>
  <c r="AR24" i="56"/>
  <c r="D40" i="35"/>
  <c r="AR26" i="57"/>
  <c r="AQ34" i="55"/>
  <c r="AO20" i="56"/>
  <c r="AP24" i="56"/>
  <c r="AO36" i="56"/>
  <c r="AQ12" i="51"/>
  <c r="AR48" i="44"/>
  <c r="AP28" i="56"/>
  <c r="AR5" i="51"/>
  <c r="AP14" i="55"/>
  <c r="AS36" i="44"/>
  <c r="I66" i="35"/>
  <c r="AO37" i="56"/>
  <c r="AP18" i="44"/>
  <c r="H39" i="35"/>
  <c r="AR39" i="57"/>
  <c r="AP7" i="44"/>
  <c r="AR8" i="51"/>
  <c r="AP23" i="56"/>
  <c r="AP16" i="56"/>
  <c r="AR18" i="57"/>
  <c r="AR25" i="56"/>
  <c r="AP14" i="51"/>
  <c r="AR36" i="56"/>
  <c r="I71" i="35"/>
  <c r="F38" i="35"/>
  <c r="AD52" i="56"/>
  <c r="F45" i="35" s="1"/>
  <c r="AQ20" i="44"/>
  <c r="AP18" i="56"/>
  <c r="F19" i="35"/>
  <c r="AQ5" i="57"/>
  <c r="AR38" i="57"/>
  <c r="AP11" i="51"/>
  <c r="AO24" i="56"/>
  <c r="AE52" i="57"/>
  <c r="G72" i="35" s="1"/>
  <c r="G65" i="35"/>
  <c r="AO15" i="55"/>
  <c r="AQ77" i="44"/>
  <c r="AP11" i="55"/>
  <c r="AQ8" i="57"/>
  <c r="AQ41" i="57"/>
  <c r="AR17" i="44"/>
  <c r="F20" i="35"/>
  <c r="AQ17" i="51"/>
  <c r="AP5" i="44"/>
  <c r="AQ42" i="56"/>
  <c r="AQ14" i="51"/>
  <c r="AP3" i="56"/>
  <c r="AQ21" i="56"/>
  <c r="AO23" i="56"/>
  <c r="AR6" i="56"/>
  <c r="Y52" i="57"/>
  <c r="AO5" i="56"/>
  <c r="AR6" i="57"/>
  <c r="AQ44" i="56"/>
  <c r="AQ31" i="56"/>
  <c r="AR3" i="57"/>
  <c r="AO31" i="55"/>
  <c r="AS24" i="44"/>
  <c r="AR24" i="44"/>
  <c r="AR12" i="51"/>
  <c r="AP6" i="51"/>
  <c r="AP32" i="55"/>
  <c r="AS15" i="44"/>
  <c r="AP50" i="44"/>
  <c r="AQ10" i="55"/>
  <c r="F66" i="35"/>
  <c r="AQ22" i="57"/>
  <c r="C43" i="35"/>
  <c r="C69" i="35"/>
  <c r="AP3" i="55"/>
  <c r="AS56" i="44"/>
  <c r="AO29" i="56"/>
  <c r="AP40" i="44"/>
  <c r="AO9" i="55"/>
  <c r="AO8" i="56"/>
  <c r="AQ16" i="56"/>
  <c r="AQ15" i="51"/>
  <c r="AQ37" i="56"/>
  <c r="AR78" i="44"/>
  <c r="AP33" i="44"/>
  <c r="AQ41" i="44"/>
  <c r="AP68" i="44"/>
  <c r="AO16" i="56"/>
  <c r="AQ23" i="56"/>
  <c r="AO37" i="55"/>
  <c r="AO6" i="56"/>
  <c r="AO3" i="55"/>
  <c r="AQ42" i="44"/>
  <c r="C18" i="35"/>
  <c r="AP79" i="44"/>
  <c r="AO11" i="55"/>
  <c r="AO20" i="55"/>
  <c r="AR10" i="55"/>
  <c r="AQ8" i="44"/>
  <c r="AR67" i="44"/>
  <c r="D70" i="35"/>
  <c r="AQ40" i="44"/>
  <c r="AQ3" i="56"/>
  <c r="AP66" i="44"/>
  <c r="AQ21" i="44"/>
  <c r="AR46" i="44"/>
  <c r="AP67" i="44"/>
  <c r="AR57" i="44"/>
  <c r="AO17" i="51"/>
  <c r="H71" i="35"/>
  <c r="F65" i="35"/>
  <c r="AD52" i="57"/>
  <c r="F72" i="35" s="1"/>
  <c r="AQ20" i="51"/>
  <c r="AS41" i="44"/>
  <c r="AQ13" i="44"/>
  <c r="AO30" i="56"/>
  <c r="I70" i="35"/>
  <c r="AP9" i="51"/>
  <c r="AQ75" i="44"/>
  <c r="AR14" i="51"/>
  <c r="AQ7" i="51"/>
  <c r="AO19" i="51"/>
  <c r="AO32" i="56"/>
  <c r="AQ3" i="57"/>
  <c r="AQ61" i="44"/>
  <c r="AO3" i="56"/>
  <c r="AQ24" i="55"/>
  <c r="AR7" i="55"/>
  <c r="AQ25" i="44"/>
  <c r="AR20" i="56"/>
  <c r="AR22" i="56"/>
  <c r="AR39" i="55"/>
  <c r="AQ8" i="56"/>
  <c r="AS18" i="44"/>
  <c r="AQ12" i="55"/>
  <c r="G66" i="35"/>
  <c r="AO7" i="55"/>
  <c r="D38" i="35"/>
  <c r="AB52" i="56"/>
  <c r="D45" i="35" s="1"/>
  <c r="AP19" i="55"/>
  <c r="AQ4" i="56"/>
  <c r="AR11" i="51"/>
  <c r="AQ42" i="57"/>
  <c r="H41" i="35"/>
  <c r="C38" i="35"/>
  <c r="W52" i="56"/>
  <c r="C45" i="35" s="1"/>
  <c r="AP27" i="56"/>
  <c r="AR13" i="57"/>
  <c r="D68" i="35"/>
  <c r="D6" i="45"/>
  <c r="AO27" i="55"/>
  <c r="AP13" i="56"/>
  <c r="AQ11" i="55"/>
  <c r="AO18" i="51"/>
  <c r="AR7" i="51"/>
  <c r="AP14" i="56"/>
  <c r="AO28" i="56"/>
  <c r="AR3" i="51"/>
  <c r="AP46" i="44"/>
  <c r="C68" i="35"/>
  <c r="G17" i="35"/>
  <c r="F17" i="35"/>
  <c r="G15" i="35"/>
  <c r="H15" i="35"/>
  <c r="H17" i="35"/>
  <c r="F15" i="35"/>
  <c r="D15" i="35"/>
  <c r="D17" i="35"/>
  <c r="T48" i="55"/>
  <c r="J18" i="35" s="1"/>
  <c r="U47" i="55"/>
  <c r="K17" i="35" s="1"/>
  <c r="U48" i="55"/>
  <c r="K18" i="35" s="1"/>
  <c r="T47" i="55"/>
  <c r="J17" i="35" s="1"/>
  <c r="AJ209" i="40"/>
  <c r="AG52" i="55"/>
  <c r="I22" i="35" s="1"/>
  <c r="T45" i="55"/>
  <c r="J15" i="35" s="1"/>
  <c r="T52" i="55"/>
  <c r="J22" i="35" s="1"/>
  <c r="U52" i="55"/>
  <c r="K22" i="35" s="1"/>
  <c r="U45" i="55"/>
  <c r="K15" i="35" s="1"/>
  <c r="AD52" i="55"/>
  <c r="F22" i="35" s="1"/>
  <c r="AE52" i="55"/>
  <c r="G22" i="35" s="1"/>
  <c r="AF52" i="55"/>
  <c r="H22" i="35" s="1"/>
  <c r="X52" i="55"/>
  <c r="Y52" i="55"/>
  <c r="Z52" i="55"/>
  <c r="AA52" i="55"/>
  <c r="AB52" i="55"/>
  <c r="D22" i="35" s="1"/>
  <c r="I15" i="35"/>
  <c r="I17" i="35"/>
  <c r="AB96" i="44"/>
  <c r="Y95" i="44"/>
  <c r="AA95" i="44"/>
  <c r="Y98" i="44"/>
  <c r="Y94" i="44"/>
  <c r="Z21" i="51"/>
  <c r="Z22" i="51"/>
  <c r="Z24" i="51"/>
  <c r="Z94" i="44"/>
  <c r="Z98" i="44"/>
  <c r="Y96" i="44"/>
  <c r="Z95" i="44"/>
  <c r="Y21" i="51"/>
  <c r="Y22" i="51"/>
  <c r="Y24" i="51"/>
  <c r="AA21" i="51"/>
  <c r="AA22" i="51"/>
  <c r="AC97" i="44"/>
  <c r="D8" i="35" s="1"/>
  <c r="AB22" i="51"/>
  <c r="D58" i="35" s="1"/>
  <c r="AB21" i="51"/>
  <c r="D61" i="35" s="1"/>
  <c r="AB24" i="51"/>
  <c r="D60" i="35" s="1"/>
  <c r="AB95" i="44"/>
  <c r="Y97" i="44"/>
  <c r="X23" i="51"/>
  <c r="AA24" i="51"/>
  <c r="Z97" i="44"/>
  <c r="Y23" i="51"/>
  <c r="AC98" i="44"/>
  <c r="D9" i="35" s="1"/>
  <c r="AC94" i="44"/>
  <c r="D5" i="35" s="1"/>
  <c r="AB94" i="44"/>
  <c r="AB98" i="44"/>
  <c r="Z23" i="51"/>
  <c r="AC95" i="44"/>
  <c r="D6" i="35" s="1"/>
  <c r="AA96" i="44"/>
  <c r="AB23" i="51"/>
  <c r="D59" i="35" s="1"/>
  <c r="AA94" i="44"/>
  <c r="AA23" i="51"/>
  <c r="AC96" i="44"/>
  <c r="D7" i="35" s="1"/>
  <c r="AA97" i="44"/>
  <c r="Z96" i="44"/>
  <c r="AB97" i="44"/>
  <c r="X22" i="51"/>
  <c r="X21" i="51"/>
  <c r="X24" i="51"/>
  <c r="AK249" i="40"/>
  <c r="AJ210" i="40"/>
  <c r="AC33" i="57" a="1"/>
  <c r="AC9" i="56" a="1"/>
  <c r="AD46" i="44" a="1"/>
  <c r="AC3" i="57" a="1"/>
  <c r="AC9" i="51" a="1"/>
  <c r="AC9" i="55" a="1"/>
  <c r="AD52" i="44" a="1"/>
  <c r="AD10" i="44" a="1"/>
  <c r="AD70" i="44" a="1"/>
  <c r="AD4" i="44" a="1"/>
  <c r="AC27" i="56" a="1"/>
  <c r="AC3" i="56" a="1"/>
  <c r="AC15" i="55" a="1"/>
  <c r="AC3" i="51" a="1"/>
  <c r="AC15" i="51" a="1"/>
  <c r="AD76" i="44" a="1"/>
  <c r="AD40" i="44" a="1"/>
  <c r="AC3" i="55" a="1"/>
  <c r="AC33" i="56" a="1"/>
  <c r="AD16" i="44" a="1"/>
  <c r="AC21" i="56" a="1"/>
  <c r="AC27" i="55" a="1"/>
  <c r="AC27" i="57" a="1"/>
  <c r="AC21" i="57" a="1"/>
  <c r="AC39" i="55" a="1"/>
  <c r="AD64" i="44" a="1"/>
  <c r="AC33" i="55" a="1"/>
  <c r="AD34" i="44" a="1"/>
  <c r="AD58" i="44" a="1"/>
  <c r="AC39" i="56" a="1"/>
  <c r="AC21" i="55" a="1"/>
  <c r="AD28" i="44" a="1"/>
  <c r="AD22" i="44" a="1"/>
  <c r="AC9" i="57" a="1"/>
  <c r="AC15" i="56" a="1"/>
  <c r="AC39" i="57" a="1"/>
  <c r="AC15" i="57" a="1"/>
  <c r="AR210" i="40"/>
  <c r="AM209" i="40"/>
  <c r="AN249" i="40"/>
  <c r="AS210" i="40"/>
  <c r="AM210" i="40"/>
  <c r="AM248" i="40"/>
  <c r="AO209" i="40"/>
  <c r="AQ210" i="40"/>
  <c r="AL249" i="40"/>
  <c r="AO210" i="40"/>
  <c r="AN210" i="40"/>
  <c r="AS209" i="40"/>
  <c r="AT210" i="40"/>
  <c r="AR209" i="40"/>
  <c r="AM249" i="40"/>
  <c r="AO247" i="40"/>
  <c r="AN209" i="40"/>
  <c r="AL247" i="40"/>
  <c r="AM247" i="40"/>
  <c r="AL210" i="40"/>
  <c r="AU209" i="40"/>
  <c r="AL209" i="40"/>
  <c r="AK209" i="40"/>
  <c r="AN248" i="40"/>
  <c r="AO248" i="40"/>
  <c r="AU210" i="40"/>
  <c r="AQ209" i="40"/>
  <c r="AK210" i="40"/>
  <c r="AL248" i="40"/>
  <c r="AN247" i="40"/>
  <c r="AT209" i="40"/>
  <c r="AO249" i="40"/>
  <c r="AM26" i="40"/>
  <c r="AC3" i="51" l="1"/>
  <c r="AC3" i="57"/>
  <c r="E65" i="35" s="1"/>
  <c r="AC9" i="55"/>
  <c r="E16" i="35" s="1"/>
  <c r="AD34" i="44"/>
  <c r="AC9" i="57"/>
  <c r="E66" i="35" s="1"/>
  <c r="AC33" i="57"/>
  <c r="E70" i="35" s="1"/>
  <c r="AD76" i="44"/>
  <c r="AC15" i="57"/>
  <c r="E67" i="35" s="1"/>
  <c r="AC21" i="57"/>
  <c r="E68" i="35" s="1"/>
  <c r="AD40" i="44"/>
  <c r="AC27" i="56"/>
  <c r="E42" i="35" s="1"/>
  <c r="AD70" i="44"/>
  <c r="AC21" i="55"/>
  <c r="E18" i="35" s="1"/>
  <c r="AC3" i="56"/>
  <c r="E38" i="35" s="1"/>
  <c r="AC15" i="55"/>
  <c r="E17" i="35" s="1"/>
  <c r="AD28" i="44"/>
  <c r="AC39" i="56"/>
  <c r="E44" i="35" s="1"/>
  <c r="AC27" i="55"/>
  <c r="E19" i="35" s="1"/>
  <c r="AD4" i="44"/>
  <c r="AD58" i="44"/>
  <c r="AC9" i="56"/>
  <c r="E39" i="35" s="1"/>
  <c r="AC9" i="51"/>
  <c r="AD52" i="44"/>
  <c r="AD46" i="44"/>
  <c r="AC21" i="56"/>
  <c r="E41" i="35" s="1"/>
  <c r="AC39" i="55"/>
  <c r="E21" i="35" s="1"/>
  <c r="AD22" i="44"/>
  <c r="AC27" i="57"/>
  <c r="E69" i="35" s="1"/>
  <c r="AD64" i="44"/>
  <c r="AD16" i="44"/>
  <c r="AC3" i="55"/>
  <c r="E15" i="35" s="1"/>
  <c r="AC15" i="51"/>
  <c r="AC15" i="56"/>
  <c r="E40" i="35" s="1"/>
  <c r="AD10" i="44"/>
  <c r="AC33" i="56"/>
  <c r="E43" i="35" s="1"/>
  <c r="AC39" i="57"/>
  <c r="E71" i="35" s="1"/>
  <c r="AC33" i="55"/>
  <c r="E20" i="35" s="1"/>
  <c r="AK250" i="40"/>
  <c r="AJ211" i="40"/>
  <c r="AT211" i="40"/>
  <c r="AN211" i="40"/>
  <c r="AR211" i="40"/>
  <c r="AU211" i="40"/>
  <c r="AO250" i="40"/>
  <c r="AL250" i="40"/>
  <c r="AK211" i="40"/>
  <c r="AQ211" i="40"/>
  <c r="AO211" i="40"/>
  <c r="AL211" i="40"/>
  <c r="AN250" i="40"/>
  <c r="AS211" i="40"/>
  <c r="AD98" i="44" l="1"/>
  <c r="AC52" i="56"/>
  <c r="E45" i="35" s="1"/>
  <c r="AC52" i="57"/>
  <c r="E72" i="35" s="1"/>
  <c r="AJ212" i="40"/>
  <c r="AK251" i="40"/>
  <c r="AM250" i="40"/>
  <c r="AO212" i="40"/>
  <c r="AL251" i="40"/>
  <c r="AM212" i="40"/>
  <c r="AR212" i="40"/>
  <c r="AM251" i="40"/>
  <c r="AM211" i="40"/>
  <c r="AK252" i="40" l="1"/>
  <c r="AJ213" i="40"/>
  <c r="AS212" i="40"/>
  <c r="AO252" i="40"/>
  <c r="AK213" i="40"/>
  <c r="AM213" i="40"/>
  <c r="AQ212" i="40"/>
  <c r="AL213" i="40"/>
  <c r="AQ213" i="40"/>
  <c r="AL252" i="40"/>
  <c r="AU213" i="40"/>
  <c r="AS213" i="40"/>
  <c r="AN251" i="40"/>
  <c r="AR213" i="40"/>
  <c r="AM252" i="40"/>
  <c r="AN212" i="40"/>
  <c r="AL212" i="40"/>
  <c r="AU212" i="40"/>
  <c r="AO251" i="40"/>
  <c r="AT213" i="40"/>
  <c r="AN252" i="40"/>
  <c r="AT212" i="40"/>
  <c r="AK212" i="40"/>
  <c r="AK253" i="40" l="1"/>
  <c r="AO213" i="40"/>
  <c r="AN213" i="40"/>
  <c r="AK254" i="40" l="1"/>
  <c r="AK255" i="40" l="1"/>
  <c r="AK256" i="40" l="1"/>
  <c r="AK257" i="40" l="1"/>
  <c r="AK258" i="40" l="1"/>
  <c r="AK259" i="40" l="1"/>
  <c r="AK260" i="40" l="1"/>
  <c r="AK261" i="40" l="1"/>
  <c r="AK262" i="40" l="1"/>
  <c r="AK263" i="40" l="1"/>
  <c r="AK264" i="40" l="1"/>
  <c r="AK265" i="40" l="1"/>
  <c r="AK266" i="40" l="1"/>
  <c r="AK267" i="40" l="1"/>
  <c r="AK268" i="40" l="1"/>
  <c r="AK269" i="40" l="1"/>
  <c r="AK270" i="40" l="1"/>
  <c r="AL27" i="40" l="1"/>
  <c r="BE333" i="45" l="1"/>
  <c r="BE334" i="45"/>
  <c r="BE335" i="45"/>
  <c r="BE336" i="45"/>
  <c r="BE337" i="45"/>
  <c r="BE338" i="45"/>
  <c r="BD334" i="45"/>
  <c r="BD335" i="45"/>
  <c r="BD336" i="45"/>
  <c r="BD337" i="45"/>
  <c r="BD338" i="45"/>
  <c r="BD333" i="45"/>
  <c r="BA333" i="45"/>
  <c r="BA334" i="45"/>
  <c r="BA335" i="45"/>
  <c r="BA336" i="45"/>
  <c r="BA337" i="45"/>
  <c r="BA338" i="45"/>
  <c r="AZ334" i="45"/>
  <c r="AZ335" i="45"/>
  <c r="AZ336" i="45"/>
  <c r="AZ337" i="45"/>
  <c r="AZ338" i="45"/>
  <c r="AZ333" i="45"/>
  <c r="BE308" i="45"/>
  <c r="BE309" i="45"/>
  <c r="BE310" i="45"/>
  <c r="BE311" i="45"/>
  <c r="BE312" i="45"/>
  <c r="BE313" i="45"/>
  <c r="BD309" i="45"/>
  <c r="BD310" i="45"/>
  <c r="BD311" i="45"/>
  <c r="BD312" i="45"/>
  <c r="BD313" i="45"/>
  <c r="BD308" i="45"/>
  <c r="BA308" i="45"/>
  <c r="BA309" i="45"/>
  <c r="BA310" i="45"/>
  <c r="BA311" i="45"/>
  <c r="BA312" i="45"/>
  <c r="BA313" i="45"/>
  <c r="AZ309" i="45"/>
  <c r="AZ310" i="45"/>
  <c r="AZ311" i="45"/>
  <c r="AZ312" i="45"/>
  <c r="AZ313" i="45"/>
  <c r="AZ308" i="45"/>
  <c r="BE283" i="45"/>
  <c r="BE284" i="45"/>
  <c r="BE285" i="45"/>
  <c r="BE286" i="45"/>
  <c r="BE287" i="45"/>
  <c r="BE288" i="45"/>
  <c r="BD284" i="45"/>
  <c r="BD285" i="45"/>
  <c r="BD286" i="45"/>
  <c r="BD287" i="45"/>
  <c r="BD288" i="45"/>
  <c r="BD283" i="45"/>
  <c r="BA283" i="45"/>
  <c r="BA284" i="45"/>
  <c r="BA285" i="45"/>
  <c r="BA286" i="45"/>
  <c r="BA287" i="45"/>
  <c r="BA288" i="45"/>
  <c r="AZ284" i="45"/>
  <c r="AZ285" i="45"/>
  <c r="AZ286" i="45"/>
  <c r="AZ287" i="45"/>
  <c r="AZ288" i="45"/>
  <c r="AZ283" i="45"/>
  <c r="BE258" i="45"/>
  <c r="BE259" i="45"/>
  <c r="BE260" i="45"/>
  <c r="BE261" i="45"/>
  <c r="BE262" i="45"/>
  <c r="BE263" i="45"/>
  <c r="BD259" i="45"/>
  <c r="BD260" i="45"/>
  <c r="BD261" i="45"/>
  <c r="BD262" i="45"/>
  <c r="BD263" i="45"/>
  <c r="BD258" i="45"/>
  <c r="BA258" i="45"/>
  <c r="BA259" i="45"/>
  <c r="BA260" i="45"/>
  <c r="BA261" i="45"/>
  <c r="BA262" i="45"/>
  <c r="BA263" i="45"/>
  <c r="AZ259" i="45"/>
  <c r="AZ260" i="45"/>
  <c r="AZ261" i="45"/>
  <c r="AZ262" i="45"/>
  <c r="AZ263" i="45"/>
  <c r="AZ258" i="45"/>
  <c r="BB312" i="45" a="1"/>
  <c r="BF336" i="45" a="1"/>
  <c r="BF283" i="45" a="1"/>
  <c r="BC308" i="45" a="1"/>
  <c r="BG335" i="45" a="1"/>
  <c r="BF286" i="45" a="1"/>
  <c r="BB287" i="45" a="1"/>
  <c r="BC259" i="45" a="1"/>
  <c r="BC263" i="45" a="1"/>
  <c r="BF263" i="45" a="1"/>
  <c r="BC261" i="45" a="1"/>
  <c r="BB288" i="45" a="1"/>
  <c r="BB337" i="45" a="1"/>
  <c r="BF288" i="45" a="1"/>
  <c r="BF335" i="45" a="1"/>
  <c r="BG308" i="45" a="1"/>
  <c r="BG287" i="45" a="1"/>
  <c r="BG338" i="45" a="1"/>
  <c r="BB284" i="45" a="1"/>
  <c r="BC285" i="45" a="1"/>
  <c r="BF308" i="45" a="1"/>
  <c r="BF258" i="45" a="1"/>
  <c r="BC258" i="45" a="1"/>
  <c r="BF309" i="45" a="1"/>
  <c r="BG313" i="45" a="1"/>
  <c r="BF262" i="45" a="1"/>
  <c r="BB311" i="45" a="1"/>
  <c r="BG288" i="45" a="1"/>
  <c r="BB283" i="45" a="1"/>
  <c r="BG333" i="45" a="1"/>
  <c r="BC284" i="45" a="1"/>
  <c r="BG263" i="45" a="1"/>
  <c r="BC334" i="45" a="1"/>
  <c r="BG334" i="45" a="1"/>
  <c r="BC313" i="45" a="1"/>
  <c r="BF311" i="45" a="1"/>
  <c r="BG309" i="45" a="1"/>
  <c r="BC311" i="45" a="1"/>
  <c r="BB335" i="45" a="1"/>
  <c r="BB285" i="45" a="1"/>
  <c r="BB263" i="45" a="1"/>
  <c r="BB258" i="45" a="1"/>
  <c r="BF260" i="45" a="1"/>
  <c r="BB259" i="45" a="1"/>
  <c r="BG284" i="45" a="1"/>
  <c r="BB310" i="45" a="1"/>
  <c r="BG259" i="45" a="1"/>
  <c r="BB334" i="45" a="1"/>
  <c r="BF313" i="45" a="1"/>
  <c r="BG286" i="45" a="1"/>
  <c r="BF259" i="45" a="1"/>
  <c r="BF284" i="45" a="1"/>
  <c r="BB261" i="45" a="1"/>
  <c r="BG285" i="45" a="1"/>
  <c r="BF310" i="45" a="1"/>
  <c r="BB333" i="45" a="1"/>
  <c r="BG310" i="45" a="1"/>
  <c r="BG311" i="45" a="1"/>
  <c r="BF338" i="45" a="1"/>
  <c r="BB262" i="45" a="1"/>
  <c r="BG260" i="45" a="1"/>
  <c r="BG337" i="45" a="1"/>
  <c r="BB260" i="45" a="1"/>
  <c r="BC337" i="45" a="1"/>
  <c r="BC288" i="45" a="1"/>
  <c r="BC333" i="45" a="1"/>
  <c r="BF333" i="45" a="1"/>
  <c r="BG312" i="45" a="1"/>
  <c r="BC262" i="45" a="1"/>
  <c r="BF334" i="45" a="1"/>
  <c r="BB308" i="45" a="1"/>
  <c r="BF337" i="45" a="1"/>
  <c r="BC287" i="45" a="1"/>
  <c r="BF285" i="45" a="1"/>
  <c r="BB338" i="45" a="1"/>
  <c r="BC338" i="45" a="1"/>
  <c r="BB286" i="45" a="1"/>
  <c r="BB313" i="45" a="1"/>
  <c r="BC309" i="45" a="1"/>
  <c r="BG258" i="45" a="1"/>
  <c r="BG261" i="45" a="1"/>
  <c r="BC335" i="45" a="1"/>
  <c r="BC310" i="45" a="1"/>
  <c r="BC283" i="45" a="1"/>
  <c r="BG336" i="45" a="1"/>
  <c r="BC336" i="45" a="1"/>
  <c r="BB336" i="45" a="1"/>
  <c r="BF287" i="45" a="1"/>
  <c r="BC260" i="45" a="1"/>
  <c r="BG262" i="45" a="1"/>
  <c r="BC286" i="45" a="1"/>
  <c r="BF312" i="45" a="1"/>
  <c r="BF261" i="45" a="1"/>
  <c r="BB309" i="45" a="1"/>
  <c r="BC312" i="45" a="1"/>
  <c r="BG283" i="45" a="1"/>
  <c r="BG334" i="45" l="1"/>
  <c r="BF335" i="45"/>
  <c r="BC336" i="45"/>
  <c r="BB335" i="45"/>
  <c r="BG310" i="45"/>
  <c r="BF309" i="45"/>
  <c r="BB309" i="45"/>
  <c r="BC310" i="45"/>
  <c r="BG286" i="45"/>
  <c r="BF287" i="45"/>
  <c r="BC286" i="45"/>
  <c r="BB285" i="45"/>
  <c r="BG261" i="45"/>
  <c r="BC260" i="45"/>
  <c r="BF261" i="45"/>
  <c r="BB258" i="45"/>
  <c r="BG285" i="45"/>
  <c r="BG288" i="45"/>
  <c r="BG284" i="45"/>
  <c r="BG287" i="45"/>
  <c r="BG283" i="45"/>
  <c r="BF286" i="45"/>
  <c r="BF283" i="45"/>
  <c r="BF285" i="45"/>
  <c r="BF284" i="45"/>
  <c r="BF288" i="45"/>
  <c r="BC283" i="45"/>
  <c r="BC288" i="45"/>
  <c r="BC287" i="45"/>
  <c r="BC285" i="45"/>
  <c r="BC284" i="45"/>
  <c r="BB286" i="45"/>
  <c r="BB288" i="45"/>
  <c r="BB284" i="45"/>
  <c r="BB287" i="45"/>
  <c r="BB283" i="45"/>
  <c r="BG260" i="45"/>
  <c r="BG263" i="45"/>
  <c r="BG259" i="45"/>
  <c r="BG262" i="45"/>
  <c r="BG258" i="45"/>
  <c r="BF258" i="45"/>
  <c r="BF260" i="45"/>
  <c r="BF262" i="45"/>
  <c r="BF263" i="45"/>
  <c r="BF259" i="45"/>
  <c r="BC263" i="45"/>
  <c r="BC262" i="45"/>
  <c r="BC258" i="45"/>
  <c r="BC259" i="45"/>
  <c r="BC261" i="45"/>
  <c r="BB261" i="45"/>
  <c r="BB260" i="45"/>
  <c r="BB259" i="45"/>
  <c r="BB263" i="45"/>
  <c r="BB262" i="45"/>
  <c r="BG337" i="45"/>
  <c r="BG333" i="45"/>
  <c r="BG338" i="45"/>
  <c r="BG336" i="45"/>
  <c r="BG335" i="45"/>
  <c r="BF336" i="45"/>
  <c r="BF337" i="45"/>
  <c r="BF334" i="45"/>
  <c r="BF338" i="45"/>
  <c r="BF333" i="45"/>
  <c r="BC337" i="45"/>
  <c r="BC333" i="45"/>
  <c r="BC335" i="45"/>
  <c r="BC338" i="45"/>
  <c r="BC334" i="45"/>
  <c r="BB334" i="45"/>
  <c r="BB337" i="45"/>
  <c r="BB333" i="45"/>
  <c r="BB338" i="45"/>
  <c r="BB336" i="45"/>
  <c r="BG311" i="45"/>
  <c r="BG313" i="45"/>
  <c r="BG309" i="45"/>
  <c r="BG312" i="45"/>
  <c r="BG308" i="45"/>
  <c r="BF311" i="45"/>
  <c r="BF310" i="45"/>
  <c r="BF313" i="45"/>
  <c r="BF312" i="45"/>
  <c r="BF308" i="45"/>
  <c r="BC311" i="45"/>
  <c r="BC308" i="45"/>
  <c r="BC312" i="45"/>
  <c r="BC309" i="45"/>
  <c r="BC313" i="45"/>
  <c r="BB311" i="45"/>
  <c r="BB310" i="45"/>
  <c r="BB312" i="45"/>
  <c r="BB308" i="45"/>
  <c r="BB313" i="45"/>
  <c r="AU308" i="45"/>
  <c r="AU309" i="45"/>
  <c r="AU310" i="45"/>
  <c r="AU311" i="45"/>
  <c r="AU312" i="45"/>
  <c r="AU313" i="45"/>
  <c r="AT309" i="45"/>
  <c r="AT310" i="45"/>
  <c r="AT311" i="45"/>
  <c r="AT312" i="45"/>
  <c r="AT313" i="45"/>
  <c r="AT308" i="45"/>
  <c r="AQ308" i="45"/>
  <c r="AQ309" i="45"/>
  <c r="AQ310" i="45"/>
  <c r="AQ311" i="45"/>
  <c r="AQ312" i="45"/>
  <c r="AQ313" i="45"/>
  <c r="AP309" i="45"/>
  <c r="AP310" i="45"/>
  <c r="AP311" i="45"/>
  <c r="AP312" i="45"/>
  <c r="AP313" i="45"/>
  <c r="AP308" i="45"/>
  <c r="AU283" i="45"/>
  <c r="AU284" i="45"/>
  <c r="AU285" i="45"/>
  <c r="AU286" i="45"/>
  <c r="AU287" i="45"/>
  <c r="AU288" i="45"/>
  <c r="AT284" i="45"/>
  <c r="AT285" i="45"/>
  <c r="AT286" i="45"/>
  <c r="AT287" i="45"/>
  <c r="AT288" i="45"/>
  <c r="AT283" i="45"/>
  <c r="AQ283" i="45"/>
  <c r="AQ284" i="45"/>
  <c r="AQ285" i="45"/>
  <c r="AQ286" i="45"/>
  <c r="AQ287" i="45"/>
  <c r="AQ288" i="45"/>
  <c r="AP284" i="45"/>
  <c r="AP285" i="45"/>
  <c r="AP286" i="45"/>
  <c r="AP287" i="45"/>
  <c r="AP288" i="45"/>
  <c r="AP283" i="45"/>
  <c r="AU258" i="45"/>
  <c r="AU259" i="45"/>
  <c r="AU260" i="45"/>
  <c r="AU261" i="45"/>
  <c r="AU262" i="45"/>
  <c r="AU263" i="45"/>
  <c r="AT259" i="45"/>
  <c r="AT260" i="45"/>
  <c r="AT261" i="45"/>
  <c r="AT262" i="45"/>
  <c r="AT263" i="45"/>
  <c r="AT258" i="45"/>
  <c r="AQ258" i="45"/>
  <c r="AQ259" i="45"/>
  <c r="AQ260" i="45"/>
  <c r="AQ261" i="45"/>
  <c r="AQ262" i="45"/>
  <c r="AQ263" i="45"/>
  <c r="AP259" i="45"/>
  <c r="AP260" i="45"/>
  <c r="AP261" i="45"/>
  <c r="AP262" i="45"/>
  <c r="AP263" i="45"/>
  <c r="AP258" i="45"/>
  <c r="AK333" i="45"/>
  <c r="AK334" i="45"/>
  <c r="AK335" i="45"/>
  <c r="AK336" i="45"/>
  <c r="AK337" i="45"/>
  <c r="AK338" i="45"/>
  <c r="AJ334" i="45"/>
  <c r="AJ335" i="45"/>
  <c r="AJ336" i="45"/>
  <c r="AJ337" i="45"/>
  <c r="AJ338" i="45"/>
  <c r="AJ333" i="45"/>
  <c r="AG333" i="45"/>
  <c r="AG334" i="45"/>
  <c r="AG335" i="45"/>
  <c r="AG336" i="45"/>
  <c r="AG337" i="45"/>
  <c r="AG338" i="45"/>
  <c r="AF334" i="45"/>
  <c r="AF335" i="45"/>
  <c r="AF336" i="45"/>
  <c r="AF337" i="45"/>
  <c r="AF338" i="45"/>
  <c r="AF333" i="45"/>
  <c r="AK308" i="45"/>
  <c r="AK309" i="45"/>
  <c r="AK310" i="45"/>
  <c r="AK311" i="45"/>
  <c r="AK312" i="45"/>
  <c r="AK313" i="45"/>
  <c r="AJ309" i="45"/>
  <c r="AJ310" i="45"/>
  <c r="AJ311" i="45"/>
  <c r="AJ312" i="45"/>
  <c r="AJ313" i="45"/>
  <c r="AJ308" i="45"/>
  <c r="AG308" i="45"/>
  <c r="AG309" i="45"/>
  <c r="AG310" i="45"/>
  <c r="AG311" i="45"/>
  <c r="AG312" i="45"/>
  <c r="AG313" i="45"/>
  <c r="AF309" i="45"/>
  <c r="AF310" i="45"/>
  <c r="AF311" i="45"/>
  <c r="AF312" i="45"/>
  <c r="AF313" i="45"/>
  <c r="AF308" i="45"/>
  <c r="AK283" i="45"/>
  <c r="AK284" i="45"/>
  <c r="AK285" i="45"/>
  <c r="AK286" i="45"/>
  <c r="AK287" i="45"/>
  <c r="AK288" i="45"/>
  <c r="AJ284" i="45"/>
  <c r="AJ285" i="45"/>
  <c r="AJ286" i="45"/>
  <c r="AJ287" i="45"/>
  <c r="AJ288" i="45"/>
  <c r="AJ283" i="45"/>
  <c r="AG283" i="45"/>
  <c r="AG284" i="45"/>
  <c r="AG285" i="45"/>
  <c r="AG286" i="45"/>
  <c r="AG287" i="45"/>
  <c r="AG288" i="45"/>
  <c r="AF284" i="45"/>
  <c r="AF285" i="45"/>
  <c r="AF286" i="45"/>
  <c r="AF287" i="45"/>
  <c r="AF288" i="45"/>
  <c r="AF283" i="45"/>
  <c r="AK258" i="45"/>
  <c r="AK259" i="45"/>
  <c r="AK260" i="45"/>
  <c r="AK261" i="45"/>
  <c r="AK262" i="45"/>
  <c r="AK263" i="45"/>
  <c r="AJ259" i="45"/>
  <c r="AJ260" i="45"/>
  <c r="AJ261" i="45"/>
  <c r="AJ262" i="45"/>
  <c r="AJ263" i="45"/>
  <c r="AJ258" i="45"/>
  <c r="AG258" i="45"/>
  <c r="AG259" i="45"/>
  <c r="AG260" i="45"/>
  <c r="AG261" i="45"/>
  <c r="AG262" i="45"/>
  <c r="AG263" i="45"/>
  <c r="AF259" i="45"/>
  <c r="AF260" i="45"/>
  <c r="AF261" i="45"/>
  <c r="AF262" i="45"/>
  <c r="AF263" i="45"/>
  <c r="AF258" i="45"/>
  <c r="AA333" i="45"/>
  <c r="AA334" i="45"/>
  <c r="AA335" i="45"/>
  <c r="AA336" i="45"/>
  <c r="AA337" i="45"/>
  <c r="AA338" i="45"/>
  <c r="Z334" i="45"/>
  <c r="Z335" i="45"/>
  <c r="Z336" i="45"/>
  <c r="Z337" i="45"/>
  <c r="Z338" i="45"/>
  <c r="Z333" i="45"/>
  <c r="W333" i="45"/>
  <c r="W334" i="45"/>
  <c r="W335" i="45"/>
  <c r="W336" i="45"/>
  <c r="W337" i="45"/>
  <c r="W338" i="45"/>
  <c r="V334" i="45"/>
  <c r="V335" i="45"/>
  <c r="V336" i="45"/>
  <c r="V337" i="45"/>
  <c r="V338" i="45"/>
  <c r="V333" i="45"/>
  <c r="AA308" i="45"/>
  <c r="AA309" i="45"/>
  <c r="AA310" i="45"/>
  <c r="AA311" i="45"/>
  <c r="AA312" i="45"/>
  <c r="AA313" i="45"/>
  <c r="Z309" i="45"/>
  <c r="Z310" i="45"/>
  <c r="Z311" i="45"/>
  <c r="Z312" i="45"/>
  <c r="Z313" i="45"/>
  <c r="Z308" i="45"/>
  <c r="W308" i="45"/>
  <c r="W309" i="45"/>
  <c r="W310" i="45"/>
  <c r="W311" i="45"/>
  <c r="W312" i="45"/>
  <c r="W313" i="45"/>
  <c r="V309" i="45"/>
  <c r="V310" i="45"/>
  <c r="V311" i="45"/>
  <c r="V312" i="45"/>
  <c r="V313" i="45"/>
  <c r="V308" i="45"/>
  <c r="AA283" i="45"/>
  <c r="AA284" i="45"/>
  <c r="AA285" i="45"/>
  <c r="AA286" i="45"/>
  <c r="AA287" i="45"/>
  <c r="AA288" i="45"/>
  <c r="Z284" i="45"/>
  <c r="Z285" i="45"/>
  <c r="Z286" i="45"/>
  <c r="Z287" i="45"/>
  <c r="Z288" i="45"/>
  <c r="Z283" i="45"/>
  <c r="W283" i="45"/>
  <c r="W284" i="45"/>
  <c r="W285" i="45"/>
  <c r="W286" i="45"/>
  <c r="W287" i="45"/>
  <c r="W288" i="45"/>
  <c r="V284" i="45"/>
  <c r="V285" i="45"/>
  <c r="V286" i="45"/>
  <c r="V287" i="45"/>
  <c r="V288" i="45"/>
  <c r="V283" i="45"/>
  <c r="AA259" i="45"/>
  <c r="AA260" i="45"/>
  <c r="AA261" i="45"/>
  <c r="AA262" i="45"/>
  <c r="AA263" i="45"/>
  <c r="AA258" i="45"/>
  <c r="Z259" i="45"/>
  <c r="Z260" i="45"/>
  <c r="Z261" i="45"/>
  <c r="Z262" i="45"/>
  <c r="Z263" i="45"/>
  <c r="Z258" i="45"/>
  <c r="W259" i="45"/>
  <c r="W260" i="45"/>
  <c r="W261" i="45"/>
  <c r="W262" i="45"/>
  <c r="W263" i="45"/>
  <c r="W258" i="45"/>
  <c r="V259" i="45"/>
  <c r="V260" i="45"/>
  <c r="V261" i="45"/>
  <c r="V262" i="45"/>
  <c r="V263" i="45"/>
  <c r="V258" i="45"/>
  <c r="Q358" i="45"/>
  <c r="Q359" i="45"/>
  <c r="Q360" i="45"/>
  <c r="Q361" i="45"/>
  <c r="Q362" i="45"/>
  <c r="Q363" i="45"/>
  <c r="P359" i="45"/>
  <c r="P360" i="45"/>
  <c r="P361" i="45"/>
  <c r="P362" i="45"/>
  <c r="P363" i="45"/>
  <c r="P358" i="45"/>
  <c r="M359" i="45"/>
  <c r="M360" i="45"/>
  <c r="M361" i="45"/>
  <c r="M362" i="45"/>
  <c r="M363" i="45"/>
  <c r="M358" i="45"/>
  <c r="L359" i="45"/>
  <c r="L360" i="45"/>
  <c r="L361" i="45"/>
  <c r="L362" i="45"/>
  <c r="L363" i="45"/>
  <c r="L358" i="45"/>
  <c r="Q334" i="45"/>
  <c r="Q335" i="45"/>
  <c r="Q336" i="45"/>
  <c r="Q337" i="45"/>
  <c r="Q338" i="45"/>
  <c r="Q333" i="45"/>
  <c r="P334" i="45"/>
  <c r="P335" i="45"/>
  <c r="P336" i="45"/>
  <c r="P337" i="45"/>
  <c r="P338" i="45"/>
  <c r="P333" i="45"/>
  <c r="M334" i="45"/>
  <c r="M335" i="45"/>
  <c r="M336" i="45"/>
  <c r="M337" i="45"/>
  <c r="M338" i="45"/>
  <c r="M333" i="45"/>
  <c r="L334" i="45"/>
  <c r="L335" i="45"/>
  <c r="L336" i="45"/>
  <c r="L337" i="45"/>
  <c r="L338" i="45"/>
  <c r="L333" i="45"/>
  <c r="Q309" i="45"/>
  <c r="Q310" i="45"/>
  <c r="Q311" i="45"/>
  <c r="Q312" i="45"/>
  <c r="Q313" i="45"/>
  <c r="Q308" i="45"/>
  <c r="P309" i="45"/>
  <c r="P310" i="45"/>
  <c r="P311" i="45"/>
  <c r="P312" i="45"/>
  <c r="P313" i="45"/>
  <c r="P308" i="45"/>
  <c r="M309" i="45"/>
  <c r="M310" i="45"/>
  <c r="M311" i="45"/>
  <c r="M312" i="45"/>
  <c r="M313" i="45"/>
  <c r="M308" i="45"/>
  <c r="L309" i="45"/>
  <c r="L310" i="45"/>
  <c r="L311" i="45"/>
  <c r="L312" i="45"/>
  <c r="L313" i="45"/>
  <c r="L308" i="45"/>
  <c r="Q284" i="45"/>
  <c r="Q285" i="45"/>
  <c r="Q286" i="45"/>
  <c r="Q287" i="45"/>
  <c r="Q288" i="45"/>
  <c r="Q283" i="45"/>
  <c r="P284" i="45"/>
  <c r="P285" i="45"/>
  <c r="P286" i="45"/>
  <c r="P287" i="45"/>
  <c r="P288" i="45"/>
  <c r="P283" i="45"/>
  <c r="M284" i="45"/>
  <c r="M285" i="45"/>
  <c r="M286" i="45"/>
  <c r="M287" i="45"/>
  <c r="M288" i="45"/>
  <c r="M283" i="45"/>
  <c r="L284" i="45"/>
  <c r="L285" i="45"/>
  <c r="L286" i="45"/>
  <c r="L287" i="45"/>
  <c r="L288" i="45"/>
  <c r="L283" i="45"/>
  <c r="Q259" i="45"/>
  <c r="Q260" i="45"/>
  <c r="Q261" i="45"/>
  <c r="Q262" i="45"/>
  <c r="Q263" i="45"/>
  <c r="Q258" i="45"/>
  <c r="P259" i="45"/>
  <c r="P260" i="45"/>
  <c r="P261" i="45"/>
  <c r="P262" i="45"/>
  <c r="P263" i="45"/>
  <c r="P258" i="45"/>
  <c r="M259" i="45"/>
  <c r="M260" i="45"/>
  <c r="M261" i="45"/>
  <c r="M262" i="45"/>
  <c r="M263" i="45"/>
  <c r="M258" i="45"/>
  <c r="L259" i="45"/>
  <c r="L260" i="45"/>
  <c r="L261" i="45"/>
  <c r="L262" i="45"/>
  <c r="L263" i="45"/>
  <c r="L258" i="45"/>
  <c r="G259" i="45"/>
  <c r="G260" i="45"/>
  <c r="G261" i="45"/>
  <c r="G262" i="45"/>
  <c r="G263" i="45"/>
  <c r="G258" i="45"/>
  <c r="F259" i="45"/>
  <c r="F260" i="45"/>
  <c r="F261" i="45"/>
  <c r="F262" i="45"/>
  <c r="F263" i="45"/>
  <c r="F258" i="45"/>
  <c r="C259" i="45"/>
  <c r="C260" i="45"/>
  <c r="C261" i="45"/>
  <c r="C262" i="45"/>
  <c r="C263" i="45"/>
  <c r="C258" i="45"/>
  <c r="B259" i="45"/>
  <c r="B260" i="45"/>
  <c r="B261" i="45"/>
  <c r="B262" i="45"/>
  <c r="B263" i="45"/>
  <c r="B258" i="45"/>
  <c r="AH258" i="45" a="1"/>
  <c r="N335" i="45" a="1"/>
  <c r="AC337" i="45" a="1"/>
  <c r="O287" i="45" a="1"/>
  <c r="AL337" i="45" a="1"/>
  <c r="S261" i="45" a="1"/>
  <c r="AL263" i="45" a="1"/>
  <c r="X263" i="45" a="1"/>
  <c r="AM261" i="45" a="1"/>
  <c r="N360" i="45" a="1"/>
  <c r="O258" i="45" a="1"/>
  <c r="AB283" i="45" a="1"/>
  <c r="X262" i="45" a="1"/>
  <c r="AM310" i="45" a="1"/>
  <c r="AB288" i="45" a="1"/>
  <c r="AH338" i="45" a="1"/>
  <c r="R337" i="45" a="1"/>
  <c r="S286" i="45" a="1"/>
  <c r="AW284" i="45" a="1"/>
  <c r="Y258" i="45" a="1"/>
  <c r="S287" i="45" a="1"/>
  <c r="S263" i="45" a="1"/>
  <c r="O362" i="45" a="1"/>
  <c r="X285" i="45" a="1"/>
  <c r="E262" i="45" a="1"/>
  <c r="AV283" i="45" a="1"/>
  <c r="N312" i="45" a="1"/>
  <c r="N334" i="45" a="1"/>
  <c r="AW261" i="45" a="1"/>
  <c r="AB335" i="45" a="1"/>
  <c r="AB258" i="45" a="1"/>
  <c r="AI310" i="45" a="1"/>
  <c r="AS258" i="45" a="1"/>
  <c r="H259" i="45" a="1"/>
  <c r="AH286" i="45" a="1"/>
  <c r="X337" i="45" a="1"/>
  <c r="AH262" i="45" a="1"/>
  <c r="AI284" i="45" a="1"/>
  <c r="S311" i="45" a="1"/>
  <c r="AI337" i="45" a="1"/>
  <c r="R361" i="45" a="1"/>
  <c r="H261" i="45" a="1"/>
  <c r="O285" i="45" a="1"/>
  <c r="X261" i="45" a="1"/>
  <c r="Y311" i="45" a="1"/>
  <c r="X259" i="45" a="1"/>
  <c r="AH311" i="45" a="1"/>
  <c r="O333" i="45" a="1"/>
  <c r="Y283" i="45" a="1"/>
  <c r="AS263" i="45" a="1"/>
  <c r="AL287" i="45" a="1"/>
  <c r="O312" i="45" a="1"/>
  <c r="N263" i="45" a="1"/>
  <c r="AH283" i="45" a="1"/>
  <c r="Y309" i="45" a="1"/>
  <c r="AW260" i="45" a="1"/>
  <c r="AV308" i="45" a="1"/>
  <c r="D259" i="45" a="1"/>
  <c r="X308" i="45" a="1"/>
  <c r="AW262" i="45" a="1"/>
  <c r="N310" i="45" a="1"/>
  <c r="AM309" i="45" a="1"/>
  <c r="AW309" i="45" a="1"/>
  <c r="R258" i="45" a="1"/>
  <c r="S312" i="45" a="1"/>
  <c r="H260" i="45" a="1"/>
  <c r="R363" i="45" a="1"/>
  <c r="AR311" i="45" a="1"/>
  <c r="O336" i="45" a="1"/>
  <c r="D258" i="45" a="1"/>
  <c r="O260" i="45" a="1"/>
  <c r="AB310" i="45" a="1"/>
  <c r="I260" i="45" a="1"/>
  <c r="AM313" i="45" a="1"/>
  <c r="AC260" i="45" a="1"/>
  <c r="AH335" i="45" a="1"/>
  <c r="AW263" i="45" a="1"/>
  <c r="AS288" i="45" a="1"/>
  <c r="R336" i="45" a="1"/>
  <c r="N363" i="45" a="1"/>
  <c r="AR286" i="45" a="1"/>
  <c r="S360" i="45" a="1"/>
  <c r="R286" i="45" a="1"/>
  <c r="O360" i="45" a="1"/>
  <c r="AI335" i="45" a="1"/>
  <c r="AL310" i="45" a="1"/>
  <c r="AM308" i="45" a="1"/>
  <c r="AC285" i="45" a="1"/>
  <c r="X312" i="45" a="1"/>
  <c r="N359" i="45" a="1"/>
  <c r="AR310" i="45" a="1"/>
  <c r="AI309" i="45" a="1"/>
  <c r="AB260" i="45" a="1"/>
  <c r="I258" i="45" a="1"/>
  <c r="O309" i="45" a="1"/>
  <c r="R313" i="45" a="1"/>
  <c r="AW287" i="45" a="1"/>
  <c r="AI333" i="45" a="1"/>
  <c r="AM258" i="45" a="1"/>
  <c r="AV311" i="45" a="1"/>
  <c r="AH336" i="45" a="1"/>
  <c r="AH259" i="45" a="1"/>
  <c r="AC262" i="45" a="1"/>
  <c r="AB263" i="45" a="1"/>
  <c r="X311" i="45" a="1"/>
  <c r="AC261" i="45" a="1"/>
  <c r="AB333" i="45" a="1"/>
  <c r="Y336" i="45" a="1"/>
  <c r="AC287" i="45" a="1"/>
  <c r="AI261" i="45" a="1"/>
  <c r="Y260" i="45" a="1"/>
  <c r="AV312" i="45" a="1"/>
  <c r="Y284" i="45" a="1"/>
  <c r="N287" i="45" a="1"/>
  <c r="N283" i="45" a="1"/>
  <c r="R285" i="45" a="1"/>
  <c r="AC288" i="45" a="1"/>
  <c r="O358" i="45" a="1"/>
  <c r="AM263" i="45" a="1"/>
  <c r="AR288" i="45" a="1"/>
  <c r="AV259" i="45" a="1"/>
  <c r="AS286" i="45" a="1"/>
  <c r="N309" i="45" a="1"/>
  <c r="R333" i="45" a="1"/>
  <c r="AV262" i="45" a="1"/>
  <c r="AM312" i="45" a="1"/>
  <c r="O259" i="45" a="1"/>
  <c r="R359" i="45" a="1"/>
  <c r="N308" i="45" a="1"/>
  <c r="O359" i="45" a="1"/>
  <c r="R358" i="45" a="1"/>
  <c r="R362" i="45" a="1"/>
  <c r="AH313" i="45" a="1"/>
  <c r="E260" i="45" a="1"/>
  <c r="S283" i="45" a="1"/>
  <c r="AI259" i="45" a="1"/>
  <c r="AH288" i="45" a="1"/>
  <c r="AV309" i="45" a="1"/>
  <c r="AI283" i="45" a="1"/>
  <c r="X288" i="45" a="1"/>
  <c r="AS313" i="45" a="1"/>
  <c r="AI286" i="45" a="1"/>
  <c r="Y337" i="45" a="1"/>
  <c r="N338" i="45" a="1"/>
  <c r="AW283" i="45" a="1"/>
  <c r="X284" i="45" a="1"/>
  <c r="AV287" i="45" a="1"/>
  <c r="AS259" i="45" a="1"/>
  <c r="AL309" i="45" a="1"/>
  <c r="AB286" i="45" a="1"/>
  <c r="N333" i="45" a="1"/>
  <c r="R309" i="45" a="1"/>
  <c r="AR263" i="45" a="1"/>
  <c r="R283" i="45" a="1"/>
  <c r="X260" i="45" a="1"/>
  <c r="N288" i="45" a="1"/>
  <c r="R335" i="45" a="1"/>
  <c r="O335" i="45" a="1"/>
  <c r="N362" i="45" a="1"/>
  <c r="AV260" i="45" a="1"/>
  <c r="H258" i="45" a="1"/>
  <c r="AR285" i="45" a="1"/>
  <c r="S258" i="45" a="1"/>
  <c r="AI285" i="45" a="1"/>
  <c r="AB259" i="45" a="1"/>
  <c r="AR283" i="45" a="1"/>
  <c r="AH337" i="45" a="1"/>
  <c r="R260" i="45" a="1"/>
  <c r="AM337" i="45" a="1"/>
  <c r="AL313" i="45" a="1"/>
  <c r="S313" i="45" a="1"/>
  <c r="S309" i="45" a="1"/>
  <c r="O284" i="45" a="1"/>
  <c r="X309" i="45" a="1"/>
  <c r="O262" i="45" a="1"/>
  <c r="AM336" i="45" a="1"/>
  <c r="AV284" i="45" a="1"/>
  <c r="AW258" i="45" a="1"/>
  <c r="AW312" i="45" a="1"/>
  <c r="AR312" i="45" a="1"/>
  <c r="AH309" i="45" a="1"/>
  <c r="AV285" i="45" a="1"/>
  <c r="AL285" i="45" a="1"/>
  <c r="H262" i="45" a="1"/>
  <c r="R338" i="45" a="1"/>
  <c r="AS262" i="45" a="1"/>
  <c r="O310" i="45" a="1"/>
  <c r="AL308" i="45" a="1"/>
  <c r="AH284" i="45" a="1"/>
  <c r="AW285" i="45" a="1"/>
  <c r="AV263" i="45" a="1"/>
  <c r="X338" i="45" a="1"/>
  <c r="AM284" i="45" a="1"/>
  <c r="N258" i="45" a="1"/>
  <c r="AV258" i="45" a="1"/>
  <c r="Y285" i="45" a="1"/>
  <c r="Y335" i="45" a="1"/>
  <c r="AL333" i="45" a="1"/>
  <c r="AV288" i="45" a="1"/>
  <c r="AL335" i="45" a="1"/>
  <c r="AM283" i="45" a="1"/>
  <c r="AS312" i="45" a="1"/>
  <c r="N361" i="45" a="1"/>
  <c r="AC259" i="45" a="1"/>
  <c r="AS310" i="45" a="1"/>
  <c r="AW310" i="45" a="1"/>
  <c r="H263" i="45" a="1"/>
  <c r="R360" i="45" a="1"/>
  <c r="AL312" i="45" a="1"/>
  <c r="Y333" i="45" a="1"/>
  <c r="AR287" i="45" a="1"/>
  <c r="S259" i="45" a="1"/>
  <c r="AS283" i="45" a="1"/>
  <c r="S335" i="45" a="1"/>
  <c r="AC310" i="45" a="1"/>
  <c r="AI288" i="45" a="1"/>
  <c r="D261" i="45" a="1"/>
  <c r="N260" i="45" a="1"/>
  <c r="AB308" i="45" a="1"/>
  <c r="S260" i="45" a="1"/>
  <c r="I261" i="45" a="1"/>
  <c r="N284" i="45" a="1"/>
  <c r="I263" i="45" a="1"/>
  <c r="AH333" i="45" a="1"/>
  <c r="Y313" i="45" a="1"/>
  <c r="O363" i="45" a="1"/>
  <c r="AI336" i="45" a="1"/>
  <c r="O313" i="45" a="1"/>
  <c r="AC338" i="45" a="1"/>
  <c r="AS309" i="45" a="1"/>
  <c r="N259" i="45" a="1"/>
  <c r="AL260" i="45" a="1"/>
  <c r="Y308" i="45" a="1"/>
  <c r="Y263" i="45" a="1"/>
  <c r="R334" i="45" a="1"/>
  <c r="S285" i="45" a="1"/>
  <c r="AR259" i="45" a="1"/>
  <c r="R261" i="45" a="1"/>
  <c r="AB334" i="45" a="1"/>
  <c r="AH334" i="45" a="1"/>
  <c r="O308" i="45" a="1"/>
  <c r="AB313" i="45" a="1"/>
  <c r="S288" i="45" a="1"/>
  <c r="AW288" i="45" a="1"/>
  <c r="AM288" i="45" a="1"/>
  <c r="R287" i="45" a="1"/>
  <c r="AM260" i="45" a="1"/>
  <c r="S358" i="45" a="1"/>
  <c r="O311" i="45" a="1"/>
  <c r="AH287" i="45" a="1"/>
  <c r="AH308" i="45" a="1"/>
  <c r="R259" i="45" a="1"/>
  <c r="S362" i="45" a="1"/>
  <c r="AL284" i="45" a="1"/>
  <c r="R262" i="45" a="1"/>
  <c r="AI308" i="45" a="1"/>
  <c r="AI287" i="45" a="1"/>
  <c r="X333" i="45" a="1"/>
  <c r="AH260" i="45" a="1"/>
  <c r="AR262" i="45" a="1"/>
  <c r="AI260" i="45" a="1"/>
  <c r="AI262" i="45" a="1"/>
  <c r="AH285" i="45" a="1"/>
  <c r="S337" i="45" a="1"/>
  <c r="R308" i="45" a="1"/>
  <c r="X334" i="45" a="1"/>
  <c r="E263" i="45" a="1"/>
  <c r="X286" i="45" a="1"/>
  <c r="AL262" i="45" a="1"/>
  <c r="AC311" i="45" a="1"/>
  <c r="AM259" i="45" a="1"/>
  <c r="AI313" i="45" a="1"/>
  <c r="O263" i="45" a="1"/>
  <c r="AC258" i="45" a="1"/>
  <c r="S336" i="45" a="1"/>
  <c r="AM333" i="45" a="1"/>
  <c r="N262" i="45" a="1"/>
  <c r="AI311" i="45" a="1"/>
  <c r="Y312" i="45" a="1"/>
  <c r="O261" i="45" a="1"/>
  <c r="X283" i="45" a="1"/>
  <c r="AH312" i="45" a="1"/>
  <c r="X258" i="45" a="1"/>
  <c r="AC309" i="45" a="1"/>
  <c r="Y338" i="45" a="1"/>
  <c r="AS308" i="45" a="1"/>
  <c r="Y334" i="45" a="1"/>
  <c r="S338" i="45" a="1"/>
  <c r="AB337" i="45" a="1"/>
  <c r="AI338" i="45" a="1"/>
  <c r="AM286" i="45" a="1"/>
  <c r="AC312" i="45" a="1"/>
  <c r="AS311" i="45" a="1"/>
  <c r="S333" i="45" a="1"/>
  <c r="AB309" i="45" a="1"/>
  <c r="AW286" i="45" a="1"/>
  <c r="AB285" i="45" a="1"/>
  <c r="AW311" i="45" a="1"/>
  <c r="AC283" i="45" a="1"/>
  <c r="AC333" i="45" a="1"/>
  <c r="E261" i="45" a="1"/>
  <c r="AR261" i="45" a="1"/>
  <c r="AC308" i="45" a="1"/>
  <c r="E258" i="45" a="1"/>
  <c r="AB311" i="45" a="1"/>
  <c r="N311" i="45" a="1"/>
  <c r="E259" i="45" a="1"/>
  <c r="AC284" i="45" a="1"/>
  <c r="AB312" i="45" a="1"/>
  <c r="AC334" i="45" a="1"/>
  <c r="N261" i="45" a="1"/>
  <c r="AB262" i="45" a="1"/>
  <c r="X335" i="45" a="1"/>
  <c r="AV313" i="45" a="1"/>
  <c r="O337" i="45" a="1"/>
  <c r="R310" i="45" a="1"/>
  <c r="S363" i="45" a="1"/>
  <c r="N313" i="45" a="1"/>
  <c r="AV310" i="45" a="1"/>
  <c r="AV286" i="45" a="1"/>
  <c r="X287" i="45" a="1"/>
  <c r="AS261" i="45" a="1"/>
  <c r="S284" i="45" a="1"/>
  <c r="AM311" i="45" a="1"/>
  <c r="AR309" i="45" a="1"/>
  <c r="S361" i="45" a="1"/>
  <c r="N337" i="45" a="1"/>
  <c r="O288" i="45" a="1"/>
  <c r="X313" i="45" a="1"/>
  <c r="AC336" i="45" a="1"/>
  <c r="AB284" i="45" a="1"/>
  <c r="AR260" i="45" a="1"/>
  <c r="R284" i="45" a="1"/>
  <c r="AH263" i="45" a="1"/>
  <c r="AC335" i="45" a="1"/>
  <c r="AS260" i="45" a="1"/>
  <c r="X336" i="45" a="1"/>
  <c r="Y262" i="45" a="1"/>
  <c r="AH310" i="45" a="1"/>
  <c r="AS285" i="45" a="1"/>
  <c r="AB338" i="45" a="1"/>
  <c r="O361" i="45" a="1"/>
  <c r="AI258" i="45" a="1"/>
  <c r="Y259" i="45" a="1"/>
  <c r="AR308" i="45" a="1"/>
  <c r="S308" i="45" a="1"/>
  <c r="AW308" i="45" a="1"/>
  <c r="AS287" i="45" a="1"/>
  <c r="AM285" i="45" a="1"/>
  <c r="Y287" i="45" a="1"/>
  <c r="D263" i="45" a="1"/>
  <c r="AL336" i="45" a="1"/>
  <c r="AS284" i="45" a="1"/>
  <c r="AW313" i="45" a="1"/>
  <c r="S359" i="45" a="1"/>
  <c r="AL288" i="45" a="1"/>
  <c r="AL338" i="45" a="1"/>
  <c r="AL286" i="45" a="1"/>
  <c r="AM335" i="45" a="1"/>
  <c r="AL261" i="45" a="1"/>
  <c r="S262" i="45" a="1"/>
  <c r="N286" i="45" a="1"/>
  <c r="I262" i="45" a="1"/>
  <c r="AM262" i="45" a="1"/>
  <c r="D260" i="45" a="1"/>
  <c r="N336" i="45" a="1"/>
  <c r="S334" i="45" a="1"/>
  <c r="AL283" i="45" a="1"/>
  <c r="AR258" i="45" a="1"/>
  <c r="AC286" i="45" a="1"/>
  <c r="AH261" i="45" a="1"/>
  <c r="D262" i="45" a="1"/>
  <c r="I259" i="45" a="1"/>
  <c r="R288" i="45" a="1"/>
  <c r="AV261" i="45" a="1"/>
  <c r="AR284" i="45" a="1"/>
  <c r="O283" i="45" a="1"/>
  <c r="AL311" i="45" a="1"/>
  <c r="AL258" i="45" a="1"/>
  <c r="AW259" i="45" a="1"/>
  <c r="Y310" i="45" a="1"/>
  <c r="AI334" i="45" a="1"/>
  <c r="AB261" i="45" a="1"/>
  <c r="AI312" i="45" a="1"/>
  <c r="AM334" i="45" a="1"/>
  <c r="X310" i="45" a="1"/>
  <c r="R311" i="45" a="1"/>
  <c r="N358" i="45" a="1"/>
  <c r="Y288" i="45" a="1"/>
  <c r="O338" i="45" a="1"/>
  <c r="AI263" i="45" a="1"/>
  <c r="AC313" i="45" a="1"/>
  <c r="Y286" i="45" a="1"/>
  <c r="S310" i="45" a="1"/>
  <c r="AL334" i="45" a="1"/>
  <c r="O286" i="45" a="1"/>
  <c r="AB287" i="45" a="1"/>
  <c r="AM338" i="45" a="1"/>
  <c r="O334" i="45" a="1"/>
  <c r="R312" i="45" a="1"/>
  <c r="AC263" i="45" a="1"/>
  <c r="R263" i="45" a="1"/>
  <c r="Y261" i="45" a="1"/>
  <c r="AR313" i="45" a="1"/>
  <c r="N285" i="45" a="1"/>
  <c r="AL259" i="45" a="1"/>
  <c r="AM287" i="45" a="1"/>
  <c r="AB336" i="45" a="1"/>
  <c r="AR312" i="45" l="1"/>
  <c r="AB284" i="45"/>
  <c r="Y260" i="45"/>
  <c r="AH310" i="45"/>
  <c r="O283" i="45"/>
  <c r="AL259" i="45"/>
  <c r="AB258" i="45"/>
  <c r="AH261" i="45"/>
  <c r="AB310" i="45"/>
  <c r="Y310" i="45"/>
  <c r="AL309" i="45"/>
  <c r="X288" i="45"/>
  <c r="E263" i="45"/>
  <c r="AW288" i="45"/>
  <c r="O336" i="45"/>
  <c r="AL263" i="45"/>
  <c r="AV284" i="45"/>
  <c r="X287" i="45"/>
  <c r="O359" i="45"/>
  <c r="R333" i="45"/>
  <c r="AB336" i="45"/>
  <c r="Y283" i="45"/>
  <c r="S284" i="45"/>
  <c r="Y334" i="45"/>
  <c r="AI334" i="45"/>
  <c r="D263" i="45"/>
  <c r="S334" i="45"/>
  <c r="AB334" i="45"/>
  <c r="X311" i="45"/>
  <c r="AM310" i="45"/>
  <c r="S286" i="45"/>
  <c r="N286" i="45"/>
  <c r="Y308" i="45"/>
  <c r="AL336" i="45"/>
  <c r="X333" i="45"/>
  <c r="R258" i="45"/>
  <c r="AR258" i="45"/>
  <c r="AC333" i="45"/>
  <c r="AB263" i="45"/>
  <c r="AH335" i="45"/>
  <c r="AV286" i="45"/>
  <c r="AI336" i="45"/>
  <c r="AI260" i="45"/>
  <c r="AS285" i="45"/>
  <c r="N335" i="45"/>
  <c r="AC283" i="45"/>
  <c r="X334" i="45"/>
  <c r="AH333" i="45"/>
  <c r="X338" i="45"/>
  <c r="AI312" i="45"/>
  <c r="R283" i="45"/>
  <c r="S313" i="45"/>
  <c r="AR286" i="45"/>
  <c r="AM335" i="45"/>
  <c r="N312" i="45"/>
  <c r="N308" i="45"/>
  <c r="O361" i="45"/>
  <c r="O260" i="45"/>
  <c r="AM262" i="45"/>
  <c r="R336" i="45"/>
  <c r="AC313" i="45"/>
  <c r="AC259" i="45"/>
  <c r="Y284" i="45"/>
  <c r="AR288" i="45"/>
  <c r="N313" i="45"/>
  <c r="AC311" i="45"/>
  <c r="S312" i="45"/>
  <c r="AS288" i="45"/>
  <c r="AV262" i="45"/>
  <c r="AM283" i="45"/>
  <c r="R361" i="45"/>
  <c r="AR259" i="45"/>
  <c r="S260" i="45"/>
  <c r="AV261" i="45"/>
  <c r="AS308" i="45"/>
  <c r="Y333" i="45"/>
  <c r="X286" i="45"/>
  <c r="AS283" i="45"/>
  <c r="R360" i="45"/>
  <c r="AL286" i="45"/>
  <c r="X308" i="45"/>
  <c r="S363" i="45"/>
  <c r="AW284" i="45"/>
  <c r="S309" i="45"/>
  <c r="AB311" i="45"/>
  <c r="O363" i="45"/>
  <c r="AM258" i="45"/>
  <c r="S287" i="45"/>
  <c r="AC263" i="45"/>
  <c r="AC336" i="45"/>
  <c r="AB260" i="45"/>
  <c r="AH338" i="45"/>
  <c r="AB335" i="45"/>
  <c r="N361" i="45"/>
  <c r="AH313" i="45"/>
  <c r="E261" i="45"/>
  <c r="AB262" i="45"/>
  <c r="R288" i="45"/>
  <c r="O313" i="45"/>
  <c r="N358" i="45"/>
  <c r="AH262" i="45"/>
  <c r="E258" i="45"/>
  <c r="R310" i="45"/>
  <c r="Y262" i="45"/>
  <c r="AI286" i="45"/>
  <c r="I261" i="45"/>
  <c r="AL283" i="45"/>
  <c r="O333" i="45"/>
  <c r="AC286" i="45"/>
  <c r="R260" i="45"/>
  <c r="AV311" i="45"/>
  <c r="Y335" i="45"/>
  <c r="AR261" i="45"/>
  <c r="AW261" i="45"/>
  <c r="N334" i="45"/>
  <c r="O362" i="45"/>
  <c r="AL308" i="45"/>
  <c r="AB313" i="45"/>
  <c r="AW286" i="45"/>
  <c r="N310" i="45"/>
  <c r="N283" i="45"/>
  <c r="I262" i="45"/>
  <c r="O285" i="45"/>
  <c r="AH308" i="45"/>
  <c r="X337" i="45"/>
  <c r="H261" i="45"/>
  <c r="AC288" i="45"/>
  <c r="AL333" i="45"/>
  <c r="N337" i="45"/>
  <c r="AM333" i="45"/>
  <c r="AW310" i="45"/>
  <c r="AH284" i="45"/>
  <c r="S333" i="45"/>
  <c r="AL313" i="45"/>
  <c r="O284" i="45"/>
  <c r="R259" i="45"/>
  <c r="S288" i="45"/>
  <c r="AW258" i="45"/>
  <c r="AI258" i="45"/>
  <c r="O311" i="45"/>
  <c r="AS287" i="45"/>
  <c r="AL285" i="45"/>
  <c r="I259" i="45"/>
  <c r="S360" i="45"/>
  <c r="AH285" i="45"/>
  <c r="N261" i="45"/>
  <c r="AL288" i="45"/>
  <c r="AI283" i="45"/>
  <c r="R358" i="45"/>
  <c r="AS313" i="45"/>
  <c r="N363" i="45"/>
  <c r="AH260" i="45"/>
  <c r="AB287" i="45"/>
  <c r="AM285" i="45"/>
  <c r="AM263" i="45"/>
  <c r="R337" i="45"/>
  <c r="AL262" i="45"/>
  <c r="AW283" i="45"/>
  <c r="AS312" i="45"/>
  <c r="I258" i="45"/>
  <c r="S338" i="45"/>
  <c r="AS309" i="45"/>
  <c r="AR263" i="45"/>
  <c r="AH263" i="45"/>
  <c r="AV310" i="45"/>
  <c r="Y258" i="45"/>
  <c r="R311" i="45"/>
  <c r="AW259" i="45"/>
  <c r="Y286" i="45"/>
  <c r="X313" i="45"/>
  <c r="AM312" i="45"/>
  <c r="AM309" i="45"/>
  <c r="D259" i="45"/>
  <c r="AC334" i="45"/>
  <c r="S283" i="45"/>
  <c r="R287" i="45"/>
  <c r="AM286" i="45"/>
  <c r="AS261" i="45"/>
  <c r="AV288" i="45"/>
  <c r="N258" i="45"/>
  <c r="N262" i="45"/>
  <c r="S262" i="45"/>
  <c r="D258" i="45"/>
  <c r="X335" i="45"/>
  <c r="AM287" i="45"/>
  <c r="AB308" i="45"/>
  <c r="AR310" i="45"/>
  <c r="AI261" i="45"/>
  <c r="N260" i="45"/>
  <c r="S310" i="45"/>
  <c r="R286" i="45"/>
  <c r="AV283" i="45"/>
  <c r="AC262" i="45"/>
  <c r="O287" i="45"/>
  <c r="AH334" i="45"/>
  <c r="AM313" i="45"/>
  <c r="AL338" i="45"/>
  <c r="AH312" i="45"/>
  <c r="AI263" i="45"/>
  <c r="AW263" i="45"/>
  <c r="X283" i="45"/>
  <c r="S285" i="45"/>
  <c r="AB337" i="45"/>
  <c r="N362" i="45"/>
  <c r="AB312" i="45"/>
  <c r="AC338" i="45"/>
  <c r="AI259" i="45"/>
  <c r="O338" i="45"/>
  <c r="S359" i="45"/>
  <c r="AI313" i="45"/>
  <c r="AS263" i="45"/>
  <c r="O258" i="45"/>
  <c r="AR287" i="45"/>
  <c r="AI337" i="45"/>
  <c r="N259" i="45"/>
  <c r="AB286" i="45"/>
  <c r="O262" i="45"/>
  <c r="X258" i="45"/>
  <c r="AW260" i="45"/>
  <c r="X261" i="45"/>
  <c r="Y338" i="45"/>
  <c r="AC260" i="45"/>
  <c r="AL310" i="45"/>
  <c r="AI308" i="45"/>
  <c r="O308" i="45"/>
  <c r="R261" i="45"/>
  <c r="S311" i="45"/>
  <c r="AC284" i="45"/>
  <c r="AV258" i="45"/>
  <c r="AI285" i="45"/>
  <c r="H260" i="45"/>
  <c r="O335" i="45"/>
  <c r="AH259" i="45"/>
  <c r="R285" i="45"/>
  <c r="AH336" i="45"/>
  <c r="S258" i="45"/>
  <c r="AL337" i="45"/>
  <c r="AV308" i="45"/>
  <c r="S361" i="45"/>
  <c r="Y261" i="45"/>
  <c r="AI310" i="45"/>
  <c r="AM308" i="45"/>
  <c r="R263" i="45"/>
  <c r="X285" i="45"/>
  <c r="X309" i="45"/>
  <c r="AR309" i="45"/>
  <c r="AM311" i="45"/>
  <c r="AM336" i="45"/>
  <c r="O334" i="45"/>
  <c r="S358" i="45"/>
  <c r="N311" i="45"/>
  <c r="R284" i="45"/>
  <c r="AS259" i="45"/>
  <c r="AI338" i="45"/>
  <c r="AS262" i="45"/>
  <c r="AV260" i="45"/>
  <c r="AL258" i="45"/>
  <c r="AV263" i="45"/>
  <c r="S336" i="45"/>
  <c r="H258" i="45"/>
  <c r="AH288" i="45"/>
  <c r="Y337" i="45"/>
  <c r="AH309" i="45"/>
  <c r="S263" i="45"/>
  <c r="AM259" i="45"/>
  <c r="R312" i="45"/>
  <c r="AC308" i="45"/>
  <c r="AH286" i="45"/>
  <c r="Y259" i="45"/>
  <c r="R362" i="45"/>
  <c r="AH311" i="45"/>
  <c r="AL284" i="45"/>
  <c r="E260" i="45"/>
  <c r="S261" i="45"/>
  <c r="H263" i="45"/>
  <c r="AH337" i="45"/>
  <c r="AS310" i="45"/>
  <c r="AM338" i="45"/>
  <c r="AL335" i="45"/>
  <c r="AC337" i="45"/>
  <c r="AC309" i="45"/>
  <c r="Y285" i="45"/>
  <c r="O312" i="45"/>
  <c r="X259" i="45"/>
  <c r="N287" i="45"/>
  <c r="AR285" i="45"/>
  <c r="AI284" i="45"/>
  <c r="AI262" i="45"/>
  <c r="Y311" i="45"/>
  <c r="AW287" i="45"/>
  <c r="AH258" i="45"/>
  <c r="R359" i="45"/>
  <c r="E262" i="45"/>
  <c r="R309" i="45"/>
  <c r="N336" i="45"/>
  <c r="X262" i="45"/>
  <c r="AR311" i="45"/>
  <c r="S259" i="45"/>
  <c r="AV309" i="45"/>
  <c r="AR260" i="45"/>
  <c r="AW308" i="45"/>
  <c r="AC310" i="45"/>
  <c r="D262" i="45"/>
  <c r="AB259" i="45"/>
  <c r="Y309" i="45"/>
  <c r="S308" i="45"/>
  <c r="N309" i="45"/>
  <c r="O263" i="45"/>
  <c r="AL260" i="45"/>
  <c r="Y313" i="45"/>
  <c r="AM260" i="45"/>
  <c r="S335" i="45"/>
  <c r="X312" i="45"/>
  <c r="Y287" i="45"/>
  <c r="AS311" i="45"/>
  <c r="H262" i="45"/>
  <c r="AC287" i="45"/>
  <c r="X263" i="45"/>
  <c r="AH287" i="45"/>
  <c r="D260" i="45"/>
  <c r="AL334" i="45"/>
  <c r="AC312" i="45"/>
  <c r="R308" i="45"/>
  <c r="N333" i="45"/>
  <c r="AW312" i="45"/>
  <c r="AI333" i="45"/>
  <c r="AH283" i="45"/>
  <c r="AI288" i="45"/>
  <c r="AL311" i="45"/>
  <c r="AR262" i="45"/>
  <c r="O261" i="45"/>
  <c r="AC261" i="45"/>
  <c r="O358" i="45"/>
  <c r="AC285" i="45"/>
  <c r="AV285" i="45"/>
  <c r="AS260" i="45"/>
  <c r="AM337" i="45"/>
  <c r="N285" i="45"/>
  <c r="AV259" i="45"/>
  <c r="N359" i="45"/>
  <c r="AI335" i="45"/>
  <c r="I260" i="45"/>
  <c r="AB309" i="45"/>
  <c r="O310" i="45"/>
  <c r="I263" i="45"/>
  <c r="O286" i="45"/>
  <c r="N360" i="45"/>
  <c r="X260" i="45"/>
  <c r="Y288" i="45"/>
  <c r="AR313" i="45"/>
  <c r="AL287" i="45"/>
  <c r="R363" i="45"/>
  <c r="X336" i="45"/>
  <c r="AB288" i="45"/>
  <c r="Y336" i="45"/>
  <c r="R338" i="45"/>
  <c r="AV287" i="45"/>
  <c r="AI311" i="45"/>
  <c r="N338" i="45"/>
  <c r="O288" i="45"/>
  <c r="O337" i="45"/>
  <c r="AM284" i="45"/>
  <c r="AS284" i="45"/>
  <c r="AB338" i="45"/>
  <c r="AC335" i="45"/>
  <c r="Y312" i="45"/>
  <c r="R334" i="45"/>
  <c r="N284" i="45"/>
  <c r="X284" i="45"/>
  <c r="R335" i="45"/>
  <c r="Y263" i="45"/>
  <c r="AW309" i="45"/>
  <c r="AW285" i="45"/>
  <c r="R313" i="45"/>
  <c r="AR284" i="45"/>
  <c r="D261" i="45"/>
  <c r="AV312" i="45"/>
  <c r="N263" i="45"/>
  <c r="AV313" i="45"/>
  <c r="AR283" i="45"/>
  <c r="AW262" i="45"/>
  <c r="AL261" i="45"/>
  <c r="N288" i="45"/>
  <c r="AB333" i="45"/>
  <c r="AM288" i="45"/>
  <c r="S337" i="45"/>
  <c r="AB283" i="45"/>
  <c r="AC258" i="45"/>
  <c r="AW311" i="45"/>
  <c r="E259" i="45"/>
  <c r="AW313" i="45"/>
  <c r="AM261" i="45"/>
  <c r="S362" i="45"/>
  <c r="AM334" i="45"/>
  <c r="O309" i="45"/>
  <c r="AI309" i="45"/>
  <c r="AB261" i="45"/>
  <c r="AI287" i="45"/>
  <c r="AB285" i="45"/>
  <c r="AR308" i="45"/>
  <c r="O360" i="45"/>
  <c r="AL312" i="45"/>
  <c r="AS258" i="45"/>
  <c r="AS286" i="45"/>
  <c r="X310" i="45"/>
  <c r="R262" i="45"/>
  <c r="H259" i="45"/>
  <c r="O259" i="45"/>
  <c r="B4" i="41"/>
  <c r="BE203" i="45"/>
  <c r="BE204" i="45"/>
  <c r="BE205" i="45"/>
  <c r="BE206" i="45"/>
  <c r="BE207" i="45"/>
  <c r="BE208" i="45"/>
  <c r="BD204" i="45"/>
  <c r="BD205" i="45"/>
  <c r="BD206" i="45"/>
  <c r="BD207" i="45"/>
  <c r="BD208" i="45"/>
  <c r="BD203" i="45"/>
  <c r="BA203" i="45"/>
  <c r="BA204" i="45"/>
  <c r="BA205" i="45"/>
  <c r="BA206" i="45"/>
  <c r="BA207" i="45"/>
  <c r="BA208" i="45"/>
  <c r="AZ204" i="45"/>
  <c r="AZ205" i="45"/>
  <c r="AZ206" i="45"/>
  <c r="AZ207" i="45"/>
  <c r="AZ208" i="45"/>
  <c r="AZ203" i="45"/>
  <c r="BE178" i="45"/>
  <c r="BE179" i="45"/>
  <c r="BE180" i="45"/>
  <c r="BE181" i="45"/>
  <c r="BE182" i="45"/>
  <c r="BE183" i="45"/>
  <c r="BD179" i="45"/>
  <c r="BD180" i="45"/>
  <c r="BD181" i="45"/>
  <c r="BD182" i="45"/>
  <c r="BD183" i="45"/>
  <c r="BD178" i="45"/>
  <c r="BA178" i="45"/>
  <c r="BA179" i="45"/>
  <c r="BA180" i="45"/>
  <c r="BA181" i="45"/>
  <c r="BA182" i="45"/>
  <c r="BA183" i="45"/>
  <c r="AZ179" i="45"/>
  <c r="AZ180" i="45"/>
  <c r="AZ181" i="45"/>
  <c r="AZ182" i="45"/>
  <c r="AZ183" i="45"/>
  <c r="AZ178" i="45"/>
  <c r="BE153" i="45"/>
  <c r="BE154" i="45"/>
  <c r="BE155" i="45"/>
  <c r="BE156" i="45"/>
  <c r="BE157" i="45"/>
  <c r="BE158" i="45"/>
  <c r="BD154" i="45"/>
  <c r="BD155" i="45"/>
  <c r="BD156" i="45"/>
  <c r="BD157" i="45"/>
  <c r="BD158" i="45"/>
  <c r="BD153" i="45"/>
  <c r="BA153" i="45"/>
  <c r="BA154" i="45"/>
  <c r="BA155" i="45"/>
  <c r="BA156" i="45"/>
  <c r="BA157" i="45"/>
  <c r="BA158" i="45"/>
  <c r="AZ154" i="45"/>
  <c r="AZ155" i="45"/>
  <c r="AZ156" i="45"/>
  <c r="AZ157" i="45"/>
  <c r="AZ158" i="45"/>
  <c r="AZ153" i="45"/>
  <c r="BE128" i="45"/>
  <c r="BE129" i="45"/>
  <c r="BE130" i="45"/>
  <c r="BE131" i="45"/>
  <c r="BE132" i="45"/>
  <c r="BE133" i="45"/>
  <c r="BD129" i="45"/>
  <c r="BD130" i="45"/>
  <c r="BD131" i="45"/>
  <c r="BD132" i="45"/>
  <c r="BD133" i="45"/>
  <c r="BD128" i="45"/>
  <c r="BA128" i="45"/>
  <c r="BA129" i="45"/>
  <c r="BA130" i="45"/>
  <c r="BA131" i="45"/>
  <c r="BA132" i="45"/>
  <c r="BA133" i="45"/>
  <c r="AZ129" i="45"/>
  <c r="AZ130" i="45"/>
  <c r="AZ131" i="45"/>
  <c r="AZ132" i="45"/>
  <c r="AZ133" i="45"/>
  <c r="AZ128" i="45"/>
  <c r="AU178" i="45"/>
  <c r="AU179" i="45"/>
  <c r="AU180" i="45"/>
  <c r="AU181" i="45"/>
  <c r="AU182" i="45"/>
  <c r="AU183" i="45"/>
  <c r="AT179" i="45"/>
  <c r="AT180" i="45"/>
  <c r="AT181" i="45"/>
  <c r="AT182" i="45"/>
  <c r="AT183" i="45"/>
  <c r="AT178" i="45"/>
  <c r="AQ178" i="45"/>
  <c r="AQ179" i="45"/>
  <c r="AQ180" i="45"/>
  <c r="AQ181" i="45"/>
  <c r="AQ182" i="45"/>
  <c r="AQ183" i="45"/>
  <c r="AP179" i="45"/>
  <c r="AP180" i="45"/>
  <c r="AP181" i="45"/>
  <c r="AP182" i="45"/>
  <c r="AP183" i="45"/>
  <c r="AU153" i="45"/>
  <c r="AU154" i="45"/>
  <c r="AU155" i="45"/>
  <c r="AU156" i="45"/>
  <c r="AU157" i="45"/>
  <c r="AU158" i="45"/>
  <c r="AT154" i="45"/>
  <c r="AT155" i="45"/>
  <c r="AT156" i="45"/>
  <c r="AT157" i="45"/>
  <c r="AT158" i="45"/>
  <c r="AT153" i="45"/>
  <c r="AQ153" i="45"/>
  <c r="AQ154" i="45"/>
  <c r="AQ155" i="45"/>
  <c r="AQ156" i="45"/>
  <c r="AQ157" i="45"/>
  <c r="AQ158" i="45"/>
  <c r="AP154" i="45"/>
  <c r="AP155" i="45"/>
  <c r="AP156" i="45"/>
  <c r="AP157" i="45"/>
  <c r="AP158" i="45"/>
  <c r="AU128" i="45"/>
  <c r="AU129" i="45"/>
  <c r="AU130" i="45"/>
  <c r="AU131" i="45"/>
  <c r="AU132" i="45"/>
  <c r="AU133" i="45"/>
  <c r="AT129" i="45"/>
  <c r="AT130" i="45"/>
  <c r="AT131" i="45"/>
  <c r="AT132" i="45"/>
  <c r="AT133" i="45"/>
  <c r="AT128" i="45"/>
  <c r="AQ128" i="45"/>
  <c r="AQ129" i="45"/>
  <c r="AQ130" i="45"/>
  <c r="AQ131" i="45"/>
  <c r="AQ132" i="45"/>
  <c r="AQ133" i="45"/>
  <c r="AP129" i="45"/>
  <c r="AP130" i="45"/>
  <c r="AP131" i="45"/>
  <c r="AP132" i="45"/>
  <c r="AP133" i="45"/>
  <c r="AP178" i="45"/>
  <c r="AP153" i="45"/>
  <c r="AP128" i="45"/>
  <c r="AK203" i="45"/>
  <c r="AK204" i="45"/>
  <c r="AK205" i="45"/>
  <c r="AK206" i="45"/>
  <c r="AK207" i="45"/>
  <c r="AK208" i="45"/>
  <c r="AJ204" i="45"/>
  <c r="AJ205" i="45"/>
  <c r="AJ206" i="45"/>
  <c r="AJ207" i="45"/>
  <c r="AJ208" i="45"/>
  <c r="AJ203" i="45"/>
  <c r="AG203" i="45"/>
  <c r="AG204" i="45"/>
  <c r="AG205" i="45"/>
  <c r="AG206" i="45"/>
  <c r="AG207" i="45"/>
  <c r="AG208" i="45"/>
  <c r="AF204" i="45"/>
  <c r="AF205" i="45"/>
  <c r="AF206" i="45"/>
  <c r="AF207" i="45"/>
  <c r="AF208" i="45"/>
  <c r="AF203" i="45"/>
  <c r="AK178" i="45"/>
  <c r="AK179" i="45"/>
  <c r="AK180" i="45"/>
  <c r="AK181" i="45"/>
  <c r="AK182" i="45"/>
  <c r="AK183" i="45"/>
  <c r="AJ179" i="45"/>
  <c r="AJ180" i="45"/>
  <c r="AJ181" i="45"/>
  <c r="AJ182" i="45"/>
  <c r="AJ183" i="45"/>
  <c r="AJ178" i="45"/>
  <c r="AG178" i="45"/>
  <c r="AG179" i="45"/>
  <c r="AG180" i="45"/>
  <c r="AG181" i="45"/>
  <c r="AG182" i="45"/>
  <c r="AG183" i="45"/>
  <c r="AF179" i="45"/>
  <c r="AF180" i="45"/>
  <c r="AF181" i="45"/>
  <c r="AF182" i="45"/>
  <c r="AF183" i="45"/>
  <c r="AF178" i="45"/>
  <c r="AK153" i="45"/>
  <c r="AK154" i="45"/>
  <c r="AK155" i="45"/>
  <c r="AK156" i="45"/>
  <c r="AK157" i="45"/>
  <c r="AK158" i="45"/>
  <c r="AJ154" i="45"/>
  <c r="AJ155" i="45"/>
  <c r="AJ156" i="45"/>
  <c r="AJ157" i="45"/>
  <c r="AJ158" i="45"/>
  <c r="AJ153" i="45"/>
  <c r="AG153" i="45"/>
  <c r="AG154" i="45"/>
  <c r="AG155" i="45"/>
  <c r="AG156" i="45"/>
  <c r="AG157" i="45"/>
  <c r="AG158" i="45"/>
  <c r="AF154" i="45"/>
  <c r="AF155" i="45"/>
  <c r="AF156" i="45"/>
  <c r="AF157" i="45"/>
  <c r="AF158" i="45"/>
  <c r="AF153" i="45"/>
  <c r="AK128" i="45"/>
  <c r="AK129" i="45"/>
  <c r="AK130" i="45"/>
  <c r="AK131" i="45"/>
  <c r="AK132" i="45"/>
  <c r="AK133" i="45"/>
  <c r="AJ129" i="45"/>
  <c r="AJ130" i="45"/>
  <c r="AJ131" i="45"/>
  <c r="AJ132" i="45"/>
  <c r="AJ133" i="45"/>
  <c r="AJ128" i="45"/>
  <c r="AG128" i="45"/>
  <c r="AG129" i="45"/>
  <c r="AG130" i="45"/>
  <c r="AG131" i="45"/>
  <c r="AG132" i="45"/>
  <c r="AG133" i="45"/>
  <c r="AF129" i="45"/>
  <c r="AF130" i="45"/>
  <c r="AF131" i="45"/>
  <c r="AF132" i="45"/>
  <c r="AF133" i="45"/>
  <c r="AF128" i="45"/>
  <c r="AA203" i="45"/>
  <c r="AA204" i="45"/>
  <c r="AA205" i="45"/>
  <c r="AA206" i="45"/>
  <c r="AA207" i="45"/>
  <c r="AA208" i="45"/>
  <c r="Z204" i="45"/>
  <c r="Z205" i="45"/>
  <c r="Z206" i="45"/>
  <c r="Z207" i="45"/>
  <c r="Z208" i="45"/>
  <c r="Z203" i="45"/>
  <c r="W203" i="45"/>
  <c r="W204" i="45"/>
  <c r="W205" i="45"/>
  <c r="W206" i="45"/>
  <c r="W207" i="45"/>
  <c r="W208" i="45"/>
  <c r="V204" i="45"/>
  <c r="V205" i="45"/>
  <c r="V206" i="45"/>
  <c r="V207" i="45"/>
  <c r="V208" i="45"/>
  <c r="AA178" i="45"/>
  <c r="AA179" i="45"/>
  <c r="AA180" i="45"/>
  <c r="AA181" i="45"/>
  <c r="AA182" i="45"/>
  <c r="AA183" i="45"/>
  <c r="Z179" i="45"/>
  <c r="Z180" i="45"/>
  <c r="Z181" i="45"/>
  <c r="Z182" i="45"/>
  <c r="Z183" i="45"/>
  <c r="Z178" i="45"/>
  <c r="W178" i="45"/>
  <c r="W179" i="45"/>
  <c r="W180" i="45"/>
  <c r="W181" i="45"/>
  <c r="W182" i="45"/>
  <c r="W183" i="45"/>
  <c r="V179" i="45"/>
  <c r="V180" i="45"/>
  <c r="V181" i="45"/>
  <c r="V182" i="45"/>
  <c r="V183" i="45"/>
  <c r="AA153" i="45"/>
  <c r="AA154" i="45"/>
  <c r="AA155" i="45"/>
  <c r="AA156" i="45"/>
  <c r="AA157" i="45"/>
  <c r="AA158" i="45"/>
  <c r="Z154" i="45"/>
  <c r="Z155" i="45"/>
  <c r="Z156" i="45"/>
  <c r="Z157" i="45"/>
  <c r="Z158" i="45"/>
  <c r="Z153" i="45"/>
  <c r="W153" i="45"/>
  <c r="W154" i="45"/>
  <c r="W155" i="45"/>
  <c r="W156" i="45"/>
  <c r="W157" i="45"/>
  <c r="W158" i="45"/>
  <c r="V154" i="45"/>
  <c r="V155" i="45"/>
  <c r="V156" i="45"/>
  <c r="V157" i="45"/>
  <c r="V158" i="45"/>
  <c r="V203" i="45"/>
  <c r="V178" i="45"/>
  <c r="V153" i="45"/>
  <c r="AA128" i="45"/>
  <c r="AA129" i="45"/>
  <c r="AA130" i="45"/>
  <c r="AA131" i="45"/>
  <c r="AA132" i="45"/>
  <c r="AA133" i="45"/>
  <c r="Z129" i="45"/>
  <c r="Z130" i="45"/>
  <c r="Z131" i="45"/>
  <c r="Z132" i="45"/>
  <c r="Z133" i="45"/>
  <c r="Z128" i="45"/>
  <c r="W128" i="45"/>
  <c r="W129" i="45"/>
  <c r="W130" i="45"/>
  <c r="W131" i="45"/>
  <c r="W132" i="45"/>
  <c r="W133" i="45"/>
  <c r="V129" i="45"/>
  <c r="V130" i="45"/>
  <c r="V131" i="45"/>
  <c r="V132" i="45"/>
  <c r="V133" i="45"/>
  <c r="V128" i="45"/>
  <c r="Q228" i="45"/>
  <c r="Q229" i="45"/>
  <c r="Q230" i="45"/>
  <c r="Q231" i="45"/>
  <c r="Q232" i="45"/>
  <c r="Q233" i="45"/>
  <c r="P229" i="45"/>
  <c r="P230" i="45"/>
  <c r="P231" i="45"/>
  <c r="P232" i="45"/>
  <c r="P233" i="45"/>
  <c r="P228" i="45"/>
  <c r="M228" i="45"/>
  <c r="M229" i="45"/>
  <c r="M230" i="45"/>
  <c r="M231" i="45"/>
  <c r="M232" i="45"/>
  <c r="M233" i="45"/>
  <c r="L229" i="45"/>
  <c r="L230" i="45"/>
  <c r="L231" i="45"/>
  <c r="L232" i="45"/>
  <c r="L233" i="45"/>
  <c r="L228" i="45"/>
  <c r="Q203" i="45"/>
  <c r="Q204" i="45"/>
  <c r="Q205" i="45"/>
  <c r="Q206" i="45"/>
  <c r="Q207" i="45"/>
  <c r="Q208" i="45"/>
  <c r="P204" i="45"/>
  <c r="P205" i="45"/>
  <c r="P206" i="45"/>
  <c r="P207" i="45"/>
  <c r="P208" i="45"/>
  <c r="P203" i="45"/>
  <c r="M203" i="45"/>
  <c r="M204" i="45"/>
  <c r="M205" i="45"/>
  <c r="M206" i="45"/>
  <c r="M207" i="45"/>
  <c r="M208" i="45"/>
  <c r="L204" i="45"/>
  <c r="L205" i="45"/>
  <c r="L206" i="45"/>
  <c r="L207" i="45"/>
  <c r="L208" i="45"/>
  <c r="L203" i="45"/>
  <c r="Q178" i="45"/>
  <c r="Q179" i="45"/>
  <c r="Q180" i="45"/>
  <c r="Q181" i="45"/>
  <c r="Q182" i="45"/>
  <c r="Q183" i="45"/>
  <c r="P179" i="45"/>
  <c r="P180" i="45"/>
  <c r="P181" i="45"/>
  <c r="P182" i="45"/>
  <c r="P183" i="45"/>
  <c r="P178" i="45"/>
  <c r="M178" i="45"/>
  <c r="M179" i="45"/>
  <c r="M180" i="45"/>
  <c r="M181" i="45"/>
  <c r="M182" i="45"/>
  <c r="M183" i="45"/>
  <c r="L179" i="45"/>
  <c r="L180" i="45"/>
  <c r="L181" i="45"/>
  <c r="L182" i="45"/>
  <c r="L183" i="45"/>
  <c r="L178" i="45"/>
  <c r="Q153" i="45"/>
  <c r="Q154" i="45"/>
  <c r="Q155" i="45"/>
  <c r="Q156" i="45"/>
  <c r="Q157" i="45"/>
  <c r="Q158" i="45"/>
  <c r="P154" i="45"/>
  <c r="P155" i="45"/>
  <c r="P156" i="45"/>
  <c r="P157" i="45"/>
  <c r="P158" i="45"/>
  <c r="P153" i="45"/>
  <c r="M153" i="45"/>
  <c r="M154" i="45"/>
  <c r="M155" i="45"/>
  <c r="M156" i="45"/>
  <c r="M157" i="45"/>
  <c r="M158" i="45"/>
  <c r="L154" i="45"/>
  <c r="L155" i="45"/>
  <c r="L156" i="45"/>
  <c r="L157" i="45"/>
  <c r="L158" i="45"/>
  <c r="L153" i="45"/>
  <c r="P128" i="45" l="1"/>
  <c r="Q128" i="45"/>
  <c r="Q129" i="45"/>
  <c r="Q130" i="45"/>
  <c r="Q131" i="45"/>
  <c r="Q132" i="45"/>
  <c r="Q133" i="45"/>
  <c r="P129" i="45"/>
  <c r="P130" i="45"/>
  <c r="P131" i="45"/>
  <c r="P132" i="45"/>
  <c r="P133" i="45"/>
  <c r="G128" i="45"/>
  <c r="G129" i="45"/>
  <c r="G130" i="45"/>
  <c r="G131" i="45"/>
  <c r="G132" i="45"/>
  <c r="G133" i="45"/>
  <c r="F129" i="45"/>
  <c r="F130" i="45"/>
  <c r="F131" i="45"/>
  <c r="F132" i="45"/>
  <c r="F133" i="45"/>
  <c r="F128" i="45"/>
  <c r="M128" i="45"/>
  <c r="M129" i="45"/>
  <c r="M130" i="45"/>
  <c r="M131" i="45"/>
  <c r="M132" i="45"/>
  <c r="M133" i="45"/>
  <c r="L129" i="45"/>
  <c r="L130" i="45"/>
  <c r="L131" i="45"/>
  <c r="L132" i="45"/>
  <c r="L133" i="45"/>
  <c r="L128" i="45"/>
  <c r="C128" i="45"/>
  <c r="C129" i="45"/>
  <c r="C130" i="45"/>
  <c r="C131" i="45"/>
  <c r="C132" i="45"/>
  <c r="C133" i="45"/>
  <c r="B129" i="45"/>
  <c r="B130" i="45"/>
  <c r="B131" i="45"/>
  <c r="B132" i="45"/>
  <c r="B133" i="45"/>
  <c r="B128" i="45"/>
  <c r="G135" i="41"/>
  <c r="G136" i="41"/>
  <c r="G137" i="41"/>
  <c r="G138" i="41"/>
  <c r="G139" i="41"/>
  <c r="G140" i="41"/>
  <c r="F136" i="41"/>
  <c r="F137" i="41"/>
  <c r="F138" i="41"/>
  <c r="F139" i="41"/>
  <c r="F140" i="41"/>
  <c r="F135" i="41"/>
  <c r="G110" i="41"/>
  <c r="G111" i="41"/>
  <c r="G112" i="41"/>
  <c r="G113" i="41"/>
  <c r="G114" i="41"/>
  <c r="G115" i="41"/>
  <c r="F111" i="41"/>
  <c r="F112" i="41"/>
  <c r="F113" i="41"/>
  <c r="F114" i="41"/>
  <c r="F115" i="41"/>
  <c r="F110" i="41"/>
  <c r="G85" i="41"/>
  <c r="G86" i="41"/>
  <c r="G87" i="41"/>
  <c r="G88" i="41"/>
  <c r="G89" i="41"/>
  <c r="G90" i="41"/>
  <c r="F86" i="41"/>
  <c r="F87" i="41"/>
  <c r="F88" i="41"/>
  <c r="F89" i="41"/>
  <c r="F90" i="41"/>
  <c r="F85" i="41"/>
  <c r="C135" i="41"/>
  <c r="C136" i="41"/>
  <c r="C137" i="41"/>
  <c r="C138" i="41"/>
  <c r="C139" i="41"/>
  <c r="C140" i="41"/>
  <c r="B136" i="41"/>
  <c r="B137" i="41"/>
  <c r="B138" i="41"/>
  <c r="B139" i="41"/>
  <c r="B140" i="41"/>
  <c r="B135" i="41"/>
  <c r="C110" i="41"/>
  <c r="C111" i="41"/>
  <c r="C112" i="41"/>
  <c r="C113" i="41"/>
  <c r="C114" i="41"/>
  <c r="C115" i="41"/>
  <c r="B111" i="41"/>
  <c r="B112" i="41"/>
  <c r="B113" i="41"/>
  <c r="B114" i="41"/>
  <c r="B115" i="41"/>
  <c r="B110" i="41"/>
  <c r="C85" i="41"/>
  <c r="C86" i="41"/>
  <c r="C87" i="41"/>
  <c r="C88" i="41"/>
  <c r="C89" i="41"/>
  <c r="C90" i="41"/>
  <c r="B86" i="41"/>
  <c r="B87" i="41"/>
  <c r="B88" i="41"/>
  <c r="B89" i="41"/>
  <c r="B90" i="41"/>
  <c r="B85" i="41"/>
  <c r="G59" i="41"/>
  <c r="F59" i="41"/>
  <c r="C59" i="41"/>
  <c r="B59" i="41"/>
  <c r="G58" i="41"/>
  <c r="F58" i="41"/>
  <c r="C58" i="41"/>
  <c r="B58" i="41"/>
  <c r="G57" i="41"/>
  <c r="F57" i="41"/>
  <c r="C57" i="41"/>
  <c r="B57" i="41"/>
  <c r="G56" i="41"/>
  <c r="F56" i="41"/>
  <c r="C56" i="41"/>
  <c r="B56" i="41"/>
  <c r="G55" i="41"/>
  <c r="F55" i="41"/>
  <c r="C55" i="41"/>
  <c r="B55" i="41"/>
  <c r="G54" i="41"/>
  <c r="F54" i="41"/>
  <c r="C54" i="41"/>
  <c r="B54" i="41"/>
  <c r="G34" i="41"/>
  <c r="F34" i="41"/>
  <c r="C34" i="41"/>
  <c r="B34" i="41"/>
  <c r="G33" i="41"/>
  <c r="F33" i="41"/>
  <c r="C33" i="41"/>
  <c r="B33" i="41"/>
  <c r="G32" i="41"/>
  <c r="F32" i="41"/>
  <c r="C32" i="41"/>
  <c r="B32" i="41"/>
  <c r="G31" i="41"/>
  <c r="F31" i="41"/>
  <c r="C31" i="41"/>
  <c r="B31" i="41"/>
  <c r="G30" i="41"/>
  <c r="F30" i="41"/>
  <c r="C30" i="41"/>
  <c r="B30" i="41"/>
  <c r="G29" i="41"/>
  <c r="F29" i="41"/>
  <c r="C29" i="41"/>
  <c r="B29" i="41"/>
  <c r="G9" i="41"/>
  <c r="F9" i="41"/>
  <c r="C9" i="41"/>
  <c r="B9" i="41"/>
  <c r="G8" i="41"/>
  <c r="F8" i="41"/>
  <c r="C8" i="41"/>
  <c r="B8" i="41"/>
  <c r="G7" i="41"/>
  <c r="F7" i="41"/>
  <c r="C7" i="41"/>
  <c r="B7" i="41"/>
  <c r="G6" i="41"/>
  <c r="F6" i="41"/>
  <c r="C6" i="41"/>
  <c r="B6" i="41"/>
  <c r="G5" i="41"/>
  <c r="F5" i="41"/>
  <c r="C5" i="41"/>
  <c r="B5" i="41"/>
  <c r="G4" i="41"/>
  <c r="F4" i="41"/>
  <c r="C4" i="41"/>
  <c r="G59" i="52"/>
  <c r="F59" i="52"/>
  <c r="C59" i="52"/>
  <c r="B59" i="52"/>
  <c r="G58" i="52"/>
  <c r="F58" i="52"/>
  <c r="C58" i="52"/>
  <c r="B58" i="52"/>
  <c r="G57" i="52"/>
  <c r="F57" i="52"/>
  <c r="C57" i="52"/>
  <c r="B57" i="52"/>
  <c r="G56" i="52"/>
  <c r="F56" i="52"/>
  <c r="C56" i="52"/>
  <c r="B56" i="52"/>
  <c r="G55" i="52"/>
  <c r="F55" i="52"/>
  <c r="C55" i="52"/>
  <c r="B55" i="52"/>
  <c r="G54" i="52"/>
  <c r="F54" i="52"/>
  <c r="C54" i="52"/>
  <c r="B54" i="52"/>
  <c r="G34" i="52"/>
  <c r="F34" i="52"/>
  <c r="C34" i="52"/>
  <c r="B34" i="52"/>
  <c r="G33" i="52"/>
  <c r="F33" i="52"/>
  <c r="C33" i="52"/>
  <c r="B33" i="52"/>
  <c r="G32" i="52"/>
  <c r="F32" i="52"/>
  <c r="C32" i="52"/>
  <c r="B32" i="52"/>
  <c r="G31" i="52"/>
  <c r="F31" i="52"/>
  <c r="C31" i="52"/>
  <c r="B31" i="52"/>
  <c r="G30" i="52"/>
  <c r="F30" i="52"/>
  <c r="C30" i="52"/>
  <c r="B30" i="52"/>
  <c r="G29" i="52"/>
  <c r="F29" i="52"/>
  <c r="C29" i="52"/>
  <c r="B29" i="52"/>
  <c r="G9" i="52"/>
  <c r="F9" i="52"/>
  <c r="C9" i="52"/>
  <c r="B9" i="52"/>
  <c r="G8" i="52"/>
  <c r="F8" i="52"/>
  <c r="C8" i="52"/>
  <c r="B8" i="52"/>
  <c r="G7" i="52"/>
  <c r="F7" i="52"/>
  <c r="C7" i="52"/>
  <c r="B7" i="52"/>
  <c r="G6" i="52"/>
  <c r="F6" i="52"/>
  <c r="C6" i="52"/>
  <c r="B6" i="52"/>
  <c r="G5" i="52"/>
  <c r="F5" i="52"/>
  <c r="C5" i="52"/>
  <c r="B5" i="52"/>
  <c r="G4" i="52"/>
  <c r="F4" i="52"/>
  <c r="C4" i="52"/>
  <c r="B4" i="52"/>
  <c r="L1" i="51"/>
  <c r="R206" i="45" a="1"/>
  <c r="AH130" i="45" a="1"/>
  <c r="X132" i="45" a="1"/>
  <c r="X154" i="45" a="1"/>
  <c r="R207" i="45" a="1"/>
  <c r="I34" i="52" a="1"/>
  <c r="O179" i="45" a="1"/>
  <c r="H29" i="52" a="1"/>
  <c r="O181" i="45" a="1"/>
  <c r="R183" i="45" a="1"/>
  <c r="S131" i="45" a="1"/>
  <c r="S155" i="45" a="1"/>
  <c r="D135" i="41" a="1"/>
  <c r="O208" i="45" a="1"/>
  <c r="X128" i="45" a="1"/>
  <c r="BF158" i="45" a="1"/>
  <c r="D29" i="52" a="1"/>
  <c r="AV178" i="45" a="1"/>
  <c r="E9" i="52" a="1"/>
  <c r="AH155" i="45" a="1"/>
  <c r="I114" i="41" a="1"/>
  <c r="AL178" i="45" a="1"/>
  <c r="AB128" i="45" a="1"/>
  <c r="AV180" i="45" a="1"/>
  <c r="AH181" i="45" a="1"/>
  <c r="R180" i="45" a="1"/>
  <c r="D137" i="41" a="1"/>
  <c r="N229" i="45" a="1"/>
  <c r="AC180" i="45" a="1"/>
  <c r="O231" i="45" a="1"/>
  <c r="X178" i="45" a="1"/>
  <c r="AI207" i="45" a="1"/>
  <c r="AI156" i="45" a="1"/>
  <c r="D55" i="41" a="1"/>
  <c r="I87" i="41" a="1"/>
  <c r="H54" i="41" a="1"/>
  <c r="H9" i="52" a="1"/>
  <c r="Y206" i="45" a="1"/>
  <c r="AC205" i="45" a="1"/>
  <c r="AI205" i="45" a="1"/>
  <c r="AM155" i="45" a="1"/>
  <c r="Y208" i="45" a="1"/>
  <c r="AS130" i="45" a="1"/>
  <c r="E89" i="41" a="1"/>
  <c r="N158" i="45" a="1"/>
  <c r="AR157" i="45" a="1"/>
  <c r="BG130" i="45" a="1"/>
  <c r="AB158" i="45" a="1"/>
  <c r="BG131" i="45" a="1"/>
  <c r="BF130" i="45" a="1"/>
  <c r="D29" i="41" a="1"/>
  <c r="AI178" i="45" a="1"/>
  <c r="AC155" i="45" a="1"/>
  <c r="AH131" i="45" a="1"/>
  <c r="AS132" i="45" a="1"/>
  <c r="O157" i="45" a="1"/>
  <c r="O158" i="45" a="1"/>
  <c r="AR180" i="45" a="1"/>
  <c r="R130" i="45" a="1"/>
  <c r="BG178" i="45" a="1"/>
  <c r="BF178" i="45" a="1"/>
  <c r="BF131" i="45" a="1"/>
  <c r="AL129" i="45" a="1"/>
  <c r="R178" i="45" a="1"/>
  <c r="S132" i="45" a="1"/>
  <c r="X203" i="45" a="1"/>
  <c r="I55" i="41" a="1"/>
  <c r="D55" i="52" a="1"/>
  <c r="AH157" i="45" a="1"/>
  <c r="D6" i="52" a="1"/>
  <c r="E133" i="45" a="1"/>
  <c r="N183" i="45" a="1"/>
  <c r="AC178" i="45" a="1"/>
  <c r="R182" i="45" a="1"/>
  <c r="X205" i="45" a="1"/>
  <c r="AM157" i="45" a="1"/>
  <c r="I4" i="52" a="1"/>
  <c r="BF153" i="45" a="1"/>
  <c r="AH204" i="45" a="1"/>
  <c r="BF154" i="45" a="1"/>
  <c r="Y179" i="45" a="1"/>
  <c r="AL204" i="45" a="1"/>
  <c r="BC208" i="45" a="1"/>
  <c r="E7" i="52" a="1"/>
  <c r="S228" i="45" a="1"/>
  <c r="AH178" i="45" a="1"/>
  <c r="S130" i="45" a="1"/>
  <c r="AR183" i="45" a="1"/>
  <c r="D8" i="52" a="1"/>
  <c r="AL205" i="45" a="1"/>
  <c r="X153" i="45" a="1"/>
  <c r="N180" i="45" a="1"/>
  <c r="H131" i="45" a="1"/>
  <c r="AM180" i="45" a="1"/>
  <c r="AL154" i="45" a="1"/>
  <c r="H54" i="52" a="1"/>
  <c r="X155" i="45" a="1"/>
  <c r="AW131" i="45" a="1"/>
  <c r="BF156" i="45" a="1"/>
  <c r="AR179" i="45" a="1"/>
  <c r="AI203" i="45" a="1"/>
  <c r="BG206" i="45" a="1"/>
  <c r="D90" i="41" a="1"/>
  <c r="BF204" i="45" a="1"/>
  <c r="BB180" i="45" a="1"/>
  <c r="D54" i="52" a="1"/>
  <c r="S180" i="45" a="1"/>
  <c r="Y203" i="45" a="1"/>
  <c r="H115" i="41" a="1"/>
  <c r="E31" i="52" a="1"/>
  <c r="AI158" i="45" a="1"/>
  <c r="AR154" i="45" a="1"/>
  <c r="E59" i="41" a="1"/>
  <c r="E140" i="41" a="1"/>
  <c r="D56" i="52" a="1"/>
  <c r="I31" i="52" a="1"/>
  <c r="AI130" i="45" a="1"/>
  <c r="Y133" i="45" a="1"/>
  <c r="AH156" i="45" a="1"/>
  <c r="AB130" i="45" a="1"/>
  <c r="N133" i="45" a="1"/>
  <c r="AH132" i="45" a="1"/>
  <c r="E139" i="41" a="1"/>
  <c r="S183" i="45" a="1"/>
  <c r="D5" i="41" a="1"/>
  <c r="AS129" i="45" a="1"/>
  <c r="AB183" i="45" a="1"/>
  <c r="E59" i="52" a="1"/>
  <c r="BC155" i="45" a="1"/>
  <c r="AM204" i="45" a="1"/>
  <c r="AI179" i="45" a="1"/>
  <c r="N233" i="45" a="1"/>
  <c r="O232" i="45" a="1"/>
  <c r="AS133" i="45" a="1"/>
  <c r="H140" i="41" a="1"/>
  <c r="AL181" i="45" a="1"/>
  <c r="AC131" i="45" a="1"/>
  <c r="AB204" i="45" a="1"/>
  <c r="AB129" i="45" a="1"/>
  <c r="O132" i="45" a="1"/>
  <c r="AV128" i="45" a="1"/>
  <c r="H57" i="52" a="1"/>
  <c r="I8" i="52" a="1"/>
  <c r="BC204" i="45" a="1"/>
  <c r="I129" i="45" a="1"/>
  <c r="AM208" i="45" a="1"/>
  <c r="E110" i="41" a="1"/>
  <c r="H59" i="41" a="1"/>
  <c r="S233" i="45" a="1"/>
  <c r="R128" i="45" a="1"/>
  <c r="D30" i="52" a="1"/>
  <c r="E57" i="41" a="1"/>
  <c r="BB204" i="45" a="1"/>
  <c r="X183" i="45" a="1"/>
  <c r="X204" i="45" a="1"/>
  <c r="O178" i="45" a="1"/>
  <c r="D89" i="41" a="1"/>
  <c r="AR178" i="45" a="1"/>
  <c r="AL133" i="45" a="1"/>
  <c r="AW154" i="45" a="1"/>
  <c r="AV182" i="45" a="1"/>
  <c r="H56" i="52" a="1"/>
  <c r="BG133" i="45" a="1"/>
  <c r="AM181" i="45" a="1"/>
  <c r="AW179" i="45" a="1"/>
  <c r="S154" i="45" a="1"/>
  <c r="BB132" i="45" a="1"/>
  <c r="S229" i="45" a="1"/>
  <c r="E55" i="52" a="1"/>
  <c r="AH129" i="45" a="1"/>
  <c r="AH206" i="45" a="1"/>
  <c r="AL179" i="45" a="1"/>
  <c r="AM154" i="45" a="1"/>
  <c r="O205" i="45" a="1"/>
  <c r="E135" i="41" a="1"/>
  <c r="AB154" i="45" a="1"/>
  <c r="AB157" i="45" a="1"/>
  <c r="Y183" i="45" a="1"/>
  <c r="AM179" i="45" a="1"/>
  <c r="AV130" i="45" a="1"/>
  <c r="BB206" i="45" a="1"/>
  <c r="X158" i="45" a="1"/>
  <c r="AC207" i="45" a="1"/>
  <c r="D5" i="52" a="1"/>
  <c r="E137" i="41" a="1"/>
  <c r="AS158" i="45" a="1"/>
  <c r="N131" i="45" a="1"/>
  <c r="O204" i="45" a="1"/>
  <c r="Y132" i="45" a="1"/>
  <c r="E56" i="52" a="1"/>
  <c r="I55" i="52" a="1"/>
  <c r="AR133" i="45" a="1"/>
  <c r="N156" i="45" a="1"/>
  <c r="E131" i="45" a="1"/>
  <c r="AI157" i="45" a="1"/>
  <c r="AI183" i="45" a="1"/>
  <c r="AL131" i="45" a="1"/>
  <c r="O228" i="45" a="1"/>
  <c r="AM131" i="45" a="1"/>
  <c r="H6" i="52" a="1"/>
  <c r="H130" i="45" a="1"/>
  <c r="H57" i="41" a="1"/>
  <c r="D112" i="41" a="1"/>
  <c r="AB133" i="45" a="1"/>
  <c r="I54" i="41" a="1"/>
  <c r="N232" i="45" a="1"/>
  <c r="S156" i="45" a="1"/>
  <c r="AR132" i="45" a="1"/>
  <c r="X179" i="45" a="1"/>
  <c r="BG183" i="45" a="1"/>
  <c r="BG208" i="45" a="1"/>
  <c r="D8" i="41" a="1"/>
  <c r="S129" i="45" a="1"/>
  <c r="Y129" i="45" a="1"/>
  <c r="BC130" i="45" a="1"/>
  <c r="AW183" i="45" a="1"/>
  <c r="AC133" i="45" a="1"/>
  <c r="O183" i="45" a="1"/>
  <c r="BF132" i="45" a="1"/>
  <c r="S232" i="45" a="1"/>
  <c r="I89" i="41" a="1"/>
  <c r="BB128" i="45" a="1"/>
  <c r="D57" i="52" a="1"/>
  <c r="H113" i="41" a="1"/>
  <c r="AW128" i="45" a="1"/>
  <c r="H135" i="41" a="1"/>
  <c r="Y205" i="45" a="1"/>
  <c r="AB182" i="45" a="1"/>
  <c r="D114" i="41" a="1"/>
  <c r="AH207" i="45" a="1"/>
  <c r="BC203" i="45" a="1"/>
  <c r="AB132" i="45" a="1"/>
  <c r="H128" i="45" a="1"/>
  <c r="AI208" i="45" a="1"/>
  <c r="AR155" i="45" a="1"/>
  <c r="D59" i="52" a="1"/>
  <c r="H85" i="41" a="1"/>
  <c r="AR182" i="45" a="1"/>
  <c r="AR129" i="45" a="1"/>
  <c r="BG128" i="45" a="1"/>
  <c r="BB181" i="45" a="1"/>
  <c r="O129" i="45" a="1"/>
  <c r="AM158" i="45" a="1"/>
  <c r="N205" i="45" a="1"/>
  <c r="D110" i="41" a="1"/>
  <c r="BF129" i="45" a="1"/>
  <c r="BB130" i="45" a="1"/>
  <c r="E128" i="45" a="1"/>
  <c r="D9" i="41" a="1"/>
  <c r="I110" i="41" a="1"/>
  <c r="AW156" i="45" a="1"/>
  <c r="BF207" i="45" a="1"/>
  <c r="S206" i="45" a="1"/>
  <c r="N157" i="45" a="1"/>
  <c r="E132" i="45" a="1"/>
  <c r="X133" i="45" a="1"/>
  <c r="AS182" i="45" a="1"/>
  <c r="AC181" i="45" a="1"/>
  <c r="AV183" i="45" a="1"/>
  <c r="AM156" i="45" a="1"/>
  <c r="AI133" i="45" a="1"/>
  <c r="I128" i="45" a="1"/>
  <c r="S158" i="45" a="1"/>
  <c r="AC158" i="45" a="1"/>
  <c r="BG158" i="45" a="1"/>
  <c r="D33" i="52" a="1"/>
  <c r="AS155" i="45" a="1"/>
  <c r="BC153" i="45" a="1"/>
  <c r="BF133" i="45" a="1"/>
  <c r="BF181" i="45" a="1"/>
  <c r="I138" i="41" a="1"/>
  <c r="I111" i="41" a="1"/>
  <c r="AS157" i="45" a="1"/>
  <c r="AM133" i="45" a="1"/>
  <c r="N207" i="45" a="1"/>
  <c r="H33" i="52" a="1"/>
  <c r="BF179" i="45" a="1"/>
  <c r="AW130" i="45" a="1"/>
  <c r="E54" i="41" a="1"/>
  <c r="R129" i="45" a="1"/>
  <c r="H34" i="52" a="1"/>
  <c r="X157" i="45" a="1"/>
  <c r="X131" i="45" a="1"/>
  <c r="BC128" i="45" a="1"/>
  <c r="AS183" i="45" a="1"/>
  <c r="AC128" i="45" a="1"/>
  <c r="S128" i="45" a="1"/>
  <c r="AH203" i="45" a="1"/>
  <c r="N153" i="45" a="1"/>
  <c r="BC133" i="45" a="1"/>
  <c r="D113" i="41" a="1"/>
  <c r="D4" i="52" a="1"/>
  <c r="R156" i="45" a="1"/>
  <c r="O182" i="45" a="1"/>
  <c r="AS180" i="45" a="1"/>
  <c r="I56" i="41" a="1"/>
  <c r="AH133" i="45" a="1"/>
  <c r="E112" i="41" a="1"/>
  <c r="BC132" i="45" a="1"/>
  <c r="AC183" i="45" a="1"/>
  <c r="H31" i="52" a="1"/>
  <c r="BB153" i="45" a="1"/>
  <c r="D133" i="45" a="1"/>
  <c r="AS178" i="45" a="1"/>
  <c r="D87" i="41" a="1"/>
  <c r="N130" i="45" a="1"/>
  <c r="I88" i="41" a="1"/>
  <c r="R131" i="45" a="1"/>
  <c r="R133" i="45" a="1"/>
  <c r="I59" i="41" a="1"/>
  <c r="AH153" i="45" a="1"/>
  <c r="AH154" i="45" a="1"/>
  <c r="BC181" i="45" a="1"/>
  <c r="H55" i="41" a="1"/>
  <c r="I59" i="52" a="1"/>
  <c r="AB203" i="45" a="1"/>
  <c r="BC129" i="45" a="1"/>
  <c r="O128" i="45" a="1"/>
  <c r="H7" i="52" a="1"/>
  <c r="D34" i="52" a="1"/>
  <c r="AI182" i="45" a="1"/>
  <c r="BB183" i="45" a="1"/>
  <c r="AW129" i="45" a="1"/>
  <c r="AI206" i="45" a="1"/>
  <c r="H132" i="45" a="1"/>
  <c r="AL206" i="45" a="1"/>
  <c r="I57" i="41" a="1"/>
  <c r="R232" i="45" a="1"/>
  <c r="BB155" i="45" a="1"/>
  <c r="AV129" i="45" a="1"/>
  <c r="AS181" i="45" a="1"/>
  <c r="BC180" i="45" a="1"/>
  <c r="AB153" i="45" a="1"/>
  <c r="D31" i="52" a="1"/>
  <c r="AW181" i="45" a="1"/>
  <c r="E58" i="52" a="1"/>
  <c r="I29" i="52" a="1"/>
  <c r="BG203" i="45" a="1"/>
  <c r="BB157" i="45" a="1"/>
  <c r="I115" i="41" a="1"/>
  <c r="O154" i="45" a="1"/>
  <c r="AS128" i="45" a="1"/>
  <c r="D58" i="52" a="1"/>
  <c r="AV181" i="45" a="1"/>
  <c r="E4" i="52" a="1"/>
  <c r="E129" i="45" a="1"/>
  <c r="H114" i="41" a="1"/>
  <c r="R228" i="45" a="1"/>
  <c r="AW155" i="45" a="1"/>
  <c r="R205" i="45" a="1"/>
  <c r="AC208" i="45" a="1"/>
  <c r="I7" i="52" a="1"/>
  <c r="E55" i="41" a="1"/>
  <c r="AI181" i="45" a="1"/>
  <c r="H138" i="41" a="1"/>
  <c r="S207" i="45" a="1"/>
  <c r="H112" i="41" a="1"/>
  <c r="Y156" i="45" a="1"/>
  <c r="AB207" i="45" a="1"/>
  <c r="E8" i="52" a="1"/>
  <c r="BB156" i="45" a="1"/>
  <c r="AL155" i="45" a="1"/>
  <c r="D57" i="41" a="1"/>
  <c r="D132" i="45" a="1"/>
  <c r="BC205" i="45" a="1"/>
  <c r="AV179" i="45" a="1"/>
  <c r="BF128" i="45" a="1"/>
  <c r="N178" i="45" a="1"/>
  <c r="H58" i="52" a="1"/>
  <c r="AC156" i="45" a="1"/>
  <c r="H4" i="52" a="1"/>
  <c r="BC156" i="45" a="1"/>
  <c r="H137" i="41" a="1"/>
  <c r="AC153" i="45" a="1"/>
  <c r="S204" i="45" a="1"/>
  <c r="D88" i="41" a="1"/>
  <c r="I5" i="52" a="1"/>
  <c r="I135" i="41" a="1"/>
  <c r="BG153" i="45" a="1"/>
  <c r="E86" i="41" a="1"/>
  <c r="S157" i="45" a="1"/>
  <c r="AI154" i="45" a="1"/>
  <c r="O130" i="45" a="1"/>
  <c r="I132" i="45" a="1"/>
  <c r="AW153" i="45" a="1"/>
  <c r="H139" i="41" a="1"/>
  <c r="O153" i="45" a="1"/>
  <c r="N204" i="45" a="1"/>
  <c r="BF182" i="45" a="1"/>
  <c r="H88" i="41" a="1"/>
  <c r="E34" i="52" a="1"/>
  <c r="I139" i="41" a="1"/>
  <c r="AR158" i="45" a="1"/>
  <c r="AB131" i="45" a="1"/>
  <c r="N179" i="45" a="1"/>
  <c r="AH182" i="45" a="1"/>
  <c r="AW157" i="45" a="1"/>
  <c r="AM182" i="45" a="1"/>
  <c r="I33" i="52" a="1"/>
  <c r="AM129" i="45" a="1"/>
  <c r="S205" i="45" a="1"/>
  <c r="AR181" i="45" a="1"/>
  <c r="I140" i="41" a="1"/>
  <c r="S179" i="45" a="1"/>
  <c r="E90" i="41" a="1"/>
  <c r="AC206" i="45" a="1"/>
  <c r="R230" i="45" a="1"/>
  <c r="AI128" i="45" a="1"/>
  <c r="BC154" i="45" a="1"/>
  <c r="BG154" i="45" a="1"/>
  <c r="AB208" i="45" a="1"/>
  <c r="E87" i="41" a="1"/>
  <c r="AC157" i="45" a="1"/>
  <c r="X129" i="45" a="1"/>
  <c r="BG129" i="45" a="1"/>
  <c r="AM203" i="45" a="1"/>
  <c r="BF206" i="45" a="1"/>
  <c r="Y131" i="45" a="1"/>
  <c r="E29" i="52" a="1"/>
  <c r="AW182" i="45" a="1"/>
  <c r="H136" i="41" a="1"/>
  <c r="X156" i="45" a="1"/>
  <c r="D56" i="41" a="1"/>
  <c r="R181" i="45" a="1"/>
  <c r="BG155" i="45" a="1"/>
  <c r="D130" i="45" a="1"/>
  <c r="BF157" i="45" a="1"/>
  <c r="AB205" i="45" a="1"/>
  <c r="O203" i="45" a="1"/>
  <c r="S153" i="45" a="1"/>
  <c r="BC178" i="45" a="1"/>
  <c r="D6" i="41" a="1"/>
  <c r="BB182" i="45" a="1"/>
  <c r="BC158" i="45" a="1"/>
  <c r="D7" i="52" a="1"/>
  <c r="AW132" i="45" a="1"/>
  <c r="AS179" i="45" a="1"/>
  <c r="Y155" i="45" a="1"/>
  <c r="AI180" i="45" a="1"/>
  <c r="H30" i="52" a="1"/>
  <c r="O155" i="45" a="1"/>
  <c r="AL132" i="45" a="1"/>
  <c r="AC179" i="45" a="1"/>
  <c r="S208" i="45" a="1"/>
  <c r="S181" i="45" a="1"/>
  <c r="BB207" i="45" a="1"/>
  <c r="O206" i="45" a="1"/>
  <c r="I112" i="41" a="1"/>
  <c r="AL183" i="45" a="1"/>
  <c r="H89" i="41" a="1"/>
  <c r="AL208" i="45" a="1"/>
  <c r="E114" i="41" a="1"/>
  <c r="E138" i="41" a="1"/>
  <c r="D138" i="41" a="1"/>
  <c r="BG204" i="45" a="1"/>
  <c r="O233" i="45" a="1"/>
  <c r="AM205" i="45" a="1"/>
  <c r="X206" i="45" a="1"/>
  <c r="AL182" i="45" a="1"/>
  <c r="R158" i="45" a="1"/>
  <c r="H111" i="41" a="1"/>
  <c r="AC154" i="45" a="1"/>
  <c r="I136" i="41" a="1"/>
  <c r="AW158" i="45" a="1"/>
  <c r="O133" i="45" a="1"/>
  <c r="AV133" i="45" a="1"/>
  <c r="BC182" i="45" a="1"/>
  <c r="H32" i="52" a="1"/>
  <c r="I90" i="41" a="1"/>
  <c r="AM178" i="45" a="1"/>
  <c r="N129" i="45" a="1"/>
  <c r="N230" i="45" a="1"/>
  <c r="AV155" i="45" a="1"/>
  <c r="AL153" i="45" a="1"/>
  <c r="N206" i="45" a="1"/>
  <c r="E30" i="52" a="1"/>
  <c r="AH205" i="45" a="1"/>
  <c r="AM183" i="45" a="1"/>
  <c r="R233" i="45" a="1"/>
  <c r="N203" i="45" a="1"/>
  <c r="S203" i="45" a="1"/>
  <c r="AI132" i="45" a="1"/>
  <c r="BG156" i="45" a="1"/>
  <c r="O207" i="45" a="1"/>
  <c r="AI204" i="45" a="1"/>
  <c r="E111" i="41" a="1"/>
  <c r="BB158" i="45" a="1"/>
  <c r="N181" i="45" a="1"/>
  <c r="D59" i="41" a="1"/>
  <c r="BG181" i="45" a="1"/>
  <c r="AC203" i="45" a="1"/>
  <c r="R157" i="45" a="1"/>
  <c r="D136" i="41" a="1"/>
  <c r="BF208" i="45" a="1"/>
  <c r="BB131" i="45" a="1"/>
  <c r="AB178" i="45" a="1"/>
  <c r="BG207" i="45" a="1"/>
  <c r="X181" i="45" a="1"/>
  <c r="BF183" i="45" a="1"/>
  <c r="N231" i="45" a="1"/>
  <c r="O229" i="45" a="1"/>
  <c r="I133" i="45" a="1"/>
  <c r="AL130" i="45" a="1"/>
  <c r="AM128" i="45" a="1"/>
  <c r="E5" i="52" a="1"/>
  <c r="BB203" i="45" a="1"/>
  <c r="AH179" i="45" a="1"/>
  <c r="AB156" i="45" a="1"/>
  <c r="AC132" i="45" a="1"/>
  <c r="R154" i="45" a="1"/>
  <c r="AS156" i="45" a="1"/>
  <c r="AM206" i="45" a="1"/>
  <c r="I85" i="41" a="1"/>
  <c r="BG180" i="45" a="1"/>
  <c r="I131" i="45" a="1"/>
  <c r="D86" i="41" a="1"/>
  <c r="R153" i="45" a="1"/>
  <c r="BB133" i="45" a="1"/>
  <c r="BC183" i="45" a="1"/>
  <c r="I137" i="41" a="1"/>
  <c r="AV153" i="45" a="1"/>
  <c r="AR131" i="45" a="1"/>
  <c r="AR128" i="45" a="1"/>
  <c r="I6" i="52" a="1"/>
  <c r="AC182" i="45" a="1"/>
  <c r="AI131" i="45" a="1"/>
  <c r="R132" i="45" a="1"/>
  <c r="AM132" i="45" a="1"/>
  <c r="E136" i="41" a="1"/>
  <c r="Y181" i="45" a="1"/>
  <c r="H86" i="41" a="1"/>
  <c r="O230" i="45" a="1"/>
  <c r="Y153" i="45" a="1"/>
  <c r="E130" i="45" a="1"/>
  <c r="I58" i="41" a="1"/>
  <c r="AM130" i="45" a="1"/>
  <c r="E56" i="41" a="1"/>
  <c r="I130" i="45" a="1"/>
  <c r="N128" i="45" a="1"/>
  <c r="AW180" i="45" a="1"/>
  <c r="X180" i="45" a="1"/>
  <c r="Y154" i="45" a="1"/>
  <c r="H8" i="52" a="1"/>
  <c r="R155" i="45" a="1"/>
  <c r="AH183" i="45" a="1"/>
  <c r="AI155" i="45" a="1"/>
  <c r="X182" i="45" a="1"/>
  <c r="AS131" i="45" a="1"/>
  <c r="E85" i="41" a="1"/>
  <c r="O180" i="45" a="1"/>
  <c r="S178" i="45" a="1"/>
  <c r="N132" i="45" a="1"/>
  <c r="AB179" i="45" a="1"/>
  <c r="Y130" i="45" a="1"/>
  <c r="AL180" i="45" a="1"/>
  <c r="R208" i="45" a="1"/>
  <c r="W9" i="51"/>
  <c r="H55" i="52" a="1"/>
  <c r="BG179" i="45" a="1"/>
  <c r="AV154" i="45" a="1"/>
  <c r="AR130" i="45" a="1"/>
  <c r="E54" i="52" a="1"/>
  <c r="X130" i="45" a="1"/>
  <c r="X207" i="45" a="1"/>
  <c r="R229" i="45" a="1"/>
  <c r="D128" i="45" a="1"/>
  <c r="Y157" i="45" a="1"/>
  <c r="AS153" i="45" a="1"/>
  <c r="S230" i="45" a="1"/>
  <c r="N208" i="45" a="1"/>
  <c r="AH180" i="45" a="1"/>
  <c r="H56" i="41" a="1"/>
  <c r="I58" i="52" a="1"/>
  <c r="BB208" i="45" a="1"/>
  <c r="I30" i="52" a="1"/>
  <c r="BB179" i="45" a="1"/>
  <c r="BB154" i="45" a="1"/>
  <c r="AL128" i="45" a="1"/>
  <c r="H90" i="41" a="1"/>
  <c r="AB155" i="45" a="1"/>
  <c r="D111" i="41" a="1"/>
  <c r="BB129" i="45" a="1"/>
  <c r="AS154" i="45" a="1"/>
  <c r="E6" i="52" a="1"/>
  <c r="BG132" i="45" a="1"/>
  <c r="D140" i="41" a="1"/>
  <c r="BC207" i="45" a="1"/>
  <c r="H129" i="45" a="1"/>
  <c r="AI153" i="45" a="1"/>
  <c r="E115" i="41" a="1"/>
  <c r="AV132" i="45" a="1"/>
  <c r="Y128" i="45" a="1"/>
  <c r="AH208" i="45" a="1"/>
  <c r="AV156" i="45" a="1"/>
  <c r="AB180" i="45" a="1"/>
  <c r="BG182" i="45" a="1"/>
  <c r="E58" i="41" a="1"/>
  <c r="AC204" i="45" a="1"/>
  <c r="BF180" i="45" a="1"/>
  <c r="H87" i="41" a="1"/>
  <c r="D7" i="41" a="1"/>
  <c r="R204" i="45" a="1"/>
  <c r="I32" i="52" a="1"/>
  <c r="Y204" i="45" a="1"/>
  <c r="BF203" i="45" a="1"/>
  <c r="H59" i="52" a="1"/>
  <c r="I86" i="41" a="1"/>
  <c r="I56" i="52" a="1"/>
  <c r="R179" i="45" a="1"/>
  <c r="E32" i="52" a="1"/>
  <c r="AR156" i="45" a="1"/>
  <c r="BG157" i="45" a="1"/>
  <c r="AC130" i="45" a="1"/>
  <c r="S182" i="45" a="1"/>
  <c r="I57" i="52" a="1"/>
  <c r="BF205" i="45" a="1"/>
  <c r="AR153" i="45" a="1"/>
  <c r="H58" i="41" a="1"/>
  <c r="AL203" i="45" a="1"/>
  <c r="H5" i="52" a="1"/>
  <c r="AL158" i="45" a="1"/>
  <c r="E57" i="52" a="1"/>
  <c r="AM153" i="45" a="1"/>
  <c r="R203" i="45" a="1"/>
  <c r="AV157" i="45" a="1"/>
  <c r="BF155" i="45" a="1"/>
  <c r="N154" i="45" a="1"/>
  <c r="N155" i="45" a="1"/>
  <c r="O131" i="45" a="1"/>
  <c r="AL156" i="45" a="1"/>
  <c r="Y158" i="45" a="1"/>
  <c r="AB181" i="45" a="1"/>
  <c r="H133" i="45" a="1"/>
  <c r="BC157" i="45" a="1"/>
  <c r="D139" i="41" a="1"/>
  <c r="BC179" i="45" a="1"/>
  <c r="AL207" i="45" a="1"/>
  <c r="D54" i="41" a="1"/>
  <c r="O156" i="45" a="1"/>
  <c r="I9" i="52" a="1"/>
  <c r="AW133" i="45" a="1"/>
  <c r="AV158" i="45" a="1"/>
  <c r="E113" i="41" a="1"/>
  <c r="BC206" i="45" a="1"/>
  <c r="D32" i="52" a="1"/>
  <c r="BB178" i="45" a="1"/>
  <c r="AC129" i="45" a="1"/>
  <c r="R231" i="45" a="1"/>
  <c r="AH158" i="45" a="1"/>
  <c r="E88" i="41" a="1"/>
  <c r="Y207" i="45" a="1"/>
  <c r="E33" i="52" a="1"/>
  <c r="AI129" i="45" a="1"/>
  <c r="BC131" i="45" a="1"/>
  <c r="D129" i="45" a="1"/>
  <c r="Y180" i="45" a="1"/>
  <c r="I113" i="41" a="1"/>
  <c r="N182" i="45" a="1"/>
  <c r="D85" i="41" a="1"/>
  <c r="Y182" i="45" a="1"/>
  <c r="Y178" i="45" a="1"/>
  <c r="H110" i="41" a="1"/>
  <c r="AV131" i="45" a="1"/>
  <c r="BG205" i="45" a="1"/>
  <c r="AB206" i="45" a="1"/>
  <c r="AM207" i="45" a="1"/>
  <c r="D115" i="41" a="1"/>
  <c r="D131" i="45" a="1"/>
  <c r="I54" i="52" a="1"/>
  <c r="D9" i="52" a="1"/>
  <c r="AL157" i="45" a="1"/>
  <c r="AH128" i="45" a="1"/>
  <c r="S133" i="45" a="1"/>
  <c r="S231" i="45" a="1"/>
  <c r="N228" i="45" a="1"/>
  <c r="AW178" i="45" a="1"/>
  <c r="X208" i="45" a="1"/>
  <c r="BB205" i="45" a="1"/>
  <c r="D58" i="41" a="1"/>
  <c r="S204" i="45" l="1"/>
  <c r="AC203" i="45"/>
  <c r="AM206" i="45"/>
  <c r="BB178" i="45"/>
  <c r="R230" i="45"/>
  <c r="BB158" i="45"/>
  <c r="AS128" i="45"/>
  <c r="N204" i="45"/>
  <c r="O182" i="45"/>
  <c r="S231" i="45"/>
  <c r="AI128" i="45"/>
  <c r="Y205" i="45"/>
  <c r="S153" i="45"/>
  <c r="AM203" i="45"/>
  <c r="AH208" i="45"/>
  <c r="AI133" i="45"/>
  <c r="AH128" i="45"/>
  <c r="AL131" i="45"/>
  <c r="O233" i="45"/>
  <c r="AH207" i="45"/>
  <c r="Y130" i="45"/>
  <c r="BF130" i="45"/>
  <c r="AM204" i="45"/>
  <c r="BG153" i="45"/>
  <c r="AM208" i="45"/>
  <c r="BF204" i="45"/>
  <c r="AS179" i="45"/>
  <c r="BB130" i="45"/>
  <c r="AH203" i="45"/>
  <c r="AW178" i="45"/>
  <c r="AS154" i="45"/>
  <c r="X180" i="45"/>
  <c r="AI182" i="45"/>
  <c r="R154" i="45"/>
  <c r="AL205" i="45"/>
  <c r="BC179" i="45"/>
  <c r="R181" i="45"/>
  <c r="S157" i="45"/>
  <c r="R157" i="45"/>
  <c r="BF206" i="45"/>
  <c r="N181" i="45"/>
  <c r="AI132" i="45"/>
  <c r="AI154" i="45"/>
  <c r="BG157" i="45"/>
  <c r="BF178" i="45"/>
  <c r="AM179" i="45"/>
  <c r="AV132" i="45"/>
  <c r="AI156" i="45"/>
  <c r="AV158" i="45"/>
  <c r="BB207" i="45"/>
  <c r="BB131" i="45"/>
  <c r="Y154" i="45"/>
  <c r="BG131" i="45"/>
  <c r="Y129" i="45"/>
  <c r="AV155" i="45"/>
  <c r="X128" i="45"/>
  <c r="AM156" i="45"/>
  <c r="AR133" i="45"/>
  <c r="AC131" i="45"/>
  <c r="R208" i="45"/>
  <c r="AR132" i="45"/>
  <c r="AL208" i="45"/>
  <c r="AI206" i="45"/>
  <c r="BG158" i="45"/>
  <c r="O231" i="45"/>
  <c r="BB206" i="45"/>
  <c r="N180" i="45"/>
  <c r="AM131" i="45"/>
  <c r="AR130" i="45"/>
  <c r="O204" i="45"/>
  <c r="AM205" i="45"/>
  <c r="AC129" i="45"/>
  <c r="BB183" i="45"/>
  <c r="AB179" i="45"/>
  <c r="AV133" i="45"/>
  <c r="BB179" i="45"/>
  <c r="BG130" i="45"/>
  <c r="BF182" i="45"/>
  <c r="AI208" i="45"/>
  <c r="AR129" i="45"/>
  <c r="BF208" i="45"/>
  <c r="AI180" i="45"/>
  <c r="AL129" i="45"/>
  <c r="BF158" i="45"/>
  <c r="Y158" i="45"/>
  <c r="S228" i="45"/>
  <c r="BB181" i="45"/>
  <c r="N178" i="45"/>
  <c r="BC133" i="45"/>
  <c r="R229" i="45"/>
  <c r="O181" i="45"/>
  <c r="AW158" i="45"/>
  <c r="BC182" i="45"/>
  <c r="BB182" i="45"/>
  <c r="N228" i="45"/>
  <c r="S178" i="45"/>
  <c r="X153" i="45"/>
  <c r="AI179" i="45"/>
  <c r="AR156" i="45"/>
  <c r="Y156" i="45"/>
  <c r="X129" i="45"/>
  <c r="AI183" i="45"/>
  <c r="BG178" i="45"/>
  <c r="S207" i="45"/>
  <c r="AV179" i="45"/>
  <c r="O158" i="45"/>
  <c r="AM132" i="45"/>
  <c r="Y153" i="45"/>
  <c r="AM133" i="45"/>
  <c r="AV153" i="45"/>
  <c r="X131" i="45"/>
  <c r="AL204" i="45"/>
  <c r="X154" i="45"/>
  <c r="AI131" i="45"/>
  <c r="AW130" i="45"/>
  <c r="S181" i="45"/>
  <c r="BC153" i="45"/>
  <c r="AS180" i="45"/>
  <c r="AC153" i="45"/>
  <c r="AH131" i="45"/>
  <c r="S203" i="45"/>
  <c r="O156" i="45"/>
  <c r="BC130" i="45"/>
  <c r="R232" i="45"/>
  <c r="AM180" i="45"/>
  <c r="X178" i="45"/>
  <c r="X133" i="45"/>
  <c r="BC128" i="45"/>
  <c r="X130" i="45"/>
  <c r="AL182" i="45"/>
  <c r="AI157" i="45"/>
  <c r="O180" i="45"/>
  <c r="AS158" i="45"/>
  <c r="BB133" i="45"/>
  <c r="AB157" i="45"/>
  <c r="AW133" i="45"/>
  <c r="AL154" i="45"/>
  <c r="R203" i="45"/>
  <c r="X158" i="45"/>
  <c r="BC178" i="45"/>
  <c r="AV157" i="45"/>
  <c r="N183" i="45"/>
  <c r="R179" i="45"/>
  <c r="X183" i="45"/>
  <c r="AC132" i="45"/>
  <c r="AC205" i="45"/>
  <c r="BB128" i="45"/>
  <c r="AC158" i="45"/>
  <c r="BF153" i="45"/>
  <c r="BC207" i="45"/>
  <c r="R178" i="45"/>
  <c r="S230" i="45"/>
  <c r="R182" i="45"/>
  <c r="O206" i="45"/>
  <c r="AL133" i="45"/>
  <c r="BC180" i="45"/>
  <c r="BF131" i="45"/>
  <c r="AH130" i="45"/>
  <c r="AM153" i="45"/>
  <c r="N182" i="45"/>
  <c r="X208" i="45"/>
  <c r="AM183" i="45"/>
  <c r="AH178" i="45"/>
  <c r="AR183" i="45"/>
  <c r="AV128" i="45"/>
  <c r="BC208" i="45"/>
  <c r="AC178" i="45"/>
  <c r="R155" i="45"/>
  <c r="BC131" i="45"/>
  <c r="AW181" i="45"/>
  <c r="AL156" i="45"/>
  <c r="X204" i="45"/>
  <c r="S232" i="45"/>
  <c r="AH132" i="45"/>
  <c r="AW153" i="45"/>
  <c r="S233" i="45"/>
  <c r="Y206" i="45"/>
  <c r="AC206" i="45"/>
  <c r="AV129" i="45"/>
  <c r="AW128" i="45"/>
  <c r="AW154" i="45"/>
  <c r="AR179" i="45"/>
  <c r="O154" i="45"/>
  <c r="BC132" i="45"/>
  <c r="N179" i="45"/>
  <c r="AM129" i="45"/>
  <c r="BF133" i="45"/>
  <c r="BB204" i="45"/>
  <c r="BB154" i="45"/>
  <c r="BF183" i="45"/>
  <c r="S179" i="45"/>
  <c r="BF154" i="45"/>
  <c r="AH180" i="45"/>
  <c r="AS131" i="45"/>
  <c r="AH154" i="45"/>
  <c r="AB183" i="45"/>
  <c r="AM154" i="45"/>
  <c r="BG183" i="45"/>
  <c r="AL180" i="45"/>
  <c r="N157" i="45"/>
  <c r="S208" i="45"/>
  <c r="BG181" i="45"/>
  <c r="AM128" i="45"/>
  <c r="BG129" i="45"/>
  <c r="AS178" i="45"/>
  <c r="AB131" i="45"/>
  <c r="AR182" i="45"/>
  <c r="BG155" i="45"/>
  <c r="BB157" i="45"/>
  <c r="BG206" i="45"/>
  <c r="AV156" i="45"/>
  <c r="O207" i="45"/>
  <c r="BC206" i="45"/>
  <c r="S182" i="45"/>
  <c r="Y131" i="45"/>
  <c r="AM155" i="45"/>
  <c r="BC183" i="45"/>
  <c r="Y203" i="45"/>
  <c r="BF207" i="45"/>
  <c r="N158" i="45"/>
  <c r="AR178" i="45"/>
  <c r="AL132" i="45"/>
  <c r="BG180" i="45"/>
  <c r="AC181" i="45"/>
  <c r="X181" i="45"/>
  <c r="BB129" i="45"/>
  <c r="AS155" i="45"/>
  <c r="AI178" i="45"/>
  <c r="S229" i="45"/>
  <c r="AC183" i="45"/>
  <c r="AS181" i="45"/>
  <c r="AW180" i="45"/>
  <c r="O203" i="45"/>
  <c r="R233" i="45"/>
  <c r="BG205" i="45"/>
  <c r="AI181" i="45"/>
  <c r="S180" i="45"/>
  <c r="AL128" i="45"/>
  <c r="AB208" i="45"/>
  <c r="BB156" i="45"/>
  <c r="S206" i="45"/>
  <c r="AI203" i="45"/>
  <c r="AB180" i="45"/>
  <c r="AM130" i="45"/>
  <c r="BG208" i="45"/>
  <c r="X205" i="45"/>
  <c r="Y208" i="45"/>
  <c r="AB182" i="45"/>
  <c r="AB132" i="45"/>
  <c r="AV154" i="45"/>
  <c r="AB130" i="45"/>
  <c r="AS153" i="45"/>
  <c r="AS129" i="45"/>
  <c r="X207" i="45"/>
  <c r="O178" i="45"/>
  <c r="AL206" i="45"/>
  <c r="R228" i="45"/>
  <c r="BC129" i="45"/>
  <c r="X157" i="45"/>
  <c r="Y182" i="45"/>
  <c r="AH129" i="45"/>
  <c r="AV183" i="45"/>
  <c r="AL183" i="45"/>
  <c r="AH133" i="45"/>
  <c r="Y179" i="45"/>
  <c r="AM178" i="45"/>
  <c r="AB156" i="45"/>
  <c r="AW129" i="45"/>
  <c r="AW155" i="45"/>
  <c r="AM182" i="45"/>
  <c r="BG179" i="45"/>
  <c r="AS157" i="45"/>
  <c r="AB204" i="45"/>
  <c r="BC156" i="45"/>
  <c r="X179" i="45"/>
  <c r="AC154" i="45"/>
  <c r="Y180" i="45"/>
  <c r="N155" i="45"/>
  <c r="AM207" i="45"/>
  <c r="AW156" i="45"/>
  <c r="R183" i="45"/>
  <c r="BC181" i="45"/>
  <c r="BB208" i="45"/>
  <c r="AI205" i="45"/>
  <c r="BF128" i="45"/>
  <c r="BB180" i="45"/>
  <c r="N232" i="45"/>
  <c r="AS156" i="45"/>
  <c r="AH156" i="45"/>
  <c r="R180" i="45"/>
  <c r="R206" i="45"/>
  <c r="R231" i="45"/>
  <c r="AH206" i="45"/>
  <c r="N205" i="45"/>
  <c r="BG133" i="45"/>
  <c r="AS182" i="45"/>
  <c r="Y207" i="45"/>
  <c r="AB155" i="45"/>
  <c r="O157" i="45"/>
  <c r="AL181" i="45"/>
  <c r="Y178" i="45"/>
  <c r="AC208" i="45"/>
  <c r="AC157" i="45"/>
  <c r="AI155" i="45"/>
  <c r="AL179" i="45"/>
  <c r="AR153" i="45"/>
  <c r="X206" i="45"/>
  <c r="AM157" i="45"/>
  <c r="BF156" i="45"/>
  <c r="O153" i="45"/>
  <c r="BF132" i="45"/>
  <c r="AR157" i="45"/>
  <c r="N154" i="45"/>
  <c r="AH181" i="45"/>
  <c r="AH205" i="45"/>
  <c r="Y132" i="45"/>
  <c r="X182" i="45"/>
  <c r="O229" i="45"/>
  <c r="N229" i="45"/>
  <c r="AC155" i="45"/>
  <c r="AL178" i="45"/>
  <c r="AR128" i="45"/>
  <c r="AL203" i="45"/>
  <c r="AW157" i="45"/>
  <c r="AR158" i="45"/>
  <c r="AV182" i="45"/>
  <c r="X203" i="45"/>
  <c r="AB128" i="45"/>
  <c r="AW183" i="45"/>
  <c r="AW182" i="45"/>
  <c r="AS133" i="45"/>
  <c r="AS132" i="45"/>
  <c r="X156" i="45"/>
  <c r="BF179" i="45"/>
  <c r="AH153" i="45"/>
  <c r="O208" i="45"/>
  <c r="AH155" i="45"/>
  <c r="AC156" i="45"/>
  <c r="S155" i="45"/>
  <c r="AM181" i="45"/>
  <c r="BC204" i="45"/>
  <c r="AS130" i="45"/>
  <c r="S158" i="45"/>
  <c r="AR181" i="45"/>
  <c r="BC158" i="45"/>
  <c r="X132" i="45"/>
  <c r="Y181" i="45"/>
  <c r="BG156" i="45"/>
  <c r="AL130" i="45"/>
  <c r="AH158" i="45"/>
  <c r="BF181" i="45"/>
  <c r="R158" i="45"/>
  <c r="O155" i="45"/>
  <c r="AB153" i="45"/>
  <c r="AV180" i="45"/>
  <c r="AI130" i="45"/>
  <c r="AL153" i="45"/>
  <c r="R204" i="45"/>
  <c r="AI129" i="45"/>
  <c r="X155" i="45"/>
  <c r="BG128" i="45"/>
  <c r="AB203" i="45"/>
  <c r="BG207" i="45"/>
  <c r="AC204" i="45"/>
  <c r="AI158" i="45"/>
  <c r="AW131" i="45"/>
  <c r="BB203" i="45"/>
  <c r="AB206" i="45"/>
  <c r="AC207" i="45"/>
  <c r="AH157" i="45"/>
  <c r="BF180" i="45"/>
  <c r="N203" i="45"/>
  <c r="AH182" i="45"/>
  <c r="AV181" i="45"/>
  <c r="Y157" i="45"/>
  <c r="BF203" i="45"/>
  <c r="BG182" i="45"/>
  <c r="S205" i="45"/>
  <c r="S154" i="45"/>
  <c r="AR154" i="45"/>
  <c r="AS183" i="45"/>
  <c r="BB205" i="45"/>
  <c r="N233" i="45"/>
  <c r="AV130" i="45"/>
  <c r="BF129" i="45"/>
  <c r="BG132" i="45"/>
  <c r="BC154" i="45"/>
  <c r="BC155" i="45"/>
  <c r="AC133" i="45"/>
  <c r="AL158" i="45"/>
  <c r="O205" i="45"/>
  <c r="AL157" i="45"/>
  <c r="Y204" i="45"/>
  <c r="AH204" i="45"/>
  <c r="AB181" i="45"/>
  <c r="AR180" i="45"/>
  <c r="S183" i="45"/>
  <c r="R205" i="45"/>
  <c r="AI153" i="45"/>
  <c r="O183" i="45"/>
  <c r="S156" i="45"/>
  <c r="R156" i="45"/>
  <c r="BC205" i="45"/>
  <c r="AI207" i="45"/>
  <c r="AB178" i="45"/>
  <c r="Y183" i="45"/>
  <c r="BB132" i="45"/>
  <c r="O230" i="45"/>
  <c r="AB154" i="45"/>
  <c r="O232" i="45"/>
  <c r="N207" i="45"/>
  <c r="AC180" i="45"/>
  <c r="N231" i="45"/>
  <c r="BF155" i="45"/>
  <c r="N206" i="45"/>
  <c r="AR131" i="45"/>
  <c r="N208" i="45"/>
  <c r="Y128" i="45"/>
  <c r="AV131" i="45"/>
  <c r="AM158" i="45"/>
  <c r="AH179" i="45"/>
  <c r="AC182" i="45"/>
  <c r="BF205" i="45"/>
  <c r="Y155" i="45"/>
  <c r="AB205" i="45"/>
  <c r="O228" i="45"/>
  <c r="BG203" i="45"/>
  <c r="AL155" i="45"/>
  <c r="BF157" i="45"/>
  <c r="O179" i="45"/>
  <c r="AI204" i="45"/>
  <c r="R153" i="45"/>
  <c r="N230" i="45"/>
  <c r="AC179" i="45"/>
  <c r="AC130" i="45"/>
  <c r="BB153" i="45"/>
  <c r="BC203" i="45"/>
  <c r="BG154" i="45"/>
  <c r="AB158" i="45"/>
  <c r="N153" i="45"/>
  <c r="BC157" i="45"/>
  <c r="AW179" i="45"/>
  <c r="AB129" i="45"/>
  <c r="AC128" i="45"/>
  <c r="BG204" i="45"/>
  <c r="AB207" i="45"/>
  <c r="N156" i="45"/>
  <c r="AL207" i="45"/>
  <c r="AH183" i="45"/>
  <c r="R207" i="45"/>
  <c r="AB133" i="45"/>
  <c r="Y133" i="45"/>
  <c r="BB155" i="45"/>
  <c r="AR155" i="45"/>
  <c r="AV178" i="45"/>
  <c r="AW132" i="45"/>
  <c r="D9" i="52"/>
  <c r="D6" i="52"/>
  <c r="D8" i="52"/>
  <c r="D7" i="52"/>
  <c r="D5" i="52"/>
  <c r="D4" i="52"/>
  <c r="D29" i="41"/>
  <c r="E57" i="41"/>
  <c r="D59" i="41"/>
  <c r="D55" i="41"/>
  <c r="D58" i="41"/>
  <c r="E56" i="41"/>
  <c r="E54" i="41"/>
  <c r="D56" i="41"/>
  <c r="D57" i="41"/>
  <c r="D54" i="41"/>
  <c r="E59" i="41"/>
  <c r="E58" i="41"/>
  <c r="E55" i="41"/>
  <c r="D9" i="41"/>
  <c r="D7" i="41"/>
  <c r="D5" i="41"/>
  <c r="D6" i="41"/>
  <c r="D8" i="41"/>
  <c r="I138" i="41"/>
  <c r="I137" i="41"/>
  <c r="I135" i="41"/>
  <c r="I139" i="41"/>
  <c r="I140" i="41"/>
  <c r="I136" i="41"/>
  <c r="E138" i="41"/>
  <c r="E140" i="41"/>
  <c r="E135" i="41"/>
  <c r="E136" i="41"/>
  <c r="E139" i="41"/>
  <c r="E137" i="41"/>
  <c r="E115" i="41"/>
  <c r="E114" i="41"/>
  <c r="E111" i="41"/>
  <c r="E113" i="41"/>
  <c r="E112" i="41"/>
  <c r="E110" i="41"/>
  <c r="I56" i="41"/>
  <c r="H54" i="41"/>
  <c r="I55" i="41"/>
  <c r="I54" i="41"/>
  <c r="H59" i="41"/>
  <c r="H58" i="41"/>
  <c r="I58" i="41"/>
  <c r="H57" i="41"/>
  <c r="H55" i="41"/>
  <c r="I59" i="41"/>
  <c r="H56" i="41"/>
  <c r="H54" i="52"/>
  <c r="H110" i="41"/>
  <c r="H114" i="41"/>
  <c r="H111" i="41"/>
  <c r="H115" i="41"/>
  <c r="H112" i="41"/>
  <c r="H113" i="41"/>
  <c r="I110" i="41"/>
  <c r="I114" i="41"/>
  <c r="I111" i="41"/>
  <c r="I115" i="41"/>
  <c r="I112" i="41"/>
  <c r="I113" i="41"/>
  <c r="I85" i="41"/>
  <c r="I89" i="41"/>
  <c r="I86" i="41"/>
  <c r="I90" i="41"/>
  <c r="I87" i="41"/>
  <c r="I88" i="41"/>
  <c r="H85" i="41"/>
  <c r="H86" i="41"/>
  <c r="H90" i="41"/>
  <c r="H87" i="41"/>
  <c r="H89" i="41"/>
  <c r="H88" i="41"/>
  <c r="H137" i="41"/>
  <c r="H140" i="41"/>
  <c r="H138" i="41"/>
  <c r="H139" i="41"/>
  <c r="H135" i="41"/>
  <c r="H136" i="41"/>
  <c r="D110" i="41"/>
  <c r="D114" i="41"/>
  <c r="D111" i="41"/>
  <c r="D115" i="41"/>
  <c r="D112" i="41"/>
  <c r="D113" i="41"/>
  <c r="D85" i="41"/>
  <c r="E90" i="41"/>
  <c r="E89" i="41"/>
  <c r="E88" i="41"/>
  <c r="E87" i="41"/>
  <c r="E86" i="41"/>
  <c r="E85" i="41"/>
  <c r="D90" i="41"/>
  <c r="D89" i="41"/>
  <c r="D88" i="41"/>
  <c r="D87" i="41"/>
  <c r="D86" i="41"/>
  <c r="D135" i="41"/>
  <c r="D139" i="41"/>
  <c r="D136" i="41"/>
  <c r="D140" i="41"/>
  <c r="D137" i="41"/>
  <c r="D138" i="41"/>
  <c r="S129" i="45"/>
  <c r="S128" i="45"/>
  <c r="S131" i="45"/>
  <c r="S130" i="45"/>
  <c r="S133" i="45"/>
  <c r="S132" i="45"/>
  <c r="R132" i="45"/>
  <c r="R128" i="45"/>
  <c r="R131" i="45"/>
  <c r="R130" i="45"/>
  <c r="R133" i="45"/>
  <c r="R129" i="45"/>
  <c r="N128" i="45"/>
  <c r="O129" i="45"/>
  <c r="O131" i="45"/>
  <c r="O130" i="45"/>
  <c r="O133" i="45"/>
  <c r="O132" i="45"/>
  <c r="O128" i="45"/>
  <c r="N131" i="45"/>
  <c r="N129" i="45"/>
  <c r="N130" i="45"/>
  <c r="N132" i="45"/>
  <c r="N133" i="45"/>
  <c r="D31" i="52"/>
  <c r="D34" i="52"/>
  <c r="D59" i="52"/>
  <c r="E5" i="52"/>
  <c r="E6" i="52"/>
  <c r="E7" i="52"/>
  <c r="E8" i="52"/>
  <c r="E9" i="52"/>
  <c r="E29" i="52"/>
  <c r="E30" i="52"/>
  <c r="E31" i="52"/>
  <c r="E32" i="52"/>
  <c r="E33" i="52"/>
  <c r="E34" i="52"/>
  <c r="E54" i="52"/>
  <c r="E55" i="52"/>
  <c r="E56" i="52"/>
  <c r="E57" i="52"/>
  <c r="E58" i="52"/>
  <c r="E59" i="52"/>
  <c r="D55" i="52"/>
  <c r="D29" i="52"/>
  <c r="D33" i="52"/>
  <c r="D57" i="52"/>
  <c r="H5" i="52"/>
  <c r="H6" i="52"/>
  <c r="H7" i="52"/>
  <c r="H8" i="52"/>
  <c r="H9" i="52"/>
  <c r="H29" i="52"/>
  <c r="H30" i="52"/>
  <c r="H31" i="52"/>
  <c r="H32" i="52"/>
  <c r="H33" i="52"/>
  <c r="H34" i="52"/>
  <c r="H55" i="52"/>
  <c r="H56" i="52"/>
  <c r="H57" i="52"/>
  <c r="H58" i="52"/>
  <c r="H59" i="52"/>
  <c r="D58" i="52"/>
  <c r="I4" i="52"/>
  <c r="D30" i="52"/>
  <c r="D32" i="52"/>
  <c r="D54" i="52"/>
  <c r="E4" i="52"/>
  <c r="I5" i="52"/>
  <c r="I6" i="52"/>
  <c r="I7" i="52"/>
  <c r="I8" i="52"/>
  <c r="I9" i="52"/>
  <c r="I29" i="52"/>
  <c r="I30" i="52"/>
  <c r="I31" i="52"/>
  <c r="I32" i="52"/>
  <c r="I33" i="52"/>
  <c r="I34" i="52"/>
  <c r="I54" i="52"/>
  <c r="I55" i="52"/>
  <c r="I56" i="52"/>
  <c r="I57" i="52"/>
  <c r="I58" i="52"/>
  <c r="I59" i="52"/>
  <c r="D56" i="52"/>
  <c r="H4" i="52"/>
  <c r="I128" i="45"/>
  <c r="I132" i="45"/>
  <c r="I131" i="45"/>
  <c r="I130" i="45"/>
  <c r="I133" i="45"/>
  <c r="I129" i="45"/>
  <c r="H128" i="45"/>
  <c r="H131" i="45"/>
  <c r="H132" i="45"/>
  <c r="H130" i="45"/>
  <c r="H129" i="45"/>
  <c r="H133" i="45"/>
  <c r="D128" i="45"/>
  <c r="E131" i="45"/>
  <c r="E132" i="45"/>
  <c r="E130" i="45"/>
  <c r="E128" i="45"/>
  <c r="E133" i="45"/>
  <c r="E129" i="45"/>
  <c r="D131" i="45"/>
  <c r="D132" i="45"/>
  <c r="D133" i="45"/>
  <c r="D129" i="45"/>
  <c r="D130" i="45"/>
  <c r="I57" i="41"/>
  <c r="AC52" i="55" l="1"/>
  <c r="E22" i="35" s="1"/>
  <c r="S28" i="51"/>
  <c r="R28" i="51"/>
  <c r="S26" i="51"/>
  <c r="R26" i="51"/>
  <c r="J28" i="51"/>
  <c r="I28" i="51"/>
  <c r="S24" i="51"/>
  <c r="S23" i="51"/>
  <c r="S22" i="51"/>
  <c r="S21" i="51"/>
  <c r="R24" i="51"/>
  <c r="R23" i="51"/>
  <c r="R21" i="51"/>
  <c r="R22" i="51"/>
  <c r="J26" i="51"/>
  <c r="I26" i="51"/>
  <c r="I24" i="51"/>
  <c r="J24" i="51"/>
  <c r="J23" i="51"/>
  <c r="I23" i="51"/>
  <c r="J22" i="51"/>
  <c r="I22" i="51"/>
  <c r="J21" i="51"/>
  <c r="I21" i="51"/>
  <c r="S27" i="51" l="1"/>
  <c r="R29" i="51"/>
  <c r="S29" i="51"/>
  <c r="C5" i="35"/>
  <c r="R27" i="51"/>
  <c r="T22" i="51"/>
  <c r="J58" i="35" s="1"/>
  <c r="AD9" i="51"/>
  <c r="AD15" i="51"/>
  <c r="AF15" i="51"/>
  <c r="W15" i="51"/>
  <c r="AG3" i="51"/>
  <c r="AG15" i="51"/>
  <c r="AE9" i="51"/>
  <c r="AE15" i="51"/>
  <c r="AF3" i="51"/>
  <c r="AG9" i="51"/>
  <c r="AE3" i="51"/>
  <c r="AF9" i="51"/>
  <c r="W21" i="51" l="1"/>
  <c r="C61" i="35" s="1"/>
  <c r="T23" i="51"/>
  <c r="J59" i="35" s="1"/>
  <c r="T21" i="51"/>
  <c r="J61" i="35" s="1"/>
  <c r="U23" i="51"/>
  <c r="K59" i="35" s="1"/>
  <c r="U24" i="51"/>
  <c r="K60" i="35" s="1"/>
  <c r="U22" i="51"/>
  <c r="K58" i="35" s="1"/>
  <c r="U21" i="51"/>
  <c r="K61" i="35" s="1"/>
  <c r="T24" i="51"/>
  <c r="J60" i="35" s="1"/>
  <c r="AF21" i="51"/>
  <c r="H61" i="35" s="1"/>
  <c r="AF22" i="51"/>
  <c r="H58" i="35" s="1"/>
  <c r="AG22" i="51"/>
  <c r="I58" i="35" s="1"/>
  <c r="AG21" i="51"/>
  <c r="I61" i="35" s="1"/>
  <c r="AD23" i="51"/>
  <c r="F59" i="35" s="1"/>
  <c r="W22" i="51"/>
  <c r="C58" i="35" s="1"/>
  <c r="AE22" i="51"/>
  <c r="G58" i="35" s="1"/>
  <c r="AE21" i="51"/>
  <c r="G61" i="35" s="1"/>
  <c r="AG23" i="51"/>
  <c r="I59" i="35" s="1"/>
  <c r="AD24" i="51"/>
  <c r="F60" i="35" s="1"/>
  <c r="AE24" i="51"/>
  <c r="G60" i="35" s="1"/>
  <c r="AD22" i="51"/>
  <c r="F58" i="35" s="1"/>
  <c r="AD21" i="51"/>
  <c r="F61" i="35" s="1"/>
  <c r="W24" i="51"/>
  <c r="C60" i="35" s="1"/>
  <c r="W23" i="51"/>
  <c r="C59" i="35" s="1"/>
  <c r="AE23" i="51"/>
  <c r="G59" i="35" s="1"/>
  <c r="AF24" i="51"/>
  <c r="H60" i="35" s="1"/>
  <c r="AF23" i="51"/>
  <c r="H59" i="35" s="1"/>
  <c r="AG24" i="51"/>
  <c r="I60" i="35" s="1"/>
  <c r="AC24" i="51"/>
  <c r="E60" i="35" s="1"/>
  <c r="AC23" i="51"/>
  <c r="E59" i="35" s="1"/>
  <c r="AC21" i="51" l="1"/>
  <c r="E61" i="35" s="1"/>
  <c r="AC22" i="51"/>
  <c r="E58" i="35" s="1"/>
  <c r="AJ135" i="40" l="1"/>
  <c r="S98" i="44" l="1"/>
  <c r="K98" i="44"/>
  <c r="AD131" i="40"/>
  <c r="AF22" i="40"/>
  <c r="V81" i="44"/>
  <c r="U81" i="44"/>
  <c r="V80" i="44"/>
  <c r="U80" i="44"/>
  <c r="V79" i="44"/>
  <c r="U79" i="44"/>
  <c r="V78" i="44"/>
  <c r="U78" i="44"/>
  <c r="V77" i="44"/>
  <c r="U77" i="44"/>
  <c r="V76" i="44"/>
  <c r="U76" i="44"/>
  <c r="V75" i="44"/>
  <c r="U75" i="44"/>
  <c r="V74" i="44"/>
  <c r="U74" i="44"/>
  <c r="V73" i="44"/>
  <c r="U73" i="44"/>
  <c r="V72" i="44"/>
  <c r="U72" i="44"/>
  <c r="V71" i="44"/>
  <c r="U71" i="44"/>
  <c r="V70" i="44"/>
  <c r="U70" i="44"/>
  <c r="V69" i="44"/>
  <c r="U69" i="44"/>
  <c r="V68" i="44"/>
  <c r="U68" i="44"/>
  <c r="V67" i="44"/>
  <c r="U67" i="44"/>
  <c r="V66" i="44"/>
  <c r="U66" i="44"/>
  <c r="V65" i="44"/>
  <c r="U65" i="44"/>
  <c r="V64" i="44"/>
  <c r="U64" i="44"/>
  <c r="V63" i="44"/>
  <c r="U63" i="44"/>
  <c r="V62" i="44"/>
  <c r="U62" i="44"/>
  <c r="V61" i="44"/>
  <c r="U61" i="44"/>
  <c r="V60" i="44"/>
  <c r="U60" i="44"/>
  <c r="V59" i="44"/>
  <c r="U59" i="44"/>
  <c r="V58" i="44"/>
  <c r="U58" i="44"/>
  <c r="V57" i="44"/>
  <c r="U57" i="44"/>
  <c r="V56" i="44"/>
  <c r="U56" i="44"/>
  <c r="V55" i="44"/>
  <c r="U55" i="44"/>
  <c r="V54" i="44"/>
  <c r="U54" i="44"/>
  <c r="V53" i="44"/>
  <c r="U53" i="44"/>
  <c r="V52" i="44"/>
  <c r="U52" i="44"/>
  <c r="V51" i="44"/>
  <c r="U51" i="44"/>
  <c r="V50" i="44"/>
  <c r="U50" i="44"/>
  <c r="V49" i="44"/>
  <c r="U49" i="44"/>
  <c r="V48" i="44"/>
  <c r="U48" i="44"/>
  <c r="V47" i="44"/>
  <c r="U47" i="44"/>
  <c r="V46" i="44"/>
  <c r="U46" i="44"/>
  <c r="V45" i="44"/>
  <c r="U45" i="44"/>
  <c r="V44" i="44"/>
  <c r="U44" i="44"/>
  <c r="V43" i="44"/>
  <c r="U43" i="44"/>
  <c r="V42" i="44"/>
  <c r="U42" i="44"/>
  <c r="V41" i="44"/>
  <c r="U41" i="44"/>
  <c r="V40" i="44"/>
  <c r="U40" i="44"/>
  <c r="V39" i="44"/>
  <c r="U39" i="44"/>
  <c r="V38" i="44"/>
  <c r="U38" i="44"/>
  <c r="V37" i="44"/>
  <c r="U37" i="44"/>
  <c r="V36" i="44"/>
  <c r="U36" i="44"/>
  <c r="V35" i="44"/>
  <c r="U35" i="44"/>
  <c r="V34" i="44"/>
  <c r="U34" i="44"/>
  <c r="V33" i="44"/>
  <c r="U33" i="44"/>
  <c r="V32" i="44"/>
  <c r="U32" i="44"/>
  <c r="V31" i="44"/>
  <c r="U31" i="44"/>
  <c r="V30" i="44"/>
  <c r="U30" i="44"/>
  <c r="V29" i="44"/>
  <c r="U29" i="44"/>
  <c r="V28" i="44"/>
  <c r="U28" i="44"/>
  <c r="V27" i="44"/>
  <c r="U27" i="44"/>
  <c r="V26" i="44"/>
  <c r="U26" i="44"/>
  <c r="V25" i="44"/>
  <c r="U25" i="44"/>
  <c r="V24" i="44"/>
  <c r="U24" i="44"/>
  <c r="V23" i="44"/>
  <c r="U23" i="44"/>
  <c r="V22" i="44"/>
  <c r="U22" i="44"/>
  <c r="V21" i="44"/>
  <c r="U21" i="44"/>
  <c r="V20" i="44"/>
  <c r="U20" i="44"/>
  <c r="V19" i="44"/>
  <c r="U19" i="44"/>
  <c r="V18" i="44"/>
  <c r="U18" i="44"/>
  <c r="V17" i="44"/>
  <c r="U17" i="44"/>
  <c r="V16" i="44"/>
  <c r="U16" i="44"/>
  <c r="V15" i="44"/>
  <c r="U15" i="44"/>
  <c r="V14" i="44"/>
  <c r="U14" i="44"/>
  <c r="V13" i="44"/>
  <c r="U13" i="44"/>
  <c r="V12" i="44"/>
  <c r="U12" i="44"/>
  <c r="V11" i="44"/>
  <c r="U11" i="44"/>
  <c r="V10" i="44"/>
  <c r="U10" i="44"/>
  <c r="V9" i="44"/>
  <c r="U9" i="44"/>
  <c r="V8" i="44"/>
  <c r="U8" i="44"/>
  <c r="V7" i="44"/>
  <c r="U7" i="44"/>
  <c r="V6" i="44"/>
  <c r="U6" i="44"/>
  <c r="V5" i="44"/>
  <c r="U5" i="44"/>
  <c r="V4" i="44"/>
  <c r="U4" i="44"/>
  <c r="I9" i="41" a="1"/>
  <c r="U94" i="44" l="1"/>
  <c r="U98" i="44"/>
  <c r="J9" i="35" s="1"/>
  <c r="V98" i="44"/>
  <c r="K9" i="35" s="1"/>
  <c r="I9" i="41"/>
  <c r="D31" i="41" a="1"/>
  <c r="I33" i="41" a="1"/>
  <c r="D30" i="41" a="1"/>
  <c r="H32" i="41" a="1"/>
  <c r="D32" i="41" a="1"/>
  <c r="E32" i="41" a="1"/>
  <c r="I29" i="41" a="1"/>
  <c r="H30" i="41" a="1"/>
  <c r="E31" i="41" a="1"/>
  <c r="E29" i="41" a="1"/>
  <c r="I31" i="41" a="1"/>
  <c r="I34" i="41" a="1"/>
  <c r="D34" i="41" a="1"/>
  <c r="E30" i="41" a="1"/>
  <c r="E33" i="41" a="1"/>
  <c r="H34" i="41" a="1"/>
  <c r="I30" i="41" a="1"/>
  <c r="H29" i="41" a="1"/>
  <c r="H31" i="41" a="1"/>
  <c r="D33" i="41" a="1"/>
  <c r="I32" i="41" a="1"/>
  <c r="E34" i="41" a="1"/>
  <c r="H33" i="41" a="1"/>
  <c r="D30" i="41" l="1"/>
  <c r="H29" i="41"/>
  <c r="I31" i="41"/>
  <c r="I32" i="41"/>
  <c r="I34" i="41"/>
  <c r="I30" i="41"/>
  <c r="I33" i="41"/>
  <c r="I29" i="41"/>
  <c r="H32" i="41"/>
  <c r="H31" i="41"/>
  <c r="H33" i="41"/>
  <c r="H34" i="41"/>
  <c r="H30" i="41"/>
  <c r="E29" i="41"/>
  <c r="E32" i="41"/>
  <c r="E31" i="41"/>
  <c r="E34" i="41"/>
  <c r="E30" i="41"/>
  <c r="E33" i="41"/>
  <c r="D34" i="41"/>
  <c r="D33" i="41"/>
  <c r="D32" i="41"/>
  <c r="D31" i="41"/>
  <c r="AH124" i="40"/>
  <c r="AG124" i="40"/>
  <c r="AK135" i="40"/>
  <c r="AN124" i="40"/>
  <c r="AM124" i="40"/>
  <c r="AF124" i="40"/>
  <c r="AK124" i="40"/>
  <c r="AE124" i="40"/>
  <c r="AL135" i="40"/>
  <c r="AJ124" i="40"/>
  <c r="AM135" i="40"/>
  <c r="AN135" i="40"/>
  <c r="AL124" i="40"/>
  <c r="AA125" i="40" l="1"/>
  <c r="AJ136" i="40"/>
  <c r="AB16" i="40"/>
  <c r="AE125" i="40"/>
  <c r="AN136" i="40"/>
  <c r="AM136" i="40"/>
  <c r="AM125" i="40"/>
  <c r="AK136" i="40"/>
  <c r="AJ125" i="40"/>
  <c r="AH125" i="40"/>
  <c r="AF125" i="40"/>
  <c r="AL125" i="40"/>
  <c r="AL136" i="40"/>
  <c r="AK125" i="40"/>
  <c r="AD125" i="40"/>
  <c r="AN125" i="40"/>
  <c r="AJ137" i="40" l="1"/>
  <c r="AA126" i="40"/>
  <c r="AM137" i="40"/>
  <c r="AD126" i="40"/>
  <c r="AG125" i="40"/>
  <c r="AN126" i="40"/>
  <c r="AL126" i="40"/>
  <c r="AL137" i="40"/>
  <c r="AK137" i="40"/>
  <c r="AN137" i="40"/>
  <c r="AJ126" i="40"/>
  <c r="AJ138" i="40" l="1"/>
  <c r="AA127" i="40"/>
  <c r="AZ81" i="45"/>
  <c r="AZ80" i="45"/>
  <c r="AZ59" i="45"/>
  <c r="AZ58" i="45"/>
  <c r="AZ35" i="45"/>
  <c r="AZ34" i="45"/>
  <c r="AZ33" i="45"/>
  <c r="AZ30" i="45"/>
  <c r="AZ8" i="45"/>
  <c r="AZ5" i="45"/>
  <c r="BE85" i="45"/>
  <c r="BD85" i="45"/>
  <c r="BE84" i="45"/>
  <c r="BD84" i="45"/>
  <c r="BE83" i="45"/>
  <c r="BD83" i="45"/>
  <c r="BE82" i="45"/>
  <c r="BD82" i="45"/>
  <c r="BE81" i="45"/>
  <c r="BD81" i="45"/>
  <c r="BE80" i="45"/>
  <c r="BD80" i="45"/>
  <c r="BA85" i="45"/>
  <c r="AZ85" i="45"/>
  <c r="BA84" i="45"/>
  <c r="AZ84" i="45"/>
  <c r="BA83" i="45"/>
  <c r="AZ83" i="45"/>
  <c r="BA82" i="45"/>
  <c r="AZ82" i="45"/>
  <c r="BA81" i="45"/>
  <c r="BA80" i="45"/>
  <c r="BE60" i="45"/>
  <c r="BD60" i="45"/>
  <c r="BE59" i="45"/>
  <c r="BD59" i="45"/>
  <c r="BE58" i="45"/>
  <c r="BD58" i="45"/>
  <c r="BE57" i="45"/>
  <c r="BD57" i="45"/>
  <c r="BE56" i="45"/>
  <c r="BD56" i="45"/>
  <c r="BE55" i="45"/>
  <c r="BD55" i="45"/>
  <c r="BA60" i="45"/>
  <c r="AZ60" i="45"/>
  <c r="BA59" i="45"/>
  <c r="BA58" i="45"/>
  <c r="BA57" i="45"/>
  <c r="AZ57" i="45"/>
  <c r="BA56" i="45"/>
  <c r="AZ56" i="45"/>
  <c r="BA55" i="45"/>
  <c r="AZ55" i="45"/>
  <c r="BE35" i="45"/>
  <c r="BD35" i="45"/>
  <c r="BE34" i="45"/>
  <c r="BD34" i="45"/>
  <c r="BE33" i="45"/>
  <c r="BD33" i="45"/>
  <c r="BE32" i="45"/>
  <c r="BD32" i="45"/>
  <c r="BE31" i="45"/>
  <c r="BD31" i="45"/>
  <c r="BE30" i="45"/>
  <c r="BD30" i="45"/>
  <c r="BA35" i="45"/>
  <c r="BA34" i="45"/>
  <c r="BA33" i="45"/>
  <c r="BA32" i="45"/>
  <c r="AZ32" i="45"/>
  <c r="BA31" i="45"/>
  <c r="AZ31" i="45"/>
  <c r="BA30" i="45"/>
  <c r="BE10" i="45"/>
  <c r="BD10" i="45"/>
  <c r="BE9" i="45"/>
  <c r="BD9" i="45"/>
  <c r="BE8" i="45"/>
  <c r="BD8" i="45"/>
  <c r="BE7" i="45"/>
  <c r="BD7" i="45"/>
  <c r="BE6" i="45"/>
  <c r="BD6" i="45"/>
  <c r="BE5" i="45"/>
  <c r="BD5" i="45"/>
  <c r="BA10" i="45"/>
  <c r="AZ10" i="45"/>
  <c r="BA9" i="45"/>
  <c r="AZ9" i="45"/>
  <c r="BA8" i="45"/>
  <c r="BA7" i="45"/>
  <c r="AZ7" i="45"/>
  <c r="BA6" i="45"/>
  <c r="AZ6" i="45"/>
  <c r="BA5" i="45"/>
  <c r="BF83" i="45" a="1"/>
  <c r="BF80" i="45" a="1"/>
  <c r="BG59" i="45" a="1"/>
  <c r="BB7" i="45" a="1"/>
  <c r="BF7" i="45" a="1"/>
  <c r="BB55" i="45" a="1"/>
  <c r="BB33" i="45" a="1"/>
  <c r="BG83" i="45" a="1"/>
  <c r="BF31" i="45" a="1"/>
  <c r="BC33" i="45" a="1"/>
  <c r="BC35" i="45" a="1"/>
  <c r="BC83" i="45" a="1"/>
  <c r="BB30" i="45" a="1"/>
  <c r="BC80" i="45" a="1"/>
  <c r="BB6" i="45" a="1"/>
  <c r="BG55" i="45" a="1"/>
  <c r="BB58" i="45" a="1"/>
  <c r="BC8" i="45" a="1"/>
  <c r="BF30" i="45" a="1"/>
  <c r="BG31" i="45" a="1"/>
  <c r="BC58" i="45" a="1"/>
  <c r="BG81" i="45" a="1"/>
  <c r="BB60" i="45" a="1"/>
  <c r="BC32" i="45" a="1"/>
  <c r="BG84" i="45" a="1"/>
  <c r="BB57" i="45" a="1"/>
  <c r="BF60" i="45" a="1"/>
  <c r="BG33" i="45" a="1"/>
  <c r="BG9" i="45" a="1"/>
  <c r="BG34" i="45" a="1"/>
  <c r="BF32" i="45" a="1"/>
  <c r="BC60" i="45" a="1"/>
  <c r="BB85" i="45" a="1"/>
  <c r="BC31" i="45" a="1"/>
  <c r="BG82" i="45" a="1"/>
  <c r="BB31" i="45" a="1"/>
  <c r="BC81" i="45" a="1"/>
  <c r="BF6" i="45" a="1"/>
  <c r="BG7" i="45" a="1"/>
  <c r="BC84" i="45" a="1"/>
  <c r="BC82" i="45" a="1"/>
  <c r="BC7" i="45" a="1"/>
  <c r="BB9" i="45" a="1"/>
  <c r="BF81" i="45" a="1"/>
  <c r="BF57" i="45" a="1"/>
  <c r="BG58" i="45" a="1"/>
  <c r="BG60" i="45" a="1"/>
  <c r="BB59" i="45" a="1"/>
  <c r="BG32" i="45" a="1"/>
  <c r="BG56" i="45" a="1"/>
  <c r="BF85" i="45" a="1"/>
  <c r="BF58" i="45" a="1"/>
  <c r="BB35" i="45" a="1"/>
  <c r="BG35" i="45" a="1"/>
  <c r="BG57" i="45" a="1"/>
  <c r="BG6" i="45" a="1"/>
  <c r="BC5" i="45" a="1"/>
  <c r="BF84" i="45" a="1"/>
  <c r="BC9" i="45" a="1"/>
  <c r="BF33" i="45" a="1"/>
  <c r="BC59" i="45" a="1"/>
  <c r="BF5" i="45" a="1"/>
  <c r="BC34" i="45" a="1"/>
  <c r="BB81" i="45" a="1"/>
  <c r="BC30" i="45" a="1"/>
  <c r="BF82" i="45" a="1"/>
  <c r="BB80" i="45" a="1"/>
  <c r="BF8" i="45" a="1"/>
  <c r="BF34" i="45" a="1"/>
  <c r="BB5" i="45" a="1"/>
  <c r="BB10" i="45" a="1"/>
  <c r="BB84" i="45" a="1"/>
  <c r="BG10" i="45" a="1"/>
  <c r="BC6" i="45" a="1"/>
  <c r="BG8" i="45" a="1"/>
  <c r="BF10" i="45" a="1"/>
  <c r="BF35" i="45" a="1"/>
  <c r="BB32" i="45" a="1"/>
  <c r="BF56" i="45" a="1"/>
  <c r="BG5" i="45" a="1"/>
  <c r="BG30" i="45" a="1"/>
  <c r="BB56" i="45" a="1"/>
  <c r="BB34" i="45" a="1"/>
  <c r="BF59" i="45" a="1"/>
  <c r="BC85" i="45" a="1"/>
  <c r="BB83" i="45" a="1"/>
  <c r="BC55" i="45" a="1"/>
  <c r="BG85" i="45" a="1"/>
  <c r="BB82" i="45" a="1"/>
  <c r="BF55" i="45" a="1"/>
  <c r="BC57" i="45" a="1"/>
  <c r="BB8" i="45" a="1"/>
  <c r="BC10" i="45" a="1"/>
  <c r="BC56" i="45" a="1"/>
  <c r="BF9" i="45" a="1"/>
  <c r="BG80" i="45" a="1"/>
  <c r="AH126" i="40"/>
  <c r="AE127" i="40"/>
  <c r="AF127" i="40"/>
  <c r="AL138" i="40"/>
  <c r="AM138" i="40"/>
  <c r="AK126" i="40"/>
  <c r="AN138" i="40"/>
  <c r="AM126" i="40"/>
  <c r="AK138" i="40"/>
  <c r="AG127" i="40"/>
  <c r="AF126" i="40"/>
  <c r="AE126" i="40"/>
  <c r="AK127" i="40"/>
  <c r="AG126" i="40"/>
  <c r="BF5" i="45" l="1"/>
  <c r="AJ139" i="40"/>
  <c r="AA128" i="40"/>
  <c r="BG83" i="45"/>
  <c r="BF80" i="45"/>
  <c r="BF82" i="45"/>
  <c r="BF84" i="45"/>
  <c r="BG80" i="45"/>
  <c r="BG85" i="45"/>
  <c r="BG82" i="45"/>
  <c r="BG84" i="45"/>
  <c r="BF81" i="45"/>
  <c r="BF83" i="45"/>
  <c r="BF85" i="45"/>
  <c r="BG81" i="45"/>
  <c r="BB80" i="45"/>
  <c r="BB84" i="45"/>
  <c r="BC80" i="45"/>
  <c r="BC82" i="45"/>
  <c r="BC84" i="45"/>
  <c r="BB81" i="45"/>
  <c r="BB83" i="45"/>
  <c r="BB85" i="45"/>
  <c r="BB82" i="45"/>
  <c r="BC81" i="45"/>
  <c r="BC83" i="45"/>
  <c r="BC85" i="45"/>
  <c r="BG56" i="45"/>
  <c r="BF57" i="45"/>
  <c r="BG57" i="45"/>
  <c r="BG59" i="45"/>
  <c r="BG58" i="45"/>
  <c r="BF55" i="45"/>
  <c r="BG55" i="45"/>
  <c r="BG60" i="45"/>
  <c r="BF59" i="45"/>
  <c r="BF56" i="45"/>
  <c r="BF58" i="45"/>
  <c r="BF60" i="45"/>
  <c r="BC56" i="45"/>
  <c r="BB55" i="45"/>
  <c r="BB57" i="45"/>
  <c r="BB59" i="45"/>
  <c r="BC58" i="45"/>
  <c r="BC60" i="45"/>
  <c r="BC55" i="45"/>
  <c r="BC57" i="45"/>
  <c r="BC59" i="45"/>
  <c r="BB56" i="45"/>
  <c r="BB58" i="45"/>
  <c r="BB60" i="45"/>
  <c r="BG31" i="45"/>
  <c r="BG35" i="45"/>
  <c r="BF30" i="45"/>
  <c r="BF32" i="45"/>
  <c r="BF34" i="45"/>
  <c r="BG33" i="45"/>
  <c r="BG30" i="45"/>
  <c r="BG32" i="45"/>
  <c r="BG34" i="45"/>
  <c r="BF31" i="45"/>
  <c r="BF33" i="45"/>
  <c r="BF35" i="45"/>
  <c r="BC33" i="45"/>
  <c r="BB30" i="45"/>
  <c r="BB32" i="45"/>
  <c r="BB34" i="45"/>
  <c r="BC35" i="45"/>
  <c r="BC30" i="45"/>
  <c r="BC32" i="45"/>
  <c r="BC34" i="45"/>
  <c r="BB31" i="45"/>
  <c r="BB33" i="45"/>
  <c r="BB35" i="45"/>
  <c r="BC31" i="45"/>
  <c r="BG10" i="45"/>
  <c r="BF7" i="45"/>
  <c r="BF9" i="45"/>
  <c r="BG6" i="45"/>
  <c r="BG5" i="45"/>
  <c r="BG9" i="45"/>
  <c r="BG8" i="45"/>
  <c r="BG7" i="45"/>
  <c r="BF6" i="45"/>
  <c r="BF8" i="45"/>
  <c r="BF10" i="45"/>
  <c r="BC6" i="45"/>
  <c r="BC10" i="45"/>
  <c r="BB5" i="45"/>
  <c r="BB7" i="45"/>
  <c r="BB9" i="45"/>
  <c r="BC8" i="45"/>
  <c r="BC5" i="45"/>
  <c r="BC7" i="45"/>
  <c r="BC9" i="45"/>
  <c r="BB6" i="45"/>
  <c r="BB8" i="45"/>
  <c r="BB10" i="45"/>
  <c r="AH127" i="40"/>
  <c r="AN127" i="40"/>
  <c r="AD127" i="40"/>
  <c r="AN139" i="40"/>
  <c r="AK128" i="40"/>
  <c r="AL127" i="40"/>
  <c r="AM139" i="40"/>
  <c r="AJ127" i="40"/>
  <c r="AL139" i="40"/>
  <c r="AM127" i="40"/>
  <c r="AK139" i="40"/>
  <c r="AJ140" i="40" l="1"/>
  <c r="AA129" i="40"/>
  <c r="AF129" i="40"/>
  <c r="AD129" i="40"/>
  <c r="AM128" i="40"/>
  <c r="AK140" i="40"/>
  <c r="AK129" i="40"/>
  <c r="AL129" i="40"/>
  <c r="AH129" i="40"/>
  <c r="AH128" i="40"/>
  <c r="AD128" i="40"/>
  <c r="AF128" i="40"/>
  <c r="AG128" i="40"/>
  <c r="AN128" i="40"/>
  <c r="AN140" i="40"/>
  <c r="AG129" i="40"/>
  <c r="AN129" i="40"/>
  <c r="AM129" i="40"/>
  <c r="AJ128" i="40"/>
  <c r="AM140" i="40"/>
  <c r="AJ129" i="40"/>
  <c r="AL140" i="40"/>
  <c r="AE128" i="40"/>
  <c r="AL128" i="40"/>
  <c r="AD136" i="40" l="1"/>
  <c r="AD135" i="40"/>
  <c r="AD138" i="40" s="1"/>
  <c r="AJ141" i="40"/>
  <c r="AE129" i="40"/>
  <c r="AJ142" i="40" l="1"/>
  <c r="AJ143" i="40" l="1"/>
  <c r="I8" i="41" a="1"/>
  <c r="I5" i="41" a="1"/>
  <c r="E9" i="41" a="1"/>
  <c r="H7" i="41" a="1"/>
  <c r="I6" i="41" a="1"/>
  <c r="H8" i="41" a="1"/>
  <c r="E7" i="41" a="1"/>
  <c r="E8" i="41" a="1"/>
  <c r="E6" i="41" a="1"/>
  <c r="H6" i="41" a="1"/>
  <c r="H5" i="41" a="1"/>
  <c r="H4" i="41" a="1"/>
  <c r="I4" i="41" a="1"/>
  <c r="H9" i="41" a="1"/>
  <c r="E5" i="41" a="1"/>
  <c r="I7" i="41" a="1"/>
  <c r="H4" i="41" l="1"/>
  <c r="AJ144" i="40"/>
  <c r="I8" i="41"/>
  <c r="I7" i="41"/>
  <c r="I6" i="41"/>
  <c r="I5" i="41"/>
  <c r="H9" i="41"/>
  <c r="H8" i="41"/>
  <c r="H7" i="41"/>
  <c r="H6" i="41"/>
  <c r="H5" i="41"/>
  <c r="I4" i="41"/>
  <c r="E9" i="41"/>
  <c r="E8" i="41"/>
  <c r="E7" i="41"/>
  <c r="E6" i="41"/>
  <c r="E5" i="41"/>
  <c r="AJ145" i="40" l="1"/>
  <c r="AJ146" i="40" l="1"/>
  <c r="AJ147" i="40" l="1"/>
  <c r="AJ148" i="40" l="1"/>
  <c r="AJ149" i="40" l="1"/>
  <c r="AJ150" i="40" l="1"/>
  <c r="AJ151" i="40" l="1"/>
  <c r="AL28" i="40"/>
  <c r="AU60" i="45"/>
  <c r="AU59" i="45"/>
  <c r="AU58" i="45"/>
  <c r="AU57" i="45"/>
  <c r="AU56" i="45"/>
  <c r="AU55" i="45"/>
  <c r="AU35" i="45"/>
  <c r="AU34" i="45"/>
  <c r="AU33" i="45"/>
  <c r="AU32" i="45"/>
  <c r="AU31" i="45"/>
  <c r="AU30" i="45"/>
  <c r="AU10" i="45"/>
  <c r="AU9" i="45"/>
  <c r="AU8" i="45"/>
  <c r="AU7" i="45"/>
  <c r="AU6" i="45"/>
  <c r="AU5" i="45"/>
  <c r="AT60" i="45"/>
  <c r="AT59" i="45"/>
  <c r="AT58" i="45"/>
  <c r="AT57" i="45"/>
  <c r="AT56" i="45"/>
  <c r="AT55" i="45"/>
  <c r="AT35" i="45"/>
  <c r="AT34" i="45"/>
  <c r="AT33" i="45"/>
  <c r="AT32" i="45"/>
  <c r="AT31" i="45"/>
  <c r="AT30" i="45"/>
  <c r="AT10" i="45"/>
  <c r="AT9" i="45"/>
  <c r="AT8" i="45"/>
  <c r="AT7" i="45"/>
  <c r="AT6" i="45"/>
  <c r="AT5" i="45"/>
  <c r="AQ60" i="45"/>
  <c r="AP60" i="45"/>
  <c r="AQ59" i="45"/>
  <c r="AP59" i="45"/>
  <c r="AQ58" i="45"/>
  <c r="AP58" i="45"/>
  <c r="AQ57" i="45"/>
  <c r="AP57" i="45"/>
  <c r="AQ56" i="45"/>
  <c r="AP56" i="45"/>
  <c r="AQ55" i="45"/>
  <c r="AP55" i="45"/>
  <c r="AQ35" i="45"/>
  <c r="AP35" i="45"/>
  <c r="AQ34" i="45"/>
  <c r="AP34" i="45"/>
  <c r="AQ33" i="45"/>
  <c r="AP33" i="45"/>
  <c r="AQ32" i="45"/>
  <c r="AP32" i="45"/>
  <c r="AQ31" i="45"/>
  <c r="AP31" i="45"/>
  <c r="AQ30" i="45"/>
  <c r="AP30" i="45"/>
  <c r="AQ10" i="45"/>
  <c r="AP10" i="45"/>
  <c r="AQ9" i="45"/>
  <c r="AP9" i="45"/>
  <c r="AQ8" i="45"/>
  <c r="AP8" i="45"/>
  <c r="AQ7" i="45"/>
  <c r="AP7" i="45"/>
  <c r="AQ6" i="45"/>
  <c r="AP6" i="45"/>
  <c r="AQ5" i="45"/>
  <c r="AP5" i="45"/>
  <c r="AK85" i="45"/>
  <c r="AK84" i="45"/>
  <c r="AK83" i="45"/>
  <c r="AK82" i="45"/>
  <c r="AK81" i="45"/>
  <c r="AK80" i="45"/>
  <c r="AK60" i="45"/>
  <c r="AK59" i="45"/>
  <c r="AK58" i="45"/>
  <c r="AK57" i="45"/>
  <c r="AK56" i="45"/>
  <c r="AK55" i="45"/>
  <c r="AK35" i="45"/>
  <c r="AK34" i="45"/>
  <c r="AK33" i="45"/>
  <c r="AK32" i="45"/>
  <c r="AK31" i="45"/>
  <c r="AK30" i="45"/>
  <c r="AK10" i="45"/>
  <c r="AK9" i="45"/>
  <c r="AK8" i="45"/>
  <c r="AK7" i="45"/>
  <c r="AK6" i="45"/>
  <c r="AK5" i="45"/>
  <c r="AJ85" i="45"/>
  <c r="AJ84" i="45"/>
  <c r="AJ83" i="45"/>
  <c r="AJ82" i="45"/>
  <c r="AJ81" i="45"/>
  <c r="AJ80" i="45"/>
  <c r="AJ60" i="45"/>
  <c r="AJ59" i="45"/>
  <c r="AJ58" i="45"/>
  <c r="AJ57" i="45"/>
  <c r="AJ56" i="45"/>
  <c r="AJ55" i="45"/>
  <c r="AJ35" i="45"/>
  <c r="AJ34" i="45"/>
  <c r="AJ33" i="45"/>
  <c r="AJ32" i="45"/>
  <c r="AJ31" i="45"/>
  <c r="AJ30" i="45"/>
  <c r="AJ10" i="45"/>
  <c r="AJ9" i="45"/>
  <c r="AJ8" i="45"/>
  <c r="AJ7" i="45"/>
  <c r="AJ6" i="45"/>
  <c r="AJ5" i="45"/>
  <c r="AG85" i="45"/>
  <c r="AF85" i="45"/>
  <c r="AG84" i="45"/>
  <c r="AF84" i="45"/>
  <c r="AG83" i="45"/>
  <c r="AF83" i="45"/>
  <c r="AG82" i="45"/>
  <c r="AF82" i="45"/>
  <c r="AG81" i="45"/>
  <c r="AF81" i="45"/>
  <c r="AG80" i="45"/>
  <c r="AF80" i="45"/>
  <c r="AG60" i="45"/>
  <c r="AF60" i="45"/>
  <c r="AG59" i="45"/>
  <c r="AF59" i="45"/>
  <c r="AG58" i="45"/>
  <c r="AF58" i="45"/>
  <c r="AG57" i="45"/>
  <c r="AF57" i="45"/>
  <c r="AG56" i="45"/>
  <c r="AF56" i="45"/>
  <c r="AG55" i="45"/>
  <c r="AF55" i="45"/>
  <c r="AG35" i="45"/>
  <c r="AF35" i="45"/>
  <c r="AG34" i="45"/>
  <c r="AF34" i="45"/>
  <c r="AG33" i="45"/>
  <c r="AF33" i="45"/>
  <c r="AG32" i="45"/>
  <c r="AF32" i="45"/>
  <c r="AG31" i="45"/>
  <c r="AF31" i="45"/>
  <c r="AG30" i="45"/>
  <c r="AF30" i="45"/>
  <c r="AG10" i="45"/>
  <c r="AF10" i="45"/>
  <c r="AG9" i="45"/>
  <c r="AF9" i="45"/>
  <c r="AG8" i="45"/>
  <c r="AF8" i="45"/>
  <c r="AG7" i="45"/>
  <c r="AF7" i="45"/>
  <c r="AG6" i="45"/>
  <c r="AF6" i="45"/>
  <c r="AG5" i="45"/>
  <c r="AF5" i="45"/>
  <c r="AA85" i="45"/>
  <c r="AA84" i="45"/>
  <c r="AA83" i="45"/>
  <c r="AA82" i="45"/>
  <c r="AA81" i="45"/>
  <c r="AA80" i="45"/>
  <c r="AA60" i="45"/>
  <c r="AA59" i="45"/>
  <c r="AA58" i="45"/>
  <c r="AA57" i="45"/>
  <c r="AA56" i="45"/>
  <c r="AA55" i="45"/>
  <c r="AA35" i="45"/>
  <c r="AA34" i="45"/>
  <c r="AA33" i="45"/>
  <c r="AA32" i="45"/>
  <c r="AA31" i="45"/>
  <c r="AA30" i="45"/>
  <c r="AA10" i="45"/>
  <c r="AA9" i="45"/>
  <c r="AA8" i="45"/>
  <c r="AA7" i="45"/>
  <c r="AA6" i="45"/>
  <c r="AA5" i="45"/>
  <c r="Z5" i="45"/>
  <c r="Z85" i="45"/>
  <c r="Z84" i="45"/>
  <c r="Z83" i="45"/>
  <c r="Z82" i="45"/>
  <c r="Z81" i="45"/>
  <c r="Z80" i="45"/>
  <c r="Z60" i="45"/>
  <c r="Z59" i="45"/>
  <c r="Z58" i="45"/>
  <c r="Z57" i="45"/>
  <c r="Z56" i="45"/>
  <c r="Z55" i="45"/>
  <c r="Z35" i="45"/>
  <c r="Z34" i="45"/>
  <c r="Z33" i="45"/>
  <c r="Z32" i="45"/>
  <c r="Z31" i="45"/>
  <c r="Z30" i="45"/>
  <c r="Z10" i="45"/>
  <c r="Z9" i="45"/>
  <c r="Z8" i="45"/>
  <c r="Z7" i="45"/>
  <c r="Z6" i="45"/>
  <c r="W85" i="45"/>
  <c r="V85" i="45"/>
  <c r="W84" i="45"/>
  <c r="V84" i="45"/>
  <c r="W83" i="45"/>
  <c r="V83" i="45"/>
  <c r="W82" i="45"/>
  <c r="V82" i="45"/>
  <c r="W81" i="45"/>
  <c r="V81" i="45"/>
  <c r="W80" i="45"/>
  <c r="V80" i="45"/>
  <c r="W60" i="45"/>
  <c r="V60" i="45"/>
  <c r="W59" i="45"/>
  <c r="V59" i="45"/>
  <c r="W58" i="45"/>
  <c r="V58" i="45"/>
  <c r="W57" i="45"/>
  <c r="V57" i="45"/>
  <c r="W56" i="45"/>
  <c r="V56" i="45"/>
  <c r="W55" i="45"/>
  <c r="V55" i="45"/>
  <c r="W35" i="45"/>
  <c r="V35" i="45"/>
  <c r="W34" i="45"/>
  <c r="V34" i="45"/>
  <c r="W33" i="45"/>
  <c r="V33" i="45"/>
  <c r="W32" i="45"/>
  <c r="V32" i="45"/>
  <c r="W31" i="45"/>
  <c r="V31" i="45"/>
  <c r="W30" i="45"/>
  <c r="V30" i="45"/>
  <c r="W10" i="45"/>
  <c r="V10" i="45"/>
  <c r="W9" i="45"/>
  <c r="V9" i="45"/>
  <c r="W8" i="45"/>
  <c r="V8" i="45"/>
  <c r="W7" i="45"/>
  <c r="V7" i="45"/>
  <c r="W6" i="45"/>
  <c r="V6" i="45"/>
  <c r="W5" i="45"/>
  <c r="V5" i="45"/>
  <c r="Q110" i="45"/>
  <c r="Q109" i="45"/>
  <c r="Q108" i="45"/>
  <c r="Q107" i="45"/>
  <c r="Q106" i="45"/>
  <c r="Q105" i="45"/>
  <c r="Q85" i="45"/>
  <c r="Q84" i="45"/>
  <c r="Q83" i="45"/>
  <c r="Q82" i="45"/>
  <c r="Q81" i="45"/>
  <c r="Q80" i="45"/>
  <c r="Q60" i="45"/>
  <c r="Q59" i="45"/>
  <c r="Q58" i="45"/>
  <c r="Q57" i="45"/>
  <c r="Q56" i="45"/>
  <c r="Q55" i="45"/>
  <c r="Q35" i="45"/>
  <c r="Q34" i="45"/>
  <c r="Q33" i="45"/>
  <c r="Q32" i="45"/>
  <c r="Q31" i="45"/>
  <c r="Q30" i="45"/>
  <c r="Q10" i="45"/>
  <c r="Q9" i="45"/>
  <c r="Q8" i="45"/>
  <c r="Q7" i="45"/>
  <c r="Q6" i="45"/>
  <c r="Q5" i="45"/>
  <c r="P110" i="45"/>
  <c r="P109" i="45"/>
  <c r="P108" i="45"/>
  <c r="P107" i="45"/>
  <c r="P106" i="45"/>
  <c r="P105" i="45"/>
  <c r="P85" i="45"/>
  <c r="P84" i="45"/>
  <c r="P83" i="45"/>
  <c r="P82" i="45"/>
  <c r="P81" i="45"/>
  <c r="P80" i="45"/>
  <c r="P60" i="45"/>
  <c r="P59" i="45"/>
  <c r="P58" i="45"/>
  <c r="P57" i="45"/>
  <c r="P56" i="45"/>
  <c r="P55" i="45"/>
  <c r="P35" i="45"/>
  <c r="P34" i="45"/>
  <c r="P33" i="45"/>
  <c r="P32" i="45"/>
  <c r="P31" i="45"/>
  <c r="P30" i="45"/>
  <c r="P10" i="45"/>
  <c r="P9" i="45"/>
  <c r="P8" i="45"/>
  <c r="P7" i="45"/>
  <c r="P6" i="45"/>
  <c r="P5" i="45"/>
  <c r="M110" i="45"/>
  <c r="L110" i="45"/>
  <c r="M109" i="45"/>
  <c r="L109" i="45"/>
  <c r="M108" i="45"/>
  <c r="L108" i="45"/>
  <c r="M107" i="45"/>
  <c r="L107" i="45"/>
  <c r="M106" i="45"/>
  <c r="L106" i="45"/>
  <c r="M105" i="45"/>
  <c r="L105" i="45"/>
  <c r="M85" i="45"/>
  <c r="L85" i="45"/>
  <c r="M84" i="45"/>
  <c r="L84" i="45"/>
  <c r="M83" i="45"/>
  <c r="L83" i="45"/>
  <c r="M82" i="45"/>
  <c r="L82" i="45"/>
  <c r="M81" i="45"/>
  <c r="L81" i="45"/>
  <c r="M80" i="45"/>
  <c r="L80" i="45"/>
  <c r="M60" i="45"/>
  <c r="L60" i="45"/>
  <c r="M59" i="45"/>
  <c r="L59" i="45"/>
  <c r="M58" i="45"/>
  <c r="L58" i="45"/>
  <c r="M57" i="45"/>
  <c r="L57" i="45"/>
  <c r="M56" i="45"/>
  <c r="L56" i="45"/>
  <c r="M55" i="45"/>
  <c r="L55" i="45"/>
  <c r="M35" i="45"/>
  <c r="L35" i="45"/>
  <c r="M34" i="45"/>
  <c r="L34" i="45"/>
  <c r="M33" i="45"/>
  <c r="L33" i="45"/>
  <c r="M32" i="45"/>
  <c r="L32" i="45"/>
  <c r="M31" i="45"/>
  <c r="L31" i="45"/>
  <c r="M30" i="45"/>
  <c r="L30" i="45"/>
  <c r="M10" i="45"/>
  <c r="L10" i="45"/>
  <c r="M9" i="45"/>
  <c r="L9" i="45"/>
  <c r="M8" i="45"/>
  <c r="L8" i="45"/>
  <c r="M7" i="45"/>
  <c r="L7" i="45"/>
  <c r="M6" i="45"/>
  <c r="L6" i="45"/>
  <c r="M5" i="45"/>
  <c r="L5" i="45"/>
  <c r="G10" i="45"/>
  <c r="F10" i="45"/>
  <c r="G9" i="45"/>
  <c r="F9" i="45"/>
  <c r="G8" i="45"/>
  <c r="F8" i="45"/>
  <c r="G7" i="45"/>
  <c r="F7" i="45"/>
  <c r="G6" i="45"/>
  <c r="F6" i="45"/>
  <c r="G5" i="45"/>
  <c r="F5" i="45"/>
  <c r="C10" i="45"/>
  <c r="C9" i="45"/>
  <c r="C8" i="45"/>
  <c r="C7" i="45"/>
  <c r="C6" i="45"/>
  <c r="C5" i="45"/>
  <c r="B10" i="45"/>
  <c r="B9" i="45"/>
  <c r="B8" i="45"/>
  <c r="B7" i="45"/>
  <c r="B6" i="45"/>
  <c r="B5" i="45"/>
  <c r="T97" i="44"/>
  <c r="S97" i="44"/>
  <c r="T96" i="44"/>
  <c r="S96" i="44"/>
  <c r="T95" i="44"/>
  <c r="S95" i="44"/>
  <c r="T94" i="44"/>
  <c r="S94" i="44"/>
  <c r="K97" i="44"/>
  <c r="K96" i="44"/>
  <c r="K95" i="44"/>
  <c r="J97" i="44"/>
  <c r="J96" i="44"/>
  <c r="J95" i="44"/>
  <c r="U97" i="44"/>
  <c r="J8" i="35" s="1"/>
  <c r="H7" i="45" a="1"/>
  <c r="R105" i="45" a="1"/>
  <c r="D9" i="45" a="1"/>
  <c r="N107" i="45" a="1"/>
  <c r="AR5" i="45" a="1"/>
  <c r="E8" i="45" a="1"/>
  <c r="H6" i="45" a="1"/>
  <c r="H5" i="45" a="1"/>
  <c r="R110" i="45" a="1"/>
  <c r="H10" i="45" a="1"/>
  <c r="S106" i="45" a="1"/>
  <c r="R109" i="45" a="1"/>
  <c r="O5" i="45" a="1"/>
  <c r="S107" i="45" a="1"/>
  <c r="O107" i="45" a="1"/>
  <c r="N8" i="45" a="1"/>
  <c r="N106" i="45" a="1"/>
  <c r="S110" i="45" a="1"/>
  <c r="R106" i="45" a="1"/>
  <c r="R108" i="45" a="1"/>
  <c r="N5" i="45" a="1"/>
  <c r="O10" i="45" a="1"/>
  <c r="S105" i="45" a="1"/>
  <c r="E9" i="45" a="1"/>
  <c r="R107" i="45" a="1"/>
  <c r="N108" i="45" a="1"/>
  <c r="AR6" i="45" a="1"/>
  <c r="H8" i="45" a="1"/>
  <c r="O109" i="45" a="1"/>
  <c r="I9" i="45" a="1"/>
  <c r="N105" i="45" a="1"/>
  <c r="I7" i="45" a="1"/>
  <c r="N7" i="45" a="1"/>
  <c r="S109" i="45" a="1"/>
  <c r="I6" i="45" a="1"/>
  <c r="E5" i="45" a="1"/>
  <c r="N6" i="45" a="1"/>
  <c r="I10" i="45" a="1"/>
  <c r="O9" i="45" a="1"/>
  <c r="O7" i="45" a="1"/>
  <c r="O105" i="45" a="1"/>
  <c r="S108" i="45" a="1"/>
  <c r="N10" i="45" a="1"/>
  <c r="N109" i="45" a="1"/>
  <c r="I8" i="45" a="1"/>
  <c r="H9" i="45" a="1"/>
  <c r="O106" i="45" a="1"/>
  <c r="I5" i="45" a="1"/>
  <c r="N110" i="45" a="1"/>
  <c r="D7" i="45" a="1"/>
  <c r="E6" i="45" a="1"/>
  <c r="E10" i="45" a="1"/>
  <c r="O8" i="45" a="1"/>
  <c r="D8" i="45" a="1"/>
  <c r="E7" i="45" a="1"/>
  <c r="O6" i="45" a="1"/>
  <c r="N9" i="45" a="1"/>
  <c r="O108" i="45" a="1"/>
  <c r="D10" i="45" a="1"/>
  <c r="O110" i="45" a="1"/>
  <c r="R106" i="45" l="1"/>
  <c r="S110" i="45"/>
  <c r="R108" i="45"/>
  <c r="S106" i="45"/>
  <c r="S107" i="45"/>
  <c r="R110" i="45"/>
  <c r="S108" i="45"/>
  <c r="R109" i="45"/>
  <c r="S109" i="45"/>
  <c r="S105" i="45"/>
  <c r="R105" i="45"/>
  <c r="R107" i="45"/>
  <c r="O108" i="45"/>
  <c r="N107" i="45"/>
  <c r="O109" i="45"/>
  <c r="N109" i="45"/>
  <c r="O107" i="45"/>
  <c r="O105" i="45"/>
  <c r="N105" i="45"/>
  <c r="N110" i="45"/>
  <c r="N106" i="45"/>
  <c r="O110" i="45"/>
  <c r="O106" i="45"/>
  <c r="N108" i="45"/>
  <c r="N7" i="45"/>
  <c r="O7" i="45"/>
  <c r="O6" i="45"/>
  <c r="N5" i="45"/>
  <c r="O8" i="45"/>
  <c r="N10" i="45"/>
  <c r="N6" i="45"/>
  <c r="O10" i="45"/>
  <c r="N8" i="45"/>
  <c r="O5" i="45"/>
  <c r="O9" i="45"/>
  <c r="N9" i="45"/>
  <c r="D10" i="45"/>
  <c r="D7" i="45"/>
  <c r="E10" i="45"/>
  <c r="D8" i="45"/>
  <c r="E9" i="45"/>
  <c r="E7" i="45"/>
  <c r="D9" i="45"/>
  <c r="E6" i="45"/>
  <c r="E5" i="45"/>
  <c r="E8" i="45"/>
  <c r="I10" i="45"/>
  <c r="I9" i="45"/>
  <c r="I8" i="45"/>
  <c r="I7" i="45"/>
  <c r="I6" i="45"/>
  <c r="I5" i="45"/>
  <c r="H10" i="45"/>
  <c r="H9" i="45"/>
  <c r="H8" i="45"/>
  <c r="H7" i="45"/>
  <c r="H6" i="45"/>
  <c r="H5" i="45"/>
  <c r="V97" i="44"/>
  <c r="K8" i="35" s="1"/>
  <c r="AJ152" i="40"/>
  <c r="AL29" i="40"/>
  <c r="J5" i="35"/>
  <c r="V94" i="44"/>
  <c r="K5" i="35" s="1"/>
  <c r="U95" i="44"/>
  <c r="J6" i="35" s="1"/>
  <c r="V95" i="44"/>
  <c r="K6" i="35" s="1"/>
  <c r="U96" i="44"/>
  <c r="J7" i="35" s="1"/>
  <c r="V96" i="44"/>
  <c r="K7" i="35" s="1"/>
  <c r="AR6" i="45"/>
  <c r="AR5" i="45"/>
  <c r="AJ153" i="40" l="1"/>
  <c r="AL30" i="40"/>
  <c r="AD94" i="44" l="1"/>
  <c r="E5" i="35" s="1"/>
  <c r="AJ154" i="40"/>
  <c r="AL31" i="40"/>
  <c r="AJ155" i="40" l="1"/>
  <c r="AL32" i="40"/>
  <c r="AJ156" i="40" l="1"/>
  <c r="AL33" i="40"/>
  <c r="M2" i="44"/>
  <c r="AJ157" i="40" l="1"/>
  <c r="AL34" i="40"/>
  <c r="AB17" i="40"/>
  <c r="AB18" i="40" l="1"/>
  <c r="AB19" i="40" s="1"/>
  <c r="AB20" i="40" s="1"/>
  <c r="AB21" i="40" s="1"/>
  <c r="AB22" i="40" s="1"/>
  <c r="AB23" i="40" s="1"/>
  <c r="AB24" i="40" s="1"/>
  <c r="AB25" i="40" s="1"/>
  <c r="AB26" i="40" s="1"/>
  <c r="AB27" i="40" s="1"/>
  <c r="AB28" i="40" s="1"/>
  <c r="AJ158" i="40"/>
  <c r="AL35" i="40"/>
  <c r="AG22" i="44"/>
  <c r="AB7" i="45" a="1"/>
  <c r="X40" i="44"/>
  <c r="AH84" i="45" a="1"/>
  <c r="AL33" i="45" a="1"/>
  <c r="X10" i="45" a="1"/>
  <c r="N82" i="45" a="1"/>
  <c r="AB58" i="45" a="1"/>
  <c r="AW59" i="45" a="1"/>
  <c r="Y85" i="45" a="1"/>
  <c r="AW33" i="45" a="1"/>
  <c r="AS60" i="45" a="1"/>
  <c r="AB59" i="45" a="1"/>
  <c r="S7" i="45" a="1"/>
  <c r="AS10" i="45" a="1"/>
  <c r="AL9" i="45" a="1"/>
  <c r="AM60" i="45" a="1"/>
  <c r="Y57" i="45" a="1"/>
  <c r="S84" i="45" a="1"/>
  <c r="O60" i="45" a="1"/>
  <c r="AI56" i="45" a="1"/>
  <c r="O81" i="45" a="1"/>
  <c r="R32" i="45" a="1"/>
  <c r="AG40" i="44"/>
  <c r="AF28" i="44"/>
  <c r="AC83" i="45" a="1"/>
  <c r="AF4" i="44"/>
  <c r="Y31" i="45" a="1"/>
  <c r="AF34" i="44"/>
  <c r="O80" i="45" a="1"/>
  <c r="AI31" i="45" a="1"/>
  <c r="AH56" i="45" a="1"/>
  <c r="AH57" i="45" a="1"/>
  <c r="AC57" i="45" a="1"/>
  <c r="X85" i="45" a="1"/>
  <c r="AI7" i="45" a="1"/>
  <c r="N56" i="45" a="1"/>
  <c r="AC8" i="45" a="1"/>
  <c r="N60" i="45" a="1"/>
  <c r="X9" i="45" a="1"/>
  <c r="AS58" i="45" a="1"/>
  <c r="O31" i="45" a="1"/>
  <c r="AL35" i="45" a="1"/>
  <c r="AC6" i="45" a="1"/>
  <c r="AI5" i="45" a="1"/>
  <c r="AV60" i="45" a="1"/>
  <c r="AH59" i="45" a="1"/>
  <c r="Y6" i="45" a="1"/>
  <c r="Y34" i="45" a="1"/>
  <c r="AV58" i="45" a="1"/>
  <c r="S59" i="45" a="1"/>
  <c r="AB10" i="45" a="1"/>
  <c r="R9" i="45" a="1"/>
  <c r="S31" i="45" a="1"/>
  <c r="AC80" i="45" a="1"/>
  <c r="AB9" i="45" a="1"/>
  <c r="AR56" i="45" a="1"/>
  <c r="Y30" i="45" a="1"/>
  <c r="AC34" i="45" a="1"/>
  <c r="AM31" i="45" a="1"/>
  <c r="N80" i="45" a="1"/>
  <c r="AH34" i="45" a="1"/>
  <c r="AI85" i="45" a="1"/>
  <c r="O58" i="45" a="1"/>
  <c r="AE52" i="44"/>
  <c r="AB8" i="45" a="1"/>
  <c r="AF22" i="44"/>
  <c r="O35" i="45" a="1"/>
  <c r="X56" i="45" a="1"/>
  <c r="X60" i="45" a="1"/>
  <c r="O82" i="45" a="1"/>
  <c r="AM9" i="45" a="1"/>
  <c r="AG70" i="44"/>
  <c r="AI58" i="45" a="1"/>
  <c r="AW58" i="45" a="1"/>
  <c r="AS59" i="45" a="1"/>
  <c r="S8" i="45" a="1"/>
  <c r="AM55" i="45" a="1"/>
  <c r="X10" i="44"/>
  <c r="O55" i="45" a="1"/>
  <c r="AV9" i="45" a="1"/>
  <c r="AE10" i="44"/>
  <c r="AI60" i="45" a="1"/>
  <c r="AC30" i="45" a="1"/>
  <c r="Y60" i="45" a="1"/>
  <c r="AI33" i="45" a="1"/>
  <c r="AB35" i="45" a="1"/>
  <c r="N83" i="45" a="1"/>
  <c r="AH7" i="45" a="1"/>
  <c r="AL34" i="45" a="1"/>
  <c r="AH22" i="44"/>
  <c r="AI9" i="45" a="1"/>
  <c r="Y8" i="45" a="1"/>
  <c r="R80" i="45" a="1"/>
  <c r="Y59" i="45" a="1"/>
  <c r="AW6" i="45" a="1"/>
  <c r="AI35" i="45" a="1"/>
  <c r="AB60" i="45" a="1"/>
  <c r="N59" i="45" a="1"/>
  <c r="AC33" i="45" a="1"/>
  <c r="AB82" i="45" a="1"/>
  <c r="AL60" i="45" a="1"/>
  <c r="AE16" i="44"/>
  <c r="AW60" i="45" a="1"/>
  <c r="S5" i="45" a="1"/>
  <c r="AR30" i="45" a="1"/>
  <c r="AV32" i="45" a="1"/>
  <c r="AS30" i="45" a="1"/>
  <c r="AH6" i="45" a="1"/>
  <c r="AM59" i="45" a="1"/>
  <c r="AI83" i="45" a="1"/>
  <c r="AE40" i="44"/>
  <c r="AM34" i="45" a="1"/>
  <c r="AR34" i="45" a="1"/>
  <c r="AL80" i="45" a="1"/>
  <c r="AE28" i="44"/>
  <c r="AL56" i="45" a="1"/>
  <c r="AB85" i="45" a="1"/>
  <c r="N30" i="45" a="1"/>
  <c r="AS8" i="45" a="1"/>
  <c r="R7" i="45" a="1"/>
  <c r="AL30" i="45" a="1"/>
  <c r="AI82" i="45" a="1"/>
  <c r="R84" i="45" a="1"/>
  <c r="AH83" i="45" a="1"/>
  <c r="AW31" i="45" a="1"/>
  <c r="AL55" i="45" a="1"/>
  <c r="AI57" i="45" a="1"/>
  <c r="AH31" i="45" a="1"/>
  <c r="AM33" i="45" a="1"/>
  <c r="AC56" i="45" a="1"/>
  <c r="AM84" i="45" a="1"/>
  <c r="AG34" i="44"/>
  <c r="AB56" i="45" a="1"/>
  <c r="AM10" i="45" a="1"/>
  <c r="AH82" i="45" a="1"/>
  <c r="AH80" i="45" a="1"/>
  <c r="AV30" i="45" a="1"/>
  <c r="Y33" i="45" a="1"/>
  <c r="AI81" i="45" a="1"/>
  <c r="X58" i="44"/>
  <c r="AF10" i="44"/>
  <c r="AB5" i="45" a="1"/>
  <c r="R30" i="45" a="1"/>
  <c r="O59" i="45" a="1"/>
  <c r="AS35" i="45" a="1"/>
  <c r="Y5" i="45" a="1"/>
  <c r="R59" i="45" a="1"/>
  <c r="AL83" i="45" a="1"/>
  <c r="AE46" i="44"/>
  <c r="R56" i="45" a="1"/>
  <c r="N55" i="45" a="1"/>
  <c r="X59" i="45" a="1"/>
  <c r="AW35" i="45" a="1"/>
  <c r="AE64" i="44"/>
  <c r="AG52" i="44"/>
  <c r="O32" i="45" a="1"/>
  <c r="Y84" i="45" a="1"/>
  <c r="AS31" i="45" a="1"/>
  <c r="AI32" i="45" a="1"/>
  <c r="N33" i="45" a="1"/>
  <c r="AL85" i="45" a="1"/>
  <c r="X30" i="45" a="1"/>
  <c r="Y7" i="45" a="1"/>
  <c r="O57" i="45" a="1"/>
  <c r="X80" i="45" a="1"/>
  <c r="AL8" i="45" a="1"/>
  <c r="AH9" i="45" a="1"/>
  <c r="X46" i="44"/>
  <c r="N84" i="45" a="1"/>
  <c r="X6" i="45" a="1"/>
  <c r="AF64" i="44"/>
  <c r="Y82" i="45" a="1"/>
  <c r="AB34" i="45" a="1"/>
  <c r="AB81" i="45" a="1"/>
  <c r="AV34" i="45" a="1"/>
  <c r="AM5" i="45" a="1"/>
  <c r="AL84" i="45" a="1"/>
  <c r="AS34" i="45" a="1"/>
  <c r="AH81" i="45" a="1"/>
  <c r="Y9" i="45" a="1"/>
  <c r="AS6" i="45" a="1"/>
  <c r="AL82" i="45" a="1"/>
  <c r="AR10" i="45" a="1"/>
  <c r="N57" i="45" a="1"/>
  <c r="AI30" i="45" a="1"/>
  <c r="AB31" i="45" a="1"/>
  <c r="AW32" i="45" a="1"/>
  <c r="AH10" i="45" a="1"/>
  <c r="AM85" i="45" a="1"/>
  <c r="R57" i="45" a="1"/>
  <c r="X58" i="45" a="1"/>
  <c r="AH30" i="45" a="1"/>
  <c r="O84" i="45" a="1"/>
  <c r="AH58" i="45" a="1"/>
  <c r="AR7" i="45" a="1"/>
  <c r="AE70" i="44"/>
  <c r="AB80" i="45" a="1"/>
  <c r="AI6" i="45" a="1"/>
  <c r="AH4" i="44"/>
  <c r="AC85" i="45" a="1"/>
  <c r="S83" i="45" a="1"/>
  <c r="AE4" i="44"/>
  <c r="X34" i="44"/>
  <c r="AL10" i="45" a="1"/>
  <c r="AL31" i="45" a="1"/>
  <c r="X82" i="45" a="1"/>
  <c r="X81" i="45" a="1"/>
  <c r="AW57" i="45" a="1"/>
  <c r="AR57" i="45" a="1"/>
  <c r="S80" i="45" a="1"/>
  <c r="AV6" i="45" a="1"/>
  <c r="R81" i="45" a="1"/>
  <c r="AG64" i="44"/>
  <c r="X7" i="45" a="1"/>
  <c r="AL81" i="45" a="1"/>
  <c r="R31" i="45" a="1"/>
  <c r="S58" i="45" a="1"/>
  <c r="X52" i="44"/>
  <c r="AR60" i="45" a="1"/>
  <c r="AR33" i="45" a="1"/>
  <c r="AB84" i="45" a="1"/>
  <c r="AW56" i="45" a="1"/>
  <c r="AS7" i="45" a="1"/>
  <c r="AE76" i="44"/>
  <c r="R58" i="45" a="1"/>
  <c r="AG58" i="44"/>
  <c r="AH33" i="45" a="1"/>
  <c r="AH8" i="45" a="1"/>
  <c r="AL59" i="45" a="1"/>
  <c r="S9" i="45" a="1"/>
  <c r="S85" i="45" a="1"/>
  <c r="AW8" i="45" a="1"/>
  <c r="AS55" i="45" a="1"/>
  <c r="R60" i="45" a="1"/>
  <c r="AV5" i="45" a="1"/>
  <c r="AG10" i="44"/>
  <c r="AL58" i="45" a="1"/>
  <c r="N85" i="45" a="1"/>
  <c r="X31" i="45" a="1"/>
  <c r="S35" i="45" a="1"/>
  <c r="X34" i="45" a="1"/>
  <c r="N81" i="45" a="1"/>
  <c r="AC32" i="45" a="1"/>
  <c r="O56" i="45" a="1"/>
  <c r="AH10" i="44"/>
  <c r="AM8" i="45" a="1"/>
  <c r="AM32" i="45" a="1"/>
  <c r="AH5" i="45" a="1"/>
  <c r="AI10" i="45" a="1"/>
  <c r="AV57" i="45" a="1"/>
  <c r="Y10" i="45" a="1"/>
  <c r="AF16" i="44"/>
  <c r="AW10" i="45" a="1"/>
  <c r="AL32" i="45" a="1"/>
  <c r="AE34" i="44"/>
  <c r="AI34" i="45" a="1"/>
  <c r="Y55" i="45" a="1"/>
  <c r="AV55" i="45" a="1"/>
  <c r="R33" i="45" a="1"/>
  <c r="X5" i="45" a="1"/>
  <c r="AL6" i="45" a="1"/>
  <c r="AB33" i="45" a="1"/>
  <c r="AC58" i="45" a="1"/>
  <c r="S30" i="45" a="1"/>
  <c r="AI55" i="45" a="1"/>
  <c r="O85" i="45" a="1"/>
  <c r="AH55" i="45" a="1"/>
  <c r="AL7" i="45" a="1"/>
  <c r="N31" i="45" a="1"/>
  <c r="R10" i="45" a="1"/>
  <c r="O83" i="45" a="1"/>
  <c r="X57" i="45" a="1"/>
  <c r="AF70" i="44"/>
  <c r="X55" i="45" a="1"/>
  <c r="AL5" i="45" a="1"/>
  <c r="AE58" i="44"/>
  <c r="AM58" i="45" a="1"/>
  <c r="AC84" i="45" a="1"/>
  <c r="AH70" i="44"/>
  <c r="Y80" i="45" a="1"/>
  <c r="AF46" i="44"/>
  <c r="AW55" i="45" a="1"/>
  <c r="AL57" i="45" a="1"/>
  <c r="AW34" i="45" a="1"/>
  <c r="R55" i="45" a="1"/>
  <c r="AH34" i="44"/>
  <c r="R5" i="45" a="1"/>
  <c r="AC7" i="45" a="1"/>
  <c r="O33" i="45" a="1"/>
  <c r="R35" i="45" a="1"/>
  <c r="S82" i="45" a="1"/>
  <c r="AM57" i="45" a="1"/>
  <c r="AC10" i="45" a="1"/>
  <c r="AS9" i="45" a="1"/>
  <c r="AV31" i="45" a="1"/>
  <c r="S6" i="45" a="1"/>
  <c r="Y32" i="45" a="1"/>
  <c r="AI8" i="45" a="1"/>
  <c r="AV33" i="45" a="1"/>
  <c r="AI84" i="45" a="1"/>
  <c r="AR35" i="45" a="1"/>
  <c r="X35" i="45" a="1"/>
  <c r="X70" i="44"/>
  <c r="AH58" i="44"/>
  <c r="AV56" i="45" a="1"/>
  <c r="AS56" i="45" a="1"/>
  <c r="X33" i="45" a="1"/>
  <c r="X84" i="45" a="1"/>
  <c r="AC55" i="45" a="1"/>
  <c r="X16" i="44"/>
  <c r="Y56" i="45" a="1"/>
  <c r="AV8" i="45" a="1"/>
  <c r="R83" i="45" a="1"/>
  <c r="AG16" i="44"/>
  <c r="AM7" i="45" a="1"/>
  <c r="R85" i="45" a="1"/>
  <c r="AB55" i="45" a="1"/>
  <c r="AC60" i="45" a="1"/>
  <c r="AI80" i="45" a="1"/>
  <c r="AE22" i="44"/>
  <c r="X28" i="44"/>
  <c r="AR9" i="45" a="1"/>
  <c r="AH28" i="44"/>
  <c r="Y83" i="45" a="1"/>
  <c r="O34" i="45" a="1"/>
  <c r="AV7" i="45" a="1"/>
  <c r="AW9" i="45" a="1"/>
  <c r="Y58" i="45" a="1"/>
  <c r="AB30" i="45" a="1"/>
  <c r="N32" i="45" a="1"/>
  <c r="AR31" i="45" a="1"/>
  <c r="AG28" i="44"/>
  <c r="AH16" i="44"/>
  <c r="AB32" i="45" a="1"/>
  <c r="X32" i="45" a="1"/>
  <c r="AV35" i="45" a="1"/>
  <c r="AG46" i="44"/>
  <c r="R82" i="45" a="1"/>
  <c r="AS57" i="45" a="1"/>
  <c r="AM83" i="45" a="1"/>
  <c r="AH60" i="45" a="1"/>
  <c r="AW7" i="45" a="1"/>
  <c r="R6" i="45" a="1"/>
  <c r="AH52" i="44"/>
  <c r="O30" i="45" a="1"/>
  <c r="AM81" i="45" a="1"/>
  <c r="S34" i="45" a="1"/>
  <c r="AF40" i="44"/>
  <c r="S57" i="45" a="1"/>
  <c r="S33" i="45" a="1"/>
  <c r="S56" i="45" a="1"/>
  <c r="AH40" i="44"/>
  <c r="AH32" i="45" a="1"/>
  <c r="N58" i="45" a="1"/>
  <c r="AW5" i="45" a="1"/>
  <c r="AH76" i="44"/>
  <c r="AM35" i="45" a="1"/>
  <c r="AG76" i="44"/>
  <c r="S81" i="45" a="1"/>
  <c r="X8" i="45" a="1"/>
  <c r="R34" i="45" a="1"/>
  <c r="AV10" i="45" a="1"/>
  <c r="AH35" i="45" a="1"/>
  <c r="X83" i="45" a="1"/>
  <c r="AC9" i="45" a="1"/>
  <c r="S60" i="45" a="1"/>
  <c r="AM30" i="45" a="1"/>
  <c r="AM82" i="45" a="1"/>
  <c r="AS32" i="45" a="1"/>
  <c r="AM56" i="45" a="1"/>
  <c r="AB57" i="45" a="1"/>
  <c r="R8" i="45" a="1"/>
  <c r="AB83" i="45" a="1"/>
  <c r="AB6" i="45" a="1"/>
  <c r="AF76" i="44"/>
  <c r="S32" i="45" a="1"/>
  <c r="AR32" i="45" a="1"/>
  <c r="AC35" i="45" a="1"/>
  <c r="AH46" i="44"/>
  <c r="N35" i="45" a="1"/>
  <c r="AI59" i="45" a="1"/>
  <c r="AS5" i="45" a="1"/>
  <c r="AC5" i="45" a="1"/>
  <c r="AR58" i="45" a="1"/>
  <c r="AC81" i="45" a="1"/>
  <c r="AH64" i="44"/>
  <c r="Y81" i="45" a="1"/>
  <c r="AW30" i="45" a="1"/>
  <c r="AV59" i="45" a="1"/>
  <c r="AM6" i="45" a="1"/>
  <c r="AR8" i="45" a="1"/>
  <c r="S10" i="45" a="1"/>
  <c r="X64" i="44"/>
  <c r="AS33" i="45" a="1"/>
  <c r="AC31" i="45" a="1"/>
  <c r="AF58" i="44"/>
  <c r="S55" i="45" a="1"/>
  <c r="AF52" i="44"/>
  <c r="AH85" i="45" a="1"/>
  <c r="AC82" i="45" a="1"/>
  <c r="X22" i="44"/>
  <c r="N34" i="45" a="1"/>
  <c r="Y35" i="45" a="1"/>
  <c r="AC59" i="45" a="1"/>
  <c r="AR59" i="45" a="1"/>
  <c r="AR55" i="45" a="1"/>
  <c r="AM80" i="45" a="1"/>
  <c r="AG4" i="44"/>
  <c r="AH15" i="40"/>
  <c r="AM15" i="40"/>
  <c r="AP15" i="40"/>
  <c r="AO15" i="40"/>
  <c r="AJ15" i="40"/>
  <c r="AG15" i="40"/>
  <c r="AI15" i="40"/>
  <c r="AP26" i="40"/>
  <c r="AN15" i="40"/>
  <c r="AO26" i="40"/>
  <c r="AN26" i="40"/>
  <c r="AL15" i="40"/>
  <c r="X98" i="44" l="1"/>
  <c r="C9" i="35" s="1"/>
  <c r="AH98" i="44"/>
  <c r="I9" i="35" s="1"/>
  <c r="AC57" i="45"/>
  <c r="AI35" i="45"/>
  <c r="S83" i="45"/>
  <c r="AV56" i="45"/>
  <c r="AW57" i="45"/>
  <c r="S10" i="45"/>
  <c r="AR57" i="45"/>
  <c r="X34" i="45"/>
  <c r="AF96" i="44"/>
  <c r="G7" i="35" s="1"/>
  <c r="N80" i="45"/>
  <c r="S31" i="45"/>
  <c r="Y33" i="45"/>
  <c r="AV33" i="45"/>
  <c r="AC31" i="45"/>
  <c r="AB57" i="45"/>
  <c r="AW32" i="45"/>
  <c r="AV59" i="45"/>
  <c r="O58" i="45"/>
  <c r="Y55" i="45"/>
  <c r="AH31" i="45"/>
  <c r="S59" i="45"/>
  <c r="AL34" i="45"/>
  <c r="O81" i="45"/>
  <c r="AB6" i="45"/>
  <c r="AL56" i="45"/>
  <c r="S6" i="45"/>
  <c r="AB58" i="45"/>
  <c r="AH59" i="45"/>
  <c r="Y5" i="45"/>
  <c r="AH34" i="45"/>
  <c r="R84" i="45"/>
  <c r="AI84" i="45"/>
  <c r="R58" i="45"/>
  <c r="AV55" i="45"/>
  <c r="AV32" i="45"/>
  <c r="AM55" i="45"/>
  <c r="X5" i="45"/>
  <c r="X58" i="45"/>
  <c r="AI85" i="45"/>
  <c r="R85" i="45"/>
  <c r="X55" i="45"/>
  <c r="AC30" i="45"/>
  <c r="AV7" i="45"/>
  <c r="X95" i="44"/>
  <c r="C6" i="35" s="1"/>
  <c r="AS57" i="45"/>
  <c r="O34" i="45"/>
  <c r="N60" i="45"/>
  <c r="AR60" i="45"/>
  <c r="AS34" i="45"/>
  <c r="R55" i="45"/>
  <c r="R57" i="45"/>
  <c r="AW56" i="45"/>
  <c r="AL30" i="45"/>
  <c r="R10" i="45"/>
  <c r="AI82" i="45"/>
  <c r="N35" i="45"/>
  <c r="AL84" i="45"/>
  <c r="AC33" i="45"/>
  <c r="R82" i="45"/>
  <c r="N56" i="45"/>
  <c r="X32" i="45"/>
  <c r="AH9" i="45"/>
  <c r="AL7" i="45"/>
  <c r="AC6" i="45"/>
  <c r="AV8" i="45"/>
  <c r="AM32" i="45"/>
  <c r="X57" i="45"/>
  <c r="AI58" i="45"/>
  <c r="AE97" i="44"/>
  <c r="F8" i="35" s="1"/>
  <c r="AM82" i="45"/>
  <c r="AW8" i="45"/>
  <c r="AW6" i="45"/>
  <c r="S58" i="45"/>
  <c r="AV9" i="45"/>
  <c r="N34" i="45"/>
  <c r="AS5" i="45"/>
  <c r="AS55" i="45"/>
  <c r="Y83" i="45"/>
  <c r="AH8" i="45"/>
  <c r="S84" i="45"/>
  <c r="AB8" i="45"/>
  <c r="AM83" i="45"/>
  <c r="AB60" i="45"/>
  <c r="AI10" i="45"/>
  <c r="AW34" i="45"/>
  <c r="AC55" i="45"/>
  <c r="AR10" i="45"/>
  <c r="S80" i="45"/>
  <c r="AS56" i="45"/>
  <c r="AL8" i="45"/>
  <c r="N32" i="45"/>
  <c r="AL9" i="45"/>
  <c r="S7" i="45"/>
  <c r="Y6" i="45"/>
  <c r="AS30" i="45"/>
  <c r="AH57" i="45"/>
  <c r="X60" i="45"/>
  <c r="AB82" i="45"/>
  <c r="S85" i="45"/>
  <c r="AV10" i="45"/>
  <c r="AC85" i="45"/>
  <c r="AR30" i="45"/>
  <c r="AH33" i="45"/>
  <c r="X56" i="45"/>
  <c r="AW7" i="45"/>
  <c r="R34" i="45"/>
  <c r="AM81" i="45"/>
  <c r="AL5" i="45"/>
  <c r="X9" i="45"/>
  <c r="AS8" i="45"/>
  <c r="AV6" i="45"/>
  <c r="AB30" i="45"/>
  <c r="AM5" i="45"/>
  <c r="R32" i="45"/>
  <c r="AL10" i="45"/>
  <c r="AR9" i="45"/>
  <c r="X6" i="45"/>
  <c r="AR33" i="45"/>
  <c r="AS60" i="45"/>
  <c r="AH94" i="44"/>
  <c r="I5" i="35" s="1"/>
  <c r="AB31" i="45"/>
  <c r="AI30" i="45"/>
  <c r="AR34" i="45"/>
  <c r="AW30" i="45"/>
  <c r="R31" i="45"/>
  <c r="AH7" i="45"/>
  <c r="X30" i="45"/>
  <c r="X81" i="45"/>
  <c r="R80" i="45"/>
  <c r="AS58" i="45"/>
  <c r="X97" i="44"/>
  <c r="C8" i="35" s="1"/>
  <c r="S56" i="45"/>
  <c r="AM8" i="45"/>
  <c r="AH56" i="45"/>
  <c r="AI83" i="45"/>
  <c r="AI32" i="45"/>
  <c r="AL81" i="45"/>
  <c r="Y80" i="45"/>
  <c r="AW33" i="45"/>
  <c r="AB32" i="45"/>
  <c r="AL59" i="45"/>
  <c r="Y7" i="45"/>
  <c r="AR58" i="45"/>
  <c r="AV57" i="45"/>
  <c r="AC60" i="45"/>
  <c r="AC58" i="45"/>
  <c r="AB83" i="45"/>
  <c r="X96" i="44"/>
  <c r="C7" i="35" s="1"/>
  <c r="AM57" i="45"/>
  <c r="X7" i="45"/>
  <c r="AV5" i="45"/>
  <c r="AV30" i="45"/>
  <c r="S57" i="45"/>
  <c r="Y10" i="45"/>
  <c r="X83" i="45"/>
  <c r="X84" i="45"/>
  <c r="AV58" i="45"/>
  <c r="AB35" i="45"/>
  <c r="AI34" i="45"/>
  <c r="AI81" i="45"/>
  <c r="X85" i="45"/>
  <c r="AL83" i="45"/>
  <c r="Y31" i="45"/>
  <c r="S9" i="45"/>
  <c r="AC82" i="45"/>
  <c r="AS9" i="45"/>
  <c r="AH5" i="45"/>
  <c r="AE96" i="44"/>
  <c r="F7" i="35" s="1"/>
  <c r="R83" i="45"/>
  <c r="N33" i="45"/>
  <c r="S82" i="45"/>
  <c r="AW31" i="45"/>
  <c r="AS6" i="45"/>
  <c r="X8" i="45"/>
  <c r="AM59" i="45"/>
  <c r="N31" i="45"/>
  <c r="N59" i="45"/>
  <c r="AB56" i="45"/>
  <c r="O33" i="45"/>
  <c r="O60" i="45"/>
  <c r="AC80" i="45"/>
  <c r="AB34" i="45"/>
  <c r="AH80" i="45"/>
  <c r="AE94" i="44"/>
  <c r="F5" i="35" s="1"/>
  <c r="AE98" i="44"/>
  <c r="F9" i="35" s="1"/>
  <c r="AH10" i="45"/>
  <c r="AW59" i="45"/>
  <c r="AL33" i="45"/>
  <c r="AS31" i="45"/>
  <c r="O35" i="45"/>
  <c r="N85" i="45"/>
  <c r="N30" i="45"/>
  <c r="R59" i="45"/>
  <c r="AC83" i="45"/>
  <c r="AW55" i="45"/>
  <c r="AC10" i="45"/>
  <c r="AG95" i="44"/>
  <c r="H6" i="35" s="1"/>
  <c r="AR31" i="45"/>
  <c r="Y60" i="45"/>
  <c r="AH83" i="45"/>
  <c r="N83" i="45"/>
  <c r="AL60" i="45"/>
  <c r="AM84" i="45"/>
  <c r="AB81" i="45"/>
  <c r="AL35" i="45"/>
  <c r="N84" i="45"/>
  <c r="X33" i="45"/>
  <c r="AR35" i="45"/>
  <c r="AE95" i="44"/>
  <c r="F6" i="35" s="1"/>
  <c r="AM31" i="45"/>
  <c r="AC81" i="45"/>
  <c r="AM58" i="45"/>
  <c r="AM33" i="45"/>
  <c r="Y30" i="45"/>
  <c r="Y58" i="45"/>
  <c r="AS32" i="45"/>
  <c r="AF94" i="44"/>
  <c r="G5" i="35" s="1"/>
  <c r="AF98" i="44"/>
  <c r="G9" i="35" s="1"/>
  <c r="R81" i="45"/>
  <c r="AC59" i="45"/>
  <c r="N81" i="45"/>
  <c r="O57" i="45"/>
  <c r="Y82" i="45"/>
  <c r="AM85" i="45"/>
  <c r="S35" i="45"/>
  <c r="R9" i="45"/>
  <c r="AI55" i="45"/>
  <c r="AH35" i="45"/>
  <c r="O56" i="45"/>
  <c r="R33" i="45"/>
  <c r="S81" i="45"/>
  <c r="AH6" i="45"/>
  <c r="AM56" i="45"/>
  <c r="AR56" i="45"/>
  <c r="AB10" i="45"/>
  <c r="O55" i="45"/>
  <c r="O32" i="45"/>
  <c r="X59" i="45"/>
  <c r="S32" i="45"/>
  <c r="AI5" i="45"/>
  <c r="AL55" i="45"/>
  <c r="AV35" i="45"/>
  <c r="AC35" i="45"/>
  <c r="Y32" i="45"/>
  <c r="AB80" i="45"/>
  <c r="AV60" i="45"/>
  <c r="AR8" i="45"/>
  <c r="AI31" i="45"/>
  <c r="AW60" i="45"/>
  <c r="AM34" i="45"/>
  <c r="O85" i="45"/>
  <c r="S34" i="45"/>
  <c r="AI33" i="45"/>
  <c r="AC84" i="45"/>
  <c r="AL85" i="45"/>
  <c r="N82" i="45"/>
  <c r="Y57" i="45"/>
  <c r="R5" i="45"/>
  <c r="AW35" i="45"/>
  <c r="AI80" i="45"/>
  <c r="AH60" i="45"/>
  <c r="AM35" i="45"/>
  <c r="R56" i="45"/>
  <c r="X10" i="45"/>
  <c r="AG94" i="44"/>
  <c r="H5" i="35" s="1"/>
  <c r="AG98" i="44"/>
  <c r="H9" i="35" s="1"/>
  <c r="AS35" i="45"/>
  <c r="X82" i="45"/>
  <c r="AB84" i="45"/>
  <c r="AW5" i="45"/>
  <c r="AB85" i="45"/>
  <c r="AI8" i="45"/>
  <c r="AH32" i="45"/>
  <c r="AM60" i="45"/>
  <c r="AS7" i="45"/>
  <c r="S33" i="45"/>
  <c r="AM6" i="45"/>
  <c r="AG97" i="44"/>
  <c r="H8" i="35" s="1"/>
  <c r="N57" i="45"/>
  <c r="O80" i="45"/>
  <c r="AH30" i="45"/>
  <c r="AI59" i="45"/>
  <c r="O59" i="45"/>
  <c r="AB33" i="45"/>
  <c r="AC7" i="45"/>
  <c r="S8" i="45"/>
  <c r="AC5" i="45"/>
  <c r="N58" i="45"/>
  <c r="AI60" i="45"/>
  <c r="AR7" i="45"/>
  <c r="S30" i="45"/>
  <c r="AM30" i="45"/>
  <c r="R35" i="45"/>
  <c r="R6" i="45"/>
  <c r="AH55" i="45"/>
  <c r="AR59" i="45"/>
  <c r="AV31" i="45"/>
  <c r="AH96" i="44"/>
  <c r="I7" i="35" s="1"/>
  <c r="R7" i="45"/>
  <c r="S60" i="45"/>
  <c r="Y59" i="45"/>
  <c r="AI6" i="45"/>
  <c r="AH85" i="45"/>
  <c r="AB55" i="45"/>
  <c r="AV34" i="45"/>
  <c r="AF95" i="44"/>
  <c r="G6" i="35" s="1"/>
  <c r="Y34" i="45"/>
  <c r="O82" i="45"/>
  <c r="O31" i="45"/>
  <c r="AC9" i="45"/>
  <c r="O30" i="45"/>
  <c r="Y84" i="45"/>
  <c r="AG96" i="44"/>
  <c r="H7" i="35" s="1"/>
  <c r="AI56" i="45"/>
  <c r="X80" i="45"/>
  <c r="AL32" i="45"/>
  <c r="AM10" i="45"/>
  <c r="AL58" i="45"/>
  <c r="AI57" i="45"/>
  <c r="AI9" i="45"/>
  <c r="AH82" i="45"/>
  <c r="S55" i="45"/>
  <c r="AC34" i="45"/>
  <c r="AW58" i="45"/>
  <c r="R8" i="45"/>
  <c r="AS10" i="45"/>
  <c r="AI7" i="45"/>
  <c r="AR55" i="45"/>
  <c r="Y9" i="45"/>
  <c r="N55" i="45"/>
  <c r="AB5" i="45"/>
  <c r="AM7" i="45"/>
  <c r="AM9" i="45"/>
  <c r="AL82" i="45"/>
  <c r="R60" i="45"/>
  <c r="AB9" i="45"/>
  <c r="O83" i="45"/>
  <c r="Y85" i="45"/>
  <c r="AS33" i="45"/>
  <c r="AC56" i="45"/>
  <c r="AM80" i="45"/>
  <c r="AW10" i="45"/>
  <c r="AL6" i="45"/>
  <c r="Y35" i="45"/>
  <c r="AH81" i="45"/>
  <c r="AC8" i="45"/>
  <c r="S5" i="45"/>
  <c r="AL80" i="45"/>
  <c r="AL57" i="45"/>
  <c r="AC32" i="45"/>
  <c r="AB59" i="45"/>
  <c r="AS59" i="45"/>
  <c r="AR32" i="45"/>
  <c r="Y56" i="45"/>
  <c r="AH95" i="44"/>
  <c r="I6" i="35" s="1"/>
  <c r="AH58" i="45"/>
  <c r="AL31" i="45"/>
  <c r="R30" i="45"/>
  <c r="AH84" i="45"/>
  <c r="O84" i="45"/>
  <c r="X31" i="45"/>
  <c r="Y8" i="45"/>
  <c r="AW9" i="45"/>
  <c r="AF97" i="44"/>
  <c r="G8" i="35" s="1"/>
  <c r="AB7" i="45"/>
  <c r="AH97" i="44"/>
  <c r="I8" i="35" s="1"/>
  <c r="Y81" i="45"/>
  <c r="X35" i="45"/>
  <c r="AE16" i="40"/>
  <c r="AL36" i="40"/>
  <c r="AP16" i="40"/>
  <c r="AM27" i="40"/>
  <c r="AJ16" i="40"/>
  <c r="AN27" i="40"/>
  <c r="AI16" i="40"/>
  <c r="AD95" i="44" l="1"/>
  <c r="E6" i="35" s="1"/>
  <c r="AD96" i="44"/>
  <c r="E7" i="35" s="1"/>
  <c r="AD97" i="44"/>
  <c r="E8" i="35" s="1"/>
  <c r="E9" i="35"/>
  <c r="AE17" i="40"/>
  <c r="AL37" i="40"/>
  <c r="AF16" i="40"/>
  <c r="AM17" i="40"/>
  <c r="AI17" i="40"/>
  <c r="AO27" i="40"/>
  <c r="AN16" i="40"/>
  <c r="AP28" i="40"/>
  <c r="AM16" i="40"/>
  <c r="AH16" i="40"/>
  <c r="AJ17" i="40"/>
  <c r="AH17" i="40"/>
  <c r="AO16" i="40"/>
  <c r="AL16" i="40"/>
  <c r="AP27" i="40"/>
  <c r="AG16" i="40"/>
  <c r="AE18" i="40" l="1"/>
  <c r="AL38" i="40"/>
  <c r="AG17" i="40"/>
  <c r="AH18" i="40"/>
  <c r="AF17" i="40"/>
  <c r="AN28" i="40"/>
  <c r="AJ18" i="40"/>
  <c r="AF18" i="40"/>
  <c r="AL18" i="40"/>
  <c r="AM29" i="40"/>
  <c r="AM28" i="40"/>
  <c r="AM18" i="40"/>
  <c r="AP29" i="40"/>
  <c r="AN17" i="40"/>
  <c r="AI18" i="40"/>
  <c r="AG18" i="40"/>
  <c r="AP17" i="40"/>
  <c r="AO18" i="40"/>
  <c r="AO29" i="40"/>
  <c r="AL17" i="40"/>
  <c r="AO17" i="40"/>
  <c r="AO28" i="40"/>
  <c r="AN29" i="40"/>
  <c r="AN18" i="40"/>
  <c r="AE19" i="40" l="1"/>
  <c r="AL39" i="40"/>
  <c r="AP18" i="40"/>
  <c r="AM30" i="40"/>
  <c r="AJ19" i="40"/>
  <c r="AO19" i="40"/>
  <c r="AN30" i="40"/>
  <c r="AH19" i="40"/>
  <c r="AP30" i="40"/>
  <c r="AG19" i="40"/>
  <c r="AL19" i="40"/>
  <c r="AI19" i="40"/>
  <c r="AF19" i="40"/>
  <c r="AP19" i="40"/>
  <c r="AM19" i="40"/>
  <c r="AN19" i="40"/>
  <c r="AE20" i="40" l="1"/>
  <c r="AH26" i="40"/>
  <c r="AH29" i="40" s="1"/>
  <c r="AI20" i="40"/>
  <c r="AP31" i="40"/>
  <c r="AM31" i="40"/>
  <c r="AM20" i="40"/>
  <c r="AJ20" i="40"/>
  <c r="AO30" i="40"/>
  <c r="AO20" i="40"/>
  <c r="AF20" i="40"/>
  <c r="AL20" i="40"/>
  <c r="AO31" i="40"/>
  <c r="AP20" i="40"/>
  <c r="AH20" i="40"/>
  <c r="AG20" i="40"/>
  <c r="AN31" i="40"/>
  <c r="AN20" i="40"/>
  <c r="AL40" i="40" l="1"/>
  <c r="AG26" i="40"/>
  <c r="AG29" i="40" s="1"/>
  <c r="AJ26" i="40"/>
  <c r="AJ29" i="40" s="1"/>
  <c r="AI26" i="40"/>
  <c r="AI29" i="40" s="1"/>
  <c r="AL41" i="40" l="1"/>
  <c r="AG27" i="40"/>
  <c r="AG30" i="40" s="1"/>
  <c r="AF26" i="40"/>
  <c r="AF29" i="40" s="1"/>
  <c r="AF27" i="40"/>
  <c r="AF30" i="40" s="1"/>
  <c r="AJ27" i="40" l="1"/>
  <c r="AJ30" i="40" s="1"/>
  <c r="AH27" i="40"/>
  <c r="AH30" i="40" s="1"/>
  <c r="AL42" i="40"/>
  <c r="AI27" i="40"/>
  <c r="AI30" i="40" s="1"/>
  <c r="AL43" i="40" l="1"/>
  <c r="AL44" i="40" l="1"/>
  <c r="AL45" i="40" l="1"/>
  <c r="AL46" i="40" l="1"/>
  <c r="AL47" i="40" l="1"/>
  <c r="AL48" i="40" l="1"/>
  <c r="AL49" i="40" l="1"/>
  <c r="AG136" i="40" l="1"/>
  <c r="AG139" i="40" s="1"/>
  <c r="AG135" i="40"/>
  <c r="AG138" i="40" s="1"/>
  <c r="AF135" i="40"/>
  <c r="AF138" i="40" s="1"/>
  <c r="AF136" i="40"/>
  <c r="AF139" i="40" s="1"/>
  <c r="AD139" i="40"/>
  <c r="AE135" i="40"/>
  <c r="AE138" i="40" s="1"/>
  <c r="AE136" i="40"/>
  <c r="AE139" i="40" s="1"/>
  <c r="AH136" i="40"/>
  <c r="AH139" i="40" s="1"/>
  <c r="AH135" i="40"/>
  <c r="AH138" i="4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<sst xmlns="http://schemas.openxmlformats.org/spreadsheetml/2006/main" count="1784" uniqueCount="259">
  <si>
    <t>Y psnr</t>
  </si>
  <si>
    <t>U psnr</t>
  </si>
  <si>
    <t>V psnr</t>
  </si>
  <si>
    <t>EncR</t>
  </si>
  <si>
    <t>DecR</t>
  </si>
  <si>
    <t>Tested:</t>
    <phoneticPr fontId="8" type="noConversion"/>
  </si>
  <si>
    <r>
      <rPr>
        <b/>
        <sz val="12"/>
        <color theme="1"/>
        <rFont val="新細明體"/>
        <family val="3"/>
        <charset val="134"/>
        <scheme val="minor"/>
      </rPr>
      <t>Reference</t>
    </r>
    <r>
      <rPr>
        <sz val="12"/>
        <color theme="1"/>
        <rFont val="新細明體"/>
        <family val="2"/>
        <charset val="129"/>
        <scheme val="minor"/>
      </rPr>
      <t>:</t>
    </r>
    <phoneticPr fontId="8" type="noConversion"/>
  </si>
  <si>
    <t>Avg (geometric) time [s]</t>
  </si>
  <si>
    <t>Avg (geometric) time [%]</t>
  </si>
  <si>
    <t>Chroma Cr</t>
    <phoneticPr fontId="8" type="noConversion"/>
  </si>
  <si>
    <t>mAP</t>
    <phoneticPr fontId="8" type="noConversion"/>
  </si>
  <si>
    <t>BD-rate</t>
    <phoneticPr fontId="8" type="noConversion"/>
  </si>
  <si>
    <t>Chroma Cb</t>
  </si>
  <si>
    <t>Luma</t>
    <phoneticPr fontId="8" type="noConversion"/>
  </si>
  <si>
    <t>(e.g. Xeon …)</t>
  </si>
  <si>
    <t>(e.g. GTX 1080ti)</t>
  </si>
  <si>
    <t>EncT</t>
  </si>
  <si>
    <t>DecT</t>
  </si>
  <si>
    <t>Object Tracking</t>
    <phoneticPr fontId="8" type="noConversion"/>
  </si>
  <si>
    <t>-10%</t>
  </si>
  <si>
    <t>-20%</t>
  </si>
  <si>
    <t>Half</t>
  </si>
  <si>
    <t>None</t>
  </si>
  <si>
    <t>Anchor</t>
  </si>
  <si>
    <t>Bitrate</t>
  </si>
  <si>
    <t>mAP</t>
  </si>
  <si>
    <t>Anchor - all datapoints</t>
  </si>
  <si>
    <t>Anchor - Pareto</t>
  </si>
  <si>
    <t>Test - all datapoints</t>
  </si>
  <si>
    <t>Test - Pareto</t>
  </si>
  <si>
    <t>QPISlice</t>
  </si>
  <si>
    <t>MOTA</t>
  </si>
  <si>
    <t>Y</t>
  </si>
  <si>
    <t>U</t>
  </si>
  <si>
    <t>V</t>
  </si>
  <si>
    <t>Overall Average</t>
  </si>
  <si>
    <t>Total time [s]</t>
  </si>
  <si>
    <t>Total time [%]</t>
  </si>
  <si>
    <t>Select the machine tasks and dataset from the dropbox below</t>
  </si>
  <si>
    <t>Bitrate (kbps)</t>
  </si>
  <si>
    <t>Uncompressed</t>
  </si>
  <si>
    <t>End-to-End BD-Rate [%]</t>
  </si>
  <si>
    <t>Pareto mAP</t>
  </si>
  <si>
    <t>Pareto MOTA</t>
  </si>
  <si>
    <t>Custom threshold</t>
  </si>
  <si>
    <t>Custom</t>
  </si>
  <si>
    <t xml:space="preserve"> </t>
  </si>
  <si>
    <t>mAP</t>
    <phoneticPr fontId="8" type="noConversion"/>
  </si>
  <si>
    <t>MOTA</t>
    <phoneticPr fontId="8" type="noConversion"/>
  </si>
  <si>
    <t>BD-MOTA</t>
    <phoneticPr fontId="8" type="noConversion"/>
  </si>
  <si>
    <t>End-to-End BD-Rate [%]</t>
    <phoneticPr fontId="8" type="noConversion"/>
  </si>
  <si>
    <t>End-to-End BD-mAP</t>
    <phoneticPr fontId="8" type="noConversion"/>
  </si>
  <si>
    <t>End-to-End BD-MOTA</t>
    <phoneticPr fontId="8" type="noConversion"/>
  </si>
  <si>
    <t>mAP</t>
    <phoneticPr fontId="13" type="noConversion"/>
  </si>
  <si>
    <t>kbps</t>
    <phoneticPr fontId="8" type="noConversion"/>
  </si>
  <si>
    <t>BD Rate</t>
  </si>
  <si>
    <t>kbps</t>
  </si>
  <si>
    <t>Class A</t>
  </si>
  <si>
    <t>Traffic_2560x1600_30_val</t>
  </si>
  <si>
    <t>Class B</t>
  </si>
  <si>
    <t>Kimono_1920x1080_24_val</t>
  </si>
  <si>
    <t>ParkScene_1920x1080_24_val</t>
  </si>
  <si>
    <t>Cactus_1920x1080_50_val</t>
  </si>
  <si>
    <t>BasketballDrive_1920x1080_50_val</t>
  </si>
  <si>
    <t>BQTerrace_1920x1080_60_val</t>
  </si>
  <si>
    <t>Class C</t>
  </si>
  <si>
    <t>BasketballDrill_832x480_50_val</t>
  </si>
  <si>
    <t>BQMall_832x480_60_val</t>
  </si>
  <si>
    <t>PartyScene_832x480_50_val</t>
  </si>
  <si>
    <t>RaceHorses_832x480_30_val</t>
  </si>
  <si>
    <t>Class D</t>
  </si>
  <si>
    <t>BasketballPass_416x240_50_val</t>
  </si>
  <si>
    <t>BQSquare_416x240_60_val</t>
  </si>
  <si>
    <t>BlowingBubbles_416x240_50_val</t>
  </si>
  <si>
    <t>RaceHorses_416x240_30</t>
  </si>
  <si>
    <t>FourPeople_1280x720_60_val</t>
  </si>
  <si>
    <t>Johnny_1280x720_60_val</t>
  </si>
  <si>
    <t>KristenAndSara_1280x720_60_val</t>
  </si>
  <si>
    <t>Class E</t>
  </si>
  <si>
    <t>BD-mAP</t>
  </si>
  <si>
    <t>SFU-HW-Objects-v1 Video Dataset</t>
  </si>
  <si>
    <t>Line 1 - Reference</t>
  </si>
  <si>
    <t>Line 2 - Test</t>
  </si>
  <si>
    <t>mAP@[0.5-0.95]</t>
  </si>
  <si>
    <t>rate</t>
  </si>
  <si>
    <t>y</t>
  </si>
  <si>
    <t>u</t>
  </si>
  <si>
    <t>v</t>
  </si>
  <si>
    <t>RaceHorses_416x240_30_val</t>
  </si>
  <si>
    <t>Sequence</t>
  </si>
  <si>
    <t>mAP vs kbps</t>
    <phoneticPr fontId="8" type="noConversion"/>
  </si>
  <si>
    <t>Y PSNR vs kbps</t>
    <phoneticPr fontId="8" type="noConversion"/>
  </si>
  <si>
    <t>Pareto mAP vs kbps</t>
    <phoneticPr fontId="8" type="noConversion"/>
  </si>
  <si>
    <t>U PSNR vs kbps</t>
    <phoneticPr fontId="8" type="noConversion"/>
  </si>
  <si>
    <t>V PSNR vs kbps</t>
    <phoneticPr fontId="8" type="noConversion"/>
  </si>
  <si>
    <t>Pareto Front</t>
  </si>
  <si>
    <t>Anchor kbps</t>
  </si>
  <si>
    <t>Anchor mAP</t>
  </si>
  <si>
    <t>Test kbps</t>
  </si>
  <si>
    <t>Test mAP</t>
  </si>
  <si>
    <t>Class AB</t>
  </si>
  <si>
    <t>Average</t>
  </si>
  <si>
    <t>Class-wise evaluation</t>
  </si>
  <si>
    <t>Class_AB</t>
  </si>
  <si>
    <t>Class_C</t>
  </si>
  <si>
    <t>Class_D</t>
  </si>
  <si>
    <t>Sequence</t>
    <phoneticPr fontId="8" type="noConversion"/>
  </si>
  <si>
    <t>SFU-HW-Objects-v1 Video Dataset (VCM Anchor, VTM-12.0)</t>
    <phoneticPr fontId="8" type="noConversion"/>
  </si>
  <si>
    <t>Anchor scale</t>
    <phoneticPr fontId="8" type="noConversion"/>
  </si>
  <si>
    <t>TVD Video Dataset - object tracking (VCM Anchor, VTM-12.0)</t>
    <phoneticPr fontId="8" type="noConversion"/>
  </si>
  <si>
    <t>TVD-01</t>
    <phoneticPr fontId="13" type="noConversion"/>
  </si>
  <si>
    <t>TVD-02</t>
    <phoneticPr fontId="13" type="noConversion"/>
  </si>
  <si>
    <t>TVD-03</t>
    <phoneticPr fontId="13" type="noConversion"/>
  </si>
  <si>
    <t>RGB psnr</t>
    <phoneticPr fontId="8" type="noConversion"/>
  </si>
  <si>
    <t>CPU:</t>
  </si>
  <si>
    <t xml:space="preserve">GPU: </t>
  </si>
  <si>
    <t>SFU-HW</t>
    <phoneticPr fontId="8" type="noConversion"/>
  </si>
  <si>
    <t>Object Detection</t>
  </si>
  <si>
    <t>End-to-End BD-mAP</t>
  </si>
  <si>
    <t>Luma</t>
  </si>
  <si>
    <t>Chroma Cr</t>
  </si>
  <si>
    <t>Random Access</t>
  </si>
  <si>
    <t>All Intra</t>
  </si>
  <si>
    <t>BD-mAP</t>
    <phoneticPr fontId="8" type="noConversion"/>
  </si>
  <si>
    <t>Dataset</t>
    <phoneticPr fontId="8" type="noConversion"/>
  </si>
  <si>
    <t>QP</t>
  </si>
  <si>
    <t>BPP</t>
    <phoneticPr fontId="8" type="noConversion"/>
  </si>
  <si>
    <t>Y</t>
    <phoneticPr fontId="8" type="noConversion"/>
  </si>
  <si>
    <t>U</t>
    <phoneticPr fontId="8" type="noConversion"/>
  </si>
  <si>
    <t>V</t>
    <phoneticPr fontId="8" type="noConversion"/>
  </si>
  <si>
    <t xml:space="preserve">OpenImageV6 </t>
    <phoneticPr fontId="8" type="noConversion"/>
  </si>
  <si>
    <t xml:space="preserve">FLIR </t>
    <phoneticPr fontId="8" type="noConversion"/>
  </si>
  <si>
    <t>TVD</t>
    <phoneticPr fontId="8" type="noConversion"/>
  </si>
  <si>
    <t>OpenImageV6 Average</t>
    <phoneticPr fontId="8" type="noConversion"/>
  </si>
  <si>
    <t>Total time [s]</t>
    <phoneticPr fontId="8" type="noConversion"/>
  </si>
  <si>
    <t>Total time [%]</t>
    <phoneticPr fontId="8" type="noConversion"/>
  </si>
  <si>
    <t>Average</t>
    <phoneticPr fontId="8" type="noConversion"/>
  </si>
  <si>
    <t>FLIR Average</t>
    <phoneticPr fontId="8" type="noConversion"/>
  </si>
  <si>
    <t>TVD Average</t>
    <phoneticPr fontId="8" type="noConversion"/>
  </si>
  <si>
    <t>OpenImage</t>
    <phoneticPr fontId="8" type="noConversion"/>
  </si>
  <si>
    <t>FLIR</t>
    <phoneticPr fontId="8" type="noConversion"/>
  </si>
  <si>
    <t>Image
Datasets</t>
    <phoneticPr fontId="8" type="noConversion"/>
  </si>
  <si>
    <t>OpenImageV6</t>
  </si>
  <si>
    <t>FLIR</t>
  </si>
  <si>
    <t>TVD</t>
  </si>
  <si>
    <t>Object Tracking - LD</t>
    <phoneticPr fontId="13" type="noConversion"/>
  </si>
  <si>
    <t>Object Tracking - RA</t>
    <phoneticPr fontId="13" type="noConversion"/>
  </si>
  <si>
    <t>RA</t>
    <phoneticPr fontId="8" type="noConversion"/>
  </si>
  <si>
    <t>LD</t>
    <phoneticPr fontId="8" type="noConversion"/>
  </si>
  <si>
    <t>AI</t>
    <phoneticPr fontId="8" type="noConversion"/>
  </si>
  <si>
    <t>SFU-HW_RA</t>
    <phoneticPr fontId="8" type="noConversion"/>
  </si>
  <si>
    <t>SFU-HW_LD</t>
    <phoneticPr fontId="8" type="noConversion"/>
  </si>
  <si>
    <t>SFU-HW_AI</t>
    <phoneticPr fontId="8" type="noConversion"/>
  </si>
  <si>
    <t>SFU-HW_classes_RA</t>
    <phoneticPr fontId="8" type="noConversion"/>
  </si>
  <si>
    <t>SFU-HW_classes_LD</t>
    <phoneticPr fontId="8" type="noConversion"/>
  </si>
  <si>
    <t>SFU-HW_classes_AI</t>
    <phoneticPr fontId="8" type="noConversion"/>
  </si>
  <si>
    <t>TVD_RA</t>
    <phoneticPr fontId="8" type="noConversion"/>
  </si>
  <si>
    <t>TVD_LD</t>
    <phoneticPr fontId="8" type="noConversion"/>
  </si>
  <si>
    <t>configuration</t>
    <phoneticPr fontId="8" type="noConversion"/>
  </si>
  <si>
    <t>Dataset</t>
  </si>
  <si>
    <t>Anchor Scale</t>
  </si>
  <si>
    <t>Line 1 - Anchor</t>
    <phoneticPr fontId="8" type="noConversion"/>
  </si>
  <si>
    <t>Line 2 - Test</t>
    <phoneticPr fontId="8" type="noConversion"/>
  </si>
  <si>
    <t>Object_Detection</t>
  </si>
  <si>
    <t>Instance_Segmentation</t>
  </si>
  <si>
    <t>Object_Tracking</t>
  </si>
  <si>
    <t>Pose_Estimation</t>
    <phoneticPr fontId="8" type="noConversion"/>
  </si>
  <si>
    <t>Action_Recognition</t>
    <phoneticPr fontId="8" type="noConversion"/>
  </si>
  <si>
    <t>Y psnr</t>
    <phoneticPr fontId="8" type="noConversion"/>
  </si>
  <si>
    <t>U psnr</t>
    <phoneticPr fontId="8" type="noConversion"/>
  </si>
  <si>
    <t>V psnr</t>
    <phoneticPr fontId="8" type="noConversion"/>
  </si>
  <si>
    <t>Object_Detection_OpenImageV6_100</t>
    <phoneticPr fontId="8" type="noConversion"/>
  </si>
  <si>
    <t>Object_Detection_FLIR_100</t>
    <phoneticPr fontId="8" type="noConversion"/>
  </si>
  <si>
    <t>Semantic_Segmentation</t>
  </si>
  <si>
    <t>mAcc</t>
  </si>
  <si>
    <t>Object_Detection_TVD_100</t>
    <phoneticPr fontId="8" type="noConversion"/>
  </si>
  <si>
    <t>fmAP</t>
    <phoneticPr fontId="8" type="noConversion"/>
  </si>
  <si>
    <t>Test</t>
  </si>
  <si>
    <t>Object_Detection_OpenImageV6</t>
    <phoneticPr fontId="8" type="noConversion"/>
  </si>
  <si>
    <t>BPP</t>
  </si>
  <si>
    <t>Object_Detection_FLIR</t>
    <phoneticPr fontId="8" type="noConversion"/>
  </si>
  <si>
    <t>Object_Detection_TVD</t>
    <phoneticPr fontId="8" type="noConversion"/>
  </si>
  <si>
    <t>Image datasets</t>
    <phoneticPr fontId="8" type="noConversion"/>
  </si>
  <si>
    <t>Image_AI</t>
    <phoneticPr fontId="8" type="noConversion"/>
  </si>
  <si>
    <t>mAP (6 points)</t>
    <phoneticPr fontId="8" type="noConversion"/>
  </si>
  <si>
    <t>mAP (high 5)</t>
    <phoneticPr fontId="8" type="noConversion"/>
  </si>
  <si>
    <t>mAP (low 5)</t>
    <phoneticPr fontId="8" type="noConversion"/>
  </si>
  <si>
    <t>mAP (high 4)</t>
    <phoneticPr fontId="8" type="noConversion"/>
  </si>
  <si>
    <t>mAP (middle 4)</t>
    <phoneticPr fontId="8" type="noConversion"/>
  </si>
  <si>
    <t>mAP (low 4)</t>
    <phoneticPr fontId="8" type="noConversion"/>
  </si>
  <si>
    <t>MOTA (6 points)</t>
    <phoneticPr fontId="8" type="noConversion"/>
  </si>
  <si>
    <t>MOTA (high 5)</t>
    <phoneticPr fontId="8" type="noConversion"/>
  </si>
  <si>
    <t>MOTA (low 5)</t>
    <phoneticPr fontId="8" type="noConversion"/>
  </si>
  <si>
    <t>MOTA (high 4)</t>
    <phoneticPr fontId="8" type="noConversion"/>
  </si>
  <si>
    <t>MOTA (middle 4)</t>
    <phoneticPr fontId="8" type="noConversion"/>
  </si>
  <si>
    <t>MOTA (low 4)</t>
    <phoneticPr fontId="8" type="noConversion"/>
  </si>
  <si>
    <t>mAP (low4)</t>
  </si>
  <si>
    <t>MOTA (low4)</t>
  </si>
  <si>
    <t>TVD-03_2</t>
    <phoneticPr fontId="8" type="noConversion"/>
  </si>
  <si>
    <t>TVD-03_3</t>
    <phoneticPr fontId="8" type="noConversion"/>
  </si>
  <si>
    <t>TVD-03_2 average</t>
    <phoneticPr fontId="8" type="noConversion"/>
  </si>
  <si>
    <t>TVD-03_3 average</t>
    <phoneticPr fontId="8" type="noConversion"/>
  </si>
  <si>
    <t>TVD-02_1 average</t>
    <phoneticPr fontId="8" type="noConversion"/>
  </si>
  <si>
    <t>TVD-02_1</t>
    <phoneticPr fontId="8" type="noConversion"/>
  </si>
  <si>
    <t>TVD_AI</t>
    <phoneticPr fontId="8" type="noConversion"/>
  </si>
  <si>
    <t>TVD-01_1</t>
    <phoneticPr fontId="8" type="noConversion"/>
  </si>
  <si>
    <t>TVD-03_1</t>
    <phoneticPr fontId="8" type="noConversion"/>
  </si>
  <si>
    <t>TVD-03_1 average</t>
    <phoneticPr fontId="8" type="noConversion"/>
  </si>
  <si>
    <t>TVD-01_2</t>
    <phoneticPr fontId="8" type="noConversion"/>
  </si>
  <si>
    <t>TVD-01_3</t>
    <phoneticPr fontId="8" type="noConversion"/>
  </si>
  <si>
    <t>TVD-01_1 average</t>
    <phoneticPr fontId="8" type="noConversion"/>
  </si>
  <si>
    <t>TVD-01_2 average</t>
    <phoneticPr fontId="8" type="noConversion"/>
  </si>
  <si>
    <t>TVD-01_3 average</t>
    <phoneticPr fontId="8" type="noConversion"/>
  </si>
  <si>
    <t>Uncompressed</t>
    <phoneticPr fontId="8" type="noConversion"/>
  </si>
  <si>
    <t>Parato data</t>
    <phoneticPr fontId="8" type="noConversion"/>
  </si>
  <si>
    <t>Custom threshold</t>
    <phoneticPr fontId="13" type="noConversion"/>
  </si>
  <si>
    <t>Pareto front theshold:</t>
    <phoneticPr fontId="8" type="noConversion"/>
  </si>
  <si>
    <t>anchor</t>
    <phoneticPr fontId="8" type="noConversion"/>
  </si>
  <si>
    <t>test</t>
    <phoneticPr fontId="8" type="noConversion"/>
  </si>
  <si>
    <t>TVD-01_1</t>
  </si>
  <si>
    <t>Enc T [s]</t>
  </si>
  <si>
    <t>Dec T [s]</t>
  </si>
  <si>
    <t>Class O</t>
    <phoneticPr fontId="8" type="noConversion"/>
  </si>
  <si>
    <t>Kimono_1920x1080_24_val</t>
    <phoneticPr fontId="8" type="noConversion"/>
  </si>
  <si>
    <t xml:space="preserve"> </t>
    <phoneticPr fontId="8" type="noConversion"/>
  </si>
  <si>
    <t>TVD_LD</t>
  </si>
  <si>
    <t>Enc T [s]</t>
    <phoneticPr fontId="8" type="noConversion"/>
  </si>
  <si>
    <t>Dec T [s]</t>
    <phoneticPr fontId="8" type="noConversion"/>
  </si>
  <si>
    <t>SFU-HW_RA</t>
  </si>
  <si>
    <t>TVD-01-1_1920x1080_50_8bit_yuv420</t>
    <phoneticPr fontId="8" type="noConversion"/>
  </si>
  <si>
    <t>TVD-01-2_1920x1080_50_8bit_yuv420</t>
    <phoneticPr fontId="8" type="noConversion"/>
  </si>
  <si>
    <t>TVD-01-3_1920x1080_50_8bit_yuv420</t>
    <phoneticPr fontId="8" type="noConversion"/>
  </si>
  <si>
    <t>TVD-02-1_1920x1080_50_10bit_yuv420</t>
    <phoneticPr fontId="8" type="noConversion"/>
  </si>
  <si>
    <t>TVD-03-1_1920x1080_50_10bit_yuv420</t>
    <phoneticPr fontId="8" type="noConversion"/>
  </si>
  <si>
    <t>TVD-03-2_1920x1080_50_10bit_yuv420</t>
    <phoneticPr fontId="8" type="noConversion"/>
  </si>
  <si>
    <t>TVD-03-3_1920x1080_50_10bit_yuv420</t>
    <phoneticPr fontId="8" type="noConversion"/>
  </si>
  <si>
    <t>TVD-01-1</t>
  </si>
  <si>
    <t>TVD-01-1</t>
    <phoneticPr fontId="8" type="noConversion"/>
  </si>
  <si>
    <t>TVD-01-2</t>
  </si>
  <si>
    <t>TVD-01-2</t>
    <phoneticPr fontId="8" type="noConversion"/>
  </si>
  <si>
    <t>TVD-01-3</t>
  </si>
  <si>
    <t>TVD-01-3</t>
    <phoneticPr fontId="8" type="noConversion"/>
  </si>
  <si>
    <t>TVD-02-1</t>
  </si>
  <si>
    <t>TVD-02-1</t>
    <phoneticPr fontId="8" type="noConversion"/>
  </si>
  <si>
    <t>TVD-03-1</t>
  </si>
  <si>
    <t>TVD-03-1</t>
    <phoneticPr fontId="8" type="noConversion"/>
  </si>
  <si>
    <t>TVD-03-2</t>
  </si>
  <si>
    <t>TVD-03-2</t>
    <phoneticPr fontId="8" type="noConversion"/>
  </si>
  <si>
    <t>TVD-03-3</t>
  </si>
  <si>
    <t>TVD-03-3</t>
    <phoneticPr fontId="8" type="noConversion"/>
  </si>
  <si>
    <t>r0</t>
  </si>
  <si>
    <t>r1</t>
  </si>
  <si>
    <t>r2</t>
  </si>
  <si>
    <t>r3</t>
  </si>
  <si>
    <t>r4</t>
  </si>
  <si>
    <t>r5</t>
  </si>
  <si>
    <t>Class A+B+C+D</t>
  </si>
  <si>
    <t>Anchor (v0.6.1 VTM inner)</t>
  </si>
  <si>
    <t>Low Delay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</si>
</sst>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_ "/>
    <numFmt numFmtId="178" formatCode="0.000"/>
    <numFmt numFmtId="179" formatCode="0.0"/>
    <numFmt numFmtId="180" formatCode="0.000000000_ "/>
    <numFmt numFmtId="181" formatCode="0.00_);[Red]\(0.00\)"/>
  </numFmts>
  <fonts count="27" x14ac:knownFonts="1">
    <font>
      <sz val="12"/>
      <color theme="1"/>
      <name val="新細明體"/>
      <family val="2"/>
      <charset val="129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新細明體"/>
      <family val="2"/>
      <charset val="129"/>
      <scheme val="minor"/>
    </font>
    <font>
      <u/>
      <sz val="12"/>
      <color theme="11"/>
      <name val="新細明體"/>
      <family val="2"/>
      <charset val="129"/>
      <scheme val="minor"/>
    </font>
    <font>
      <sz val="9"/>
      <name val="新細明體"/>
      <family val="3"/>
      <charset val="134"/>
      <scheme val="minor"/>
    </font>
    <font>
      <b/>
      <sz val="12"/>
      <color theme="1"/>
      <name val="新細明體"/>
      <family val="3"/>
      <charset val="134"/>
      <scheme val="minor"/>
    </font>
    <font>
      <sz val="12"/>
      <color theme="1"/>
      <name val="新細明體"/>
      <family val="3"/>
      <charset val="134"/>
      <scheme val="minor"/>
    </font>
    <font>
      <b/>
      <sz val="9"/>
      <color rgb="FF000000"/>
      <name val="Arial"/>
      <family val="2"/>
    </font>
    <font>
      <b/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29"/>
      <scheme val="minor"/>
    </font>
    <font>
      <sz val="12"/>
      <color theme="1"/>
      <name val="Calibri"/>
      <family val="2"/>
      <charset val="129"/>
    </font>
    <font>
      <sz val="9"/>
      <color rgb="FF000000"/>
      <name val="Arial"/>
      <family val="2"/>
    </font>
    <font>
      <sz val="10"/>
      <color indexed="8"/>
      <name val="Calibri"/>
      <family val="2"/>
    </font>
    <font>
      <b/>
      <sz val="12"/>
      <color rgb="FF000000"/>
      <name val="新細明體"/>
      <family val="3"/>
      <charset val="134"/>
      <scheme val="minor"/>
    </font>
    <font>
      <sz val="12"/>
      <color rgb="FF000000"/>
      <name val="新細明體"/>
      <family val="2"/>
      <charset val="129"/>
      <scheme val="minor"/>
    </font>
    <font>
      <sz val="12"/>
      <color rgb="FF000000"/>
      <name val="新細明體"/>
      <family val="3"/>
      <charset val="134"/>
      <scheme val="minor"/>
    </font>
    <font>
      <sz val="9"/>
      <color theme="1"/>
      <name val="Arial"/>
      <family val="2"/>
    </font>
    <font>
      <b/>
      <sz val="10"/>
      <color indexed="8"/>
      <name val="Arial"/>
      <family val="2"/>
    </font>
    <font>
      <sz val="11"/>
      <color theme="1"/>
      <name val="新細明體"/>
      <family val="2"/>
      <charset val="129"/>
      <scheme val="minor"/>
    </font>
    <font>
      <sz val="10"/>
      <color theme="1"/>
      <name val="新細明體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auto="1"/>
      </top>
      <bottom style="medium">
        <color rgb="FF000000"/>
      </bottom>
      <diagonal/>
    </border>
  </borders>
  <cellStyleXfs count="1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5" fillId="0" borderId="0"/>
    <xf numFmtId="0" fontId="14" fillId="0" borderId="0"/>
    <xf numFmtId="0" fontId="3" fillId="0" borderId="0"/>
    <xf numFmtId="0" fontId="14" fillId="0" borderId="0"/>
    <xf numFmtId="0" fontId="2" fillId="0" borderId="0"/>
    <xf numFmtId="9" fontId="16" fillId="0" borderId="0" applyFont="0" applyFill="0" applyBorder="0" applyAlignment="0" applyProtection="0"/>
    <xf numFmtId="0" fontId="1" fillId="0" borderId="0"/>
    <xf numFmtId="0" fontId="1" fillId="0" borderId="0"/>
  </cellStyleXfs>
  <cellXfs count="313">
    <xf numFmtId="0" fontId="0" fillId="0" borderId="0" xfId="0"/>
    <xf numFmtId="0" fontId="4" fillId="0" borderId="0" xfId="0" applyFont="1"/>
    <xf numFmtId="0" fontId="4" fillId="0" borderId="4" xfId="0" applyFont="1" applyBorder="1" applyAlignment="1">
      <alignment horizontal="center"/>
    </xf>
    <xf numFmtId="176" fontId="4" fillId="2" borderId="10" xfId="0" applyNumberFormat="1" applyFont="1" applyFill="1" applyBorder="1"/>
    <xf numFmtId="10" fontId="4" fillId="0" borderId="0" xfId="0" applyNumberFormat="1" applyFont="1"/>
    <xf numFmtId="10" fontId="4" fillId="0" borderId="8" xfId="0" applyNumberFormat="1" applyFont="1" applyBorder="1"/>
    <xf numFmtId="10" fontId="4" fillId="0" borderId="11" xfId="0" applyNumberFormat="1" applyFont="1" applyBorder="1"/>
    <xf numFmtId="10" fontId="4" fillId="0" borderId="12" xfId="0" applyNumberFormat="1" applyFont="1" applyBorder="1"/>
    <xf numFmtId="0" fontId="4" fillId="0" borderId="1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0" fillId="0" borderId="0" xfId="0" applyFont="1"/>
    <xf numFmtId="0" fontId="9" fillId="0" borderId="0" xfId="0" applyFont="1"/>
    <xf numFmtId="176" fontId="4" fillId="0" borderId="0" xfId="0" applyNumberFormat="1" applyFont="1"/>
    <xf numFmtId="0" fontId="4" fillId="0" borderId="1" xfId="0" applyFont="1" applyBorder="1" applyAlignment="1">
      <alignment horizontal="center"/>
    </xf>
    <xf numFmtId="10" fontId="4" fillId="2" borderId="4" xfId="0" applyNumberFormat="1" applyFont="1" applyFill="1" applyBorder="1"/>
    <xf numFmtId="10" fontId="4" fillId="2" borderId="5" xfId="0" applyNumberFormat="1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9" fillId="0" borderId="8" xfId="0" applyFont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9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quotePrefix="1"/>
    <xf numFmtId="10" fontId="0" fillId="0" borderId="4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4" xfId="0" quotePrefix="1" applyNumberFormat="1" applyBorder="1" applyAlignment="1">
      <alignment horizontal="center" vertical="center"/>
    </xf>
    <xf numFmtId="10" fontId="4" fillId="2" borderId="4" xfId="0" quotePrefix="1" applyNumberFormat="1" applyFont="1" applyFill="1" applyBorder="1" applyAlignment="1">
      <alignment horizontal="center"/>
    </xf>
    <xf numFmtId="0" fontId="14" fillId="0" borderId="0" xfId="0" applyFont="1"/>
    <xf numFmtId="2" fontId="0" fillId="0" borderId="0" xfId="0" applyNumberFormat="1"/>
    <xf numFmtId="176" fontId="4" fillId="2" borderId="7" xfId="0" applyNumberFormat="1" applyFont="1" applyFill="1" applyBorder="1"/>
    <xf numFmtId="176" fontId="4" fillId="2" borderId="8" xfId="0" applyNumberFormat="1" applyFont="1" applyFill="1" applyBorder="1"/>
    <xf numFmtId="176" fontId="4" fillId="2" borderId="12" xfId="0" applyNumberFormat="1" applyFont="1" applyFill="1" applyBorder="1"/>
    <xf numFmtId="10" fontId="0" fillId="0" borderId="5" xfId="0" applyNumberFormat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0" fontId="15" fillId="0" borderId="0" xfId="5"/>
    <xf numFmtId="0" fontId="4" fillId="0" borderId="14" xfId="5" applyFont="1" applyBorder="1"/>
    <xf numFmtId="0" fontId="4" fillId="0" borderId="12" xfId="5" applyFont="1" applyBorder="1"/>
    <xf numFmtId="0" fontId="5" fillId="0" borderId="0" xfId="5" applyFont="1"/>
    <xf numFmtId="0" fontId="11" fillId="0" borderId="0" xfId="5" applyFont="1"/>
    <xf numFmtId="0" fontId="4" fillId="0" borderId="2" xfId="5" applyFont="1" applyBorder="1" applyAlignment="1">
      <alignment horizontal="center"/>
    </xf>
    <xf numFmtId="177" fontId="4" fillId="2" borderId="0" xfId="5" applyNumberFormat="1" applyFont="1" applyFill="1"/>
    <xf numFmtId="177" fontId="4" fillId="2" borderId="11" xfId="5" applyNumberFormat="1" applyFont="1" applyFill="1" applyBorder="1"/>
    <xf numFmtId="0" fontId="4" fillId="0" borderId="13" xfId="5" applyFont="1" applyBorder="1" applyAlignment="1">
      <alignment horizontal="center"/>
    </xf>
    <xf numFmtId="176" fontId="4" fillId="0" borderId="7" xfId="5" applyNumberFormat="1" applyFont="1" applyBorder="1"/>
    <xf numFmtId="176" fontId="4" fillId="0" borderId="10" xfId="5" applyNumberFormat="1" applyFont="1" applyBorder="1"/>
    <xf numFmtId="0" fontId="4" fillId="0" borderId="4" xfId="5" applyFont="1" applyBorder="1" applyAlignment="1">
      <alignment horizontal="center"/>
    </xf>
    <xf numFmtId="176" fontId="4" fillId="0" borderId="6" xfId="5" applyNumberFormat="1" applyFont="1" applyBorder="1"/>
    <xf numFmtId="176" fontId="4" fillId="0" borderId="9" xfId="5" applyNumberFormat="1" applyFont="1" applyBorder="1"/>
    <xf numFmtId="0" fontId="4" fillId="0" borderId="5" xfId="5" applyFont="1" applyBorder="1" applyAlignment="1">
      <alignment horizontal="center"/>
    </xf>
    <xf numFmtId="0" fontId="4" fillId="0" borderId="8" xfId="5" applyFont="1" applyBorder="1"/>
    <xf numFmtId="10" fontId="4" fillId="0" borderId="6" xfId="0" applyNumberFormat="1" applyFont="1" applyBorder="1"/>
    <xf numFmtId="0" fontId="4" fillId="0" borderId="14" xfId="5" applyFont="1" applyBorder="1" applyAlignment="1">
      <alignment horizontal="center"/>
    </xf>
    <xf numFmtId="0" fontId="4" fillId="0" borderId="1" xfId="5" applyFont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10" fontId="4" fillId="0" borderId="9" xfId="0" applyNumberFormat="1" applyFont="1" applyBorder="1"/>
    <xf numFmtId="0" fontId="4" fillId="0" borderId="18" xfId="5" applyFont="1" applyBorder="1" applyAlignment="1">
      <alignment horizont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4" xfId="0" applyFont="1" applyBorder="1"/>
    <xf numFmtId="0" fontId="9" fillId="0" borderId="5" xfId="0" applyFont="1" applyBorder="1"/>
    <xf numFmtId="0" fontId="9" fillId="0" borderId="18" xfId="0" applyFont="1" applyBorder="1" applyAlignment="1">
      <alignment horizontal="center"/>
    </xf>
    <xf numFmtId="0" fontId="5" fillId="0" borderId="18" xfId="0" applyFont="1" applyBorder="1"/>
    <xf numFmtId="0" fontId="0" fillId="0" borderId="0" xfId="0" applyAlignment="1">
      <alignment vertical="center"/>
    </xf>
    <xf numFmtId="176" fontId="4" fillId="2" borderId="18" xfId="0" applyNumberFormat="1" applyFont="1" applyFill="1" applyBorder="1"/>
    <xf numFmtId="0" fontId="18" fillId="0" borderId="0" xfId="0" applyFont="1"/>
    <xf numFmtId="0" fontId="18" fillId="0" borderId="6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5" xfId="0" applyFont="1" applyBorder="1"/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8" xfId="0" applyFont="1" applyBorder="1"/>
    <xf numFmtId="176" fontId="18" fillId="3" borderId="3" xfId="0" applyNumberFormat="1" applyFont="1" applyFill="1" applyBorder="1"/>
    <xf numFmtId="176" fontId="18" fillId="3" borderId="4" xfId="0" applyNumberFormat="1" applyFont="1" applyFill="1" applyBorder="1"/>
    <xf numFmtId="176" fontId="18" fillId="3" borderId="5" xfId="0" applyNumberFormat="1" applyFont="1" applyFill="1" applyBorder="1"/>
    <xf numFmtId="176" fontId="18" fillId="3" borderId="7" xfId="0" applyNumberFormat="1" applyFont="1" applyFill="1" applyBorder="1"/>
    <xf numFmtId="176" fontId="18" fillId="3" borderId="0" xfId="0" applyNumberFormat="1" applyFont="1" applyFill="1"/>
    <xf numFmtId="176" fontId="18" fillId="3" borderId="8" xfId="0" applyNumberFormat="1" applyFont="1" applyFill="1" applyBorder="1"/>
    <xf numFmtId="2" fontId="18" fillId="0" borderId="0" xfId="0" applyNumberFormat="1" applyFont="1"/>
    <xf numFmtId="10" fontId="18" fillId="0" borderId="7" xfId="0" applyNumberFormat="1" applyFont="1" applyBorder="1"/>
    <xf numFmtId="10" fontId="18" fillId="0" borderId="0" xfId="0" applyNumberFormat="1" applyFont="1"/>
    <xf numFmtId="10" fontId="18" fillId="0" borderId="8" xfId="0" applyNumberFormat="1" applyFont="1" applyBorder="1"/>
    <xf numFmtId="0" fontId="18" fillId="0" borderId="9" xfId="0" applyFont="1" applyBorder="1"/>
    <xf numFmtId="176" fontId="18" fillId="3" borderId="10" xfId="0" applyNumberFormat="1" applyFont="1" applyFill="1" applyBorder="1"/>
    <xf numFmtId="176" fontId="18" fillId="3" borderId="11" xfId="0" applyNumberFormat="1" applyFont="1" applyFill="1" applyBorder="1"/>
    <xf numFmtId="10" fontId="18" fillId="0" borderId="10" xfId="0" applyNumberFormat="1" applyFont="1" applyBorder="1"/>
    <xf numFmtId="10" fontId="18" fillId="0" borderId="11" xfId="0" applyNumberFormat="1" applyFont="1" applyBorder="1"/>
    <xf numFmtId="10" fontId="18" fillId="0" borderId="12" xfId="0" applyNumberFormat="1" applyFont="1" applyBorder="1"/>
    <xf numFmtId="10" fontId="18" fillId="0" borderId="7" xfId="10" applyNumberFormat="1" applyFont="1" applyFill="1" applyBorder="1"/>
    <xf numFmtId="10" fontId="18" fillId="0" borderId="0" xfId="10" applyNumberFormat="1" applyFont="1" applyFill="1" applyBorder="1"/>
    <xf numFmtId="10" fontId="18" fillId="0" borderId="8" xfId="10" applyNumberFormat="1" applyFont="1" applyFill="1" applyBorder="1"/>
    <xf numFmtId="10" fontId="18" fillId="0" borderId="10" xfId="10" applyNumberFormat="1" applyFont="1" applyFill="1" applyBorder="1"/>
    <xf numFmtId="10" fontId="18" fillId="0" borderId="11" xfId="10" applyNumberFormat="1" applyFont="1" applyFill="1" applyBorder="1"/>
    <xf numFmtId="10" fontId="18" fillId="0" borderId="12" xfId="10" applyNumberFormat="1" applyFont="1" applyFill="1" applyBorder="1"/>
    <xf numFmtId="0" fontId="18" fillId="0" borderId="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8" xfId="0" applyFont="1" applyBorder="1" applyAlignment="1">
      <alignment horizontal="right"/>
    </xf>
    <xf numFmtId="0" fontId="18" fillId="0" borderId="6" xfId="0" applyFont="1" applyBorder="1" applyAlignment="1">
      <alignment horizontal="right"/>
    </xf>
    <xf numFmtId="0" fontId="18" fillId="0" borderId="9" xfId="0" applyFont="1" applyBorder="1" applyAlignment="1">
      <alignment horizontal="right"/>
    </xf>
    <xf numFmtId="176" fontId="18" fillId="0" borderId="18" xfId="0" applyNumberFormat="1" applyFont="1" applyBorder="1"/>
    <xf numFmtId="176" fontId="18" fillId="0" borderId="6" xfId="0" applyNumberFormat="1" applyFont="1" applyBorder="1"/>
    <xf numFmtId="176" fontId="18" fillId="0" borderId="9" xfId="0" applyNumberFormat="1" applyFont="1" applyBorder="1"/>
    <xf numFmtId="0" fontId="11" fillId="0" borderId="6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7" fillId="0" borderId="0" xfId="0" applyFont="1"/>
    <xf numFmtId="2" fontId="18" fillId="0" borderId="6" xfId="0" applyNumberFormat="1" applyFont="1" applyBorder="1"/>
    <xf numFmtId="2" fontId="18" fillId="0" borderId="9" xfId="0" applyNumberFormat="1" applyFont="1" applyBorder="1"/>
    <xf numFmtId="176" fontId="18" fillId="0" borderId="5" xfId="0" applyNumberFormat="1" applyFont="1" applyBorder="1"/>
    <xf numFmtId="176" fontId="18" fillId="0" borderId="8" xfId="0" applyNumberFormat="1" applyFont="1" applyBorder="1"/>
    <xf numFmtId="0" fontId="17" fillId="0" borderId="10" xfId="0" applyFont="1" applyBorder="1"/>
    <xf numFmtId="0" fontId="17" fillId="0" borderId="12" xfId="0" applyFont="1" applyBorder="1"/>
    <xf numFmtId="0" fontId="11" fillId="0" borderId="9" xfId="0" applyFont="1" applyBorder="1" applyAlignment="1">
      <alignment horizontal="center"/>
    </xf>
    <xf numFmtId="10" fontId="4" fillId="2" borderId="3" xfId="0" applyNumberFormat="1" applyFont="1" applyFill="1" applyBorder="1"/>
    <xf numFmtId="2" fontId="19" fillId="0" borderId="0" xfId="0" applyNumberFormat="1" applyFont="1"/>
    <xf numFmtId="0" fontId="19" fillId="0" borderId="0" xfId="0" applyFont="1"/>
    <xf numFmtId="179" fontId="19" fillId="0" borderId="0" xfId="0" applyNumberFormat="1" applyFont="1"/>
    <xf numFmtId="0" fontId="18" fillId="0" borderId="12" xfId="0" applyFont="1" applyBorder="1" applyAlignment="1">
      <alignment horizontal="center"/>
    </xf>
    <xf numFmtId="176" fontId="18" fillId="0" borderId="3" xfId="0" applyNumberFormat="1" applyFont="1" applyBorder="1"/>
    <xf numFmtId="176" fontId="18" fillId="0" borderId="7" xfId="0" applyNumberFormat="1" applyFont="1" applyBorder="1"/>
    <xf numFmtId="176" fontId="4" fillId="2" borderId="5" xfId="0" applyNumberFormat="1" applyFont="1" applyFill="1" applyBorder="1"/>
    <xf numFmtId="2" fontId="18" fillId="0" borderId="8" xfId="0" applyNumberFormat="1" applyFont="1" applyBorder="1"/>
    <xf numFmtId="2" fontId="18" fillId="0" borderId="12" xfId="0" applyNumberFormat="1" applyFont="1" applyBorder="1"/>
    <xf numFmtId="0" fontId="11" fillId="0" borderId="18" xfId="0" applyFont="1" applyBorder="1"/>
    <xf numFmtId="0" fontId="11" fillId="0" borderId="6" xfId="0" applyFont="1" applyBorder="1"/>
    <xf numFmtId="0" fontId="11" fillId="0" borderId="9" xfId="0" applyFont="1" applyBorder="1"/>
    <xf numFmtId="0" fontId="4" fillId="0" borderId="8" xfId="0" applyFont="1" applyBorder="1"/>
    <xf numFmtId="9" fontId="18" fillId="0" borderId="6" xfId="0" applyNumberFormat="1" applyFont="1" applyBorder="1"/>
    <xf numFmtId="2" fontId="18" fillId="3" borderId="4" xfId="0" applyNumberFormat="1" applyFont="1" applyFill="1" applyBorder="1"/>
    <xf numFmtId="2" fontId="18" fillId="3" borderId="0" xfId="0" applyNumberFormat="1" applyFont="1" applyFill="1"/>
    <xf numFmtId="180" fontId="0" fillId="0" borderId="0" xfId="0" applyNumberFormat="1" applyAlignment="1">
      <alignment vertical="center"/>
    </xf>
    <xf numFmtId="0" fontId="9" fillId="0" borderId="6" xfId="0" applyFont="1" applyBorder="1" applyAlignment="1">
      <alignment horizontal="center" vertical="center"/>
    </xf>
    <xf numFmtId="0" fontId="5" fillId="0" borderId="8" xfId="5" applyFont="1" applyBorder="1"/>
    <xf numFmtId="0" fontId="0" fillId="0" borderId="0" xfId="0" applyAlignment="1">
      <alignment horizontal="left"/>
    </xf>
    <xf numFmtId="181" fontId="4" fillId="2" borderId="0" xfId="5" applyNumberFormat="1" applyFont="1" applyFill="1"/>
    <xf numFmtId="181" fontId="4" fillId="2" borderId="11" xfId="5" applyNumberFormat="1" applyFont="1" applyFill="1" applyBorder="1"/>
    <xf numFmtId="10" fontId="4" fillId="2" borderId="4" xfId="0" applyNumberFormat="1" applyFont="1" applyFill="1" applyBorder="1" applyAlignment="1">
      <alignment horizontal="right"/>
    </xf>
    <xf numFmtId="10" fontId="4" fillId="0" borderId="0" xfId="0" applyNumberFormat="1" applyFont="1" applyAlignment="1">
      <alignment horizontal="right"/>
    </xf>
    <xf numFmtId="10" fontId="4" fillId="0" borderId="11" xfId="0" applyNumberFormat="1" applyFont="1" applyBorder="1" applyAlignment="1">
      <alignment horizontal="right"/>
    </xf>
    <xf numFmtId="10" fontId="0" fillId="0" borderId="0" xfId="0" applyNumberFormat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2" xfId="0" quotePrefix="1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0" fontId="21" fillId="0" borderId="7" xfId="0" applyNumberFormat="1" applyFont="1" applyBorder="1" applyAlignment="1">
      <alignment horizontal="center" vertical="center"/>
    </xf>
    <xf numFmtId="10" fontId="21" fillId="0" borderId="8" xfId="0" applyNumberFormat="1" applyFont="1" applyBorder="1" applyAlignment="1">
      <alignment horizontal="center" vertical="center"/>
    </xf>
    <xf numFmtId="10" fontId="21" fillId="0" borderId="10" xfId="0" applyNumberFormat="1" applyFont="1" applyBorder="1" applyAlignment="1">
      <alignment horizontal="center" vertical="center"/>
    </xf>
    <xf numFmtId="10" fontId="21" fillId="0" borderId="11" xfId="0" applyNumberFormat="1" applyFont="1" applyBorder="1" applyAlignment="1">
      <alignment horizontal="center" vertical="center"/>
    </xf>
    <xf numFmtId="10" fontId="21" fillId="0" borderId="12" xfId="0" applyNumberFormat="1" applyFont="1" applyBorder="1" applyAlignment="1">
      <alignment horizontal="center" vertical="center"/>
    </xf>
    <xf numFmtId="0" fontId="12" fillId="4" borderId="0" xfId="0" applyFont="1" applyFill="1"/>
    <xf numFmtId="0" fontId="5" fillId="0" borderId="18" xfId="0" applyFont="1" applyBorder="1" applyAlignment="1">
      <alignment horizontal="center"/>
    </xf>
    <xf numFmtId="0" fontId="4" fillId="0" borderId="18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78" fontId="4" fillId="2" borderId="3" xfId="0" applyNumberFormat="1" applyFont="1" applyFill="1" applyBorder="1"/>
    <xf numFmtId="178" fontId="4" fillId="2" borderId="4" xfId="0" applyNumberFormat="1" applyFont="1" applyFill="1" applyBorder="1"/>
    <xf numFmtId="177" fontId="4" fillId="2" borderId="4" xfId="0" applyNumberFormat="1" applyFont="1" applyFill="1" applyBorder="1"/>
    <xf numFmtId="177" fontId="4" fillId="2" borderId="5" xfId="0" applyNumberFormat="1" applyFont="1" applyFill="1" applyBorder="1"/>
    <xf numFmtId="0" fontId="4" fillId="0" borderId="4" xfId="0" applyFont="1" applyBorder="1"/>
    <xf numFmtId="177" fontId="4" fillId="2" borderId="0" xfId="0" applyNumberFormat="1" applyFont="1" applyFill="1"/>
    <xf numFmtId="176" fontId="4" fillId="2" borderId="3" xfId="0" applyNumberFormat="1" applyFont="1" applyFill="1" applyBorder="1"/>
    <xf numFmtId="176" fontId="4" fillId="0" borderId="6" xfId="0" applyNumberFormat="1" applyFont="1" applyBorder="1"/>
    <xf numFmtId="0" fontId="4" fillId="0" borderId="6" xfId="0" applyFont="1" applyBorder="1"/>
    <xf numFmtId="178" fontId="4" fillId="2" borderId="7" xfId="0" applyNumberFormat="1" applyFont="1" applyFill="1" applyBorder="1"/>
    <xf numFmtId="178" fontId="4" fillId="2" borderId="0" xfId="0" applyNumberFormat="1" applyFont="1" applyFill="1"/>
    <xf numFmtId="177" fontId="4" fillId="2" borderId="8" xfId="0" applyNumberFormat="1" applyFont="1" applyFill="1" applyBorder="1"/>
    <xf numFmtId="0" fontId="4" fillId="0" borderId="9" xfId="0" applyFont="1" applyBorder="1"/>
    <xf numFmtId="178" fontId="4" fillId="2" borderId="10" xfId="0" applyNumberFormat="1" applyFont="1" applyFill="1" applyBorder="1"/>
    <xf numFmtId="178" fontId="4" fillId="2" borderId="11" xfId="0" applyNumberFormat="1" applyFont="1" applyFill="1" applyBorder="1"/>
    <xf numFmtId="177" fontId="4" fillId="2" borderId="11" xfId="0" applyNumberFormat="1" applyFont="1" applyFill="1" applyBorder="1"/>
    <xf numFmtId="177" fontId="4" fillId="2" borderId="12" xfId="0" applyNumberFormat="1" applyFont="1" applyFill="1" applyBorder="1"/>
    <xf numFmtId="0" fontId="5" fillId="0" borderId="6" xfId="0" applyFont="1" applyBorder="1"/>
    <xf numFmtId="0" fontId="4" fillId="0" borderId="7" xfId="0" applyFont="1" applyBorder="1"/>
    <xf numFmtId="0" fontId="4" fillId="0" borderId="10" xfId="0" applyFont="1" applyBorder="1"/>
    <xf numFmtId="176" fontId="4" fillId="0" borderId="7" xfId="0" applyNumberFormat="1" applyFont="1" applyBorder="1"/>
    <xf numFmtId="176" fontId="4" fillId="0" borderId="9" xfId="0" applyNumberFormat="1" applyFont="1" applyBorder="1"/>
    <xf numFmtId="0" fontId="5" fillId="0" borderId="0" xfId="0" applyFont="1"/>
    <xf numFmtId="0" fontId="11" fillId="0" borderId="0" xfId="0" applyFont="1"/>
    <xf numFmtId="10" fontId="4" fillId="0" borderId="7" xfId="0" applyNumberFormat="1" applyFont="1" applyBorder="1"/>
    <xf numFmtId="10" fontId="4" fillId="0" borderId="10" xfId="0" applyNumberFormat="1" applyFont="1" applyBorder="1"/>
    <xf numFmtId="0" fontId="20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0" fontId="22" fillId="0" borderId="7" xfId="0" applyNumberFormat="1" applyFont="1" applyBorder="1" applyAlignment="1">
      <alignment horizontal="center" vertical="center"/>
    </xf>
    <xf numFmtId="10" fontId="22" fillId="0" borderId="8" xfId="0" applyNumberFormat="1" applyFont="1" applyBorder="1" applyAlignment="1">
      <alignment horizontal="center" vertical="center"/>
    </xf>
    <xf numFmtId="10" fontId="22" fillId="0" borderId="10" xfId="0" applyNumberFormat="1" applyFont="1" applyBorder="1" applyAlignment="1">
      <alignment horizontal="center" vertical="center"/>
    </xf>
    <xf numFmtId="10" fontId="22" fillId="0" borderId="11" xfId="0" applyNumberFormat="1" applyFont="1" applyBorder="1" applyAlignment="1">
      <alignment horizontal="center" vertical="center"/>
    </xf>
    <xf numFmtId="10" fontId="22" fillId="0" borderId="12" xfId="0" applyNumberFormat="1" applyFont="1" applyBorder="1" applyAlignment="1">
      <alignment horizontal="center" vertical="center"/>
    </xf>
    <xf numFmtId="176" fontId="22" fillId="0" borderId="14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0" fontId="21" fillId="0" borderId="3" xfId="0" applyNumberFormat="1" applyFont="1" applyBorder="1" applyAlignment="1">
      <alignment horizontal="center" vertical="center"/>
    </xf>
    <xf numFmtId="10" fontId="21" fillId="0" borderId="5" xfId="0" applyNumberFormat="1" applyFont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/>
    </xf>
    <xf numFmtId="10" fontId="21" fillId="0" borderId="2" xfId="0" applyNumberFormat="1" applyFont="1" applyBorder="1" applyAlignment="1">
      <alignment horizontal="center" vertical="center"/>
    </xf>
    <xf numFmtId="10" fontId="21" fillId="0" borderId="13" xfId="0" applyNumberFormat="1" applyFont="1" applyBorder="1" applyAlignment="1">
      <alignment horizontal="center" vertical="center"/>
    </xf>
    <xf numFmtId="0" fontId="0" fillId="5" borderId="0" xfId="0" applyFill="1"/>
    <xf numFmtId="176" fontId="4" fillId="2" borderId="0" xfId="5" applyNumberFormat="1" applyFont="1" applyFill="1"/>
    <xf numFmtId="176" fontId="4" fillId="2" borderId="11" xfId="5" applyNumberFormat="1" applyFont="1" applyFill="1" applyBorder="1"/>
    <xf numFmtId="176" fontId="4" fillId="2" borderId="4" xfId="0" applyNumberFormat="1" applyFont="1" applyFill="1" applyBorder="1"/>
    <xf numFmtId="176" fontId="4" fillId="2" borderId="0" xfId="0" applyNumberFormat="1" applyFont="1" applyFill="1"/>
    <xf numFmtId="176" fontId="4" fillId="2" borderId="11" xfId="0" applyNumberFormat="1" applyFont="1" applyFill="1" applyBorder="1"/>
    <xf numFmtId="10" fontId="4" fillId="0" borderId="0" xfId="0" quotePrefix="1" applyNumberFormat="1" applyFont="1" applyAlignment="1">
      <alignment horizontal="center"/>
    </xf>
    <xf numFmtId="10" fontId="21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0" fontId="0" fillId="0" borderId="0" xfId="0" quotePrefix="1" applyNumberFormat="1" applyAlignment="1">
      <alignment horizontal="center" vertical="center"/>
    </xf>
    <xf numFmtId="176" fontId="21" fillId="0" borderId="8" xfId="0" applyNumberFormat="1" applyFont="1" applyBorder="1" applyAlignment="1">
      <alignment horizontal="center" vertical="center"/>
    </xf>
    <xf numFmtId="176" fontId="21" fillId="0" borderId="13" xfId="0" applyNumberFormat="1" applyFont="1" applyBorder="1" applyAlignment="1">
      <alignment horizontal="center" vertical="center"/>
    </xf>
    <xf numFmtId="10" fontId="22" fillId="0" borderId="3" xfId="0" applyNumberFormat="1" applyFont="1" applyBorder="1" applyAlignment="1">
      <alignment horizontal="center" vertical="center"/>
    </xf>
    <xf numFmtId="10" fontId="22" fillId="0" borderId="4" xfId="0" applyNumberFormat="1" applyFont="1" applyBorder="1" applyAlignment="1">
      <alignment horizontal="center" vertical="center"/>
    </xf>
    <xf numFmtId="10" fontId="22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76" fontId="18" fillId="3" borderId="12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76" fontId="22" fillId="0" borderId="18" xfId="0" applyNumberFormat="1" applyFont="1" applyBorder="1" applyAlignment="1">
      <alignment horizontal="center" vertical="center"/>
    </xf>
    <xf numFmtId="176" fontId="22" fillId="0" borderId="6" xfId="0" applyNumberFormat="1" applyFont="1" applyBorder="1" applyAlignment="1">
      <alignment horizontal="center" vertical="center"/>
    </xf>
    <xf numFmtId="176" fontId="22" fillId="0" borderId="9" xfId="0" applyNumberFormat="1" applyFont="1" applyBorder="1" applyAlignment="1">
      <alignment horizontal="center" vertical="center"/>
    </xf>
    <xf numFmtId="10" fontId="23" fillId="0" borderId="0" xfId="0" applyNumberFormat="1" applyFont="1"/>
    <xf numFmtId="0" fontId="23" fillId="0" borderId="0" xfId="0" applyFont="1"/>
    <xf numFmtId="10" fontId="4" fillId="0" borderId="0" xfId="0" quotePrefix="1" applyNumberFormat="1" applyFont="1" applyAlignment="1">
      <alignment horizontal="right"/>
    </xf>
    <xf numFmtId="0" fontId="5" fillId="0" borderId="13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2" fontId="18" fillId="3" borderId="0" xfId="0" applyNumberFormat="1" applyFont="1" applyFill="1" applyBorder="1"/>
    <xf numFmtId="176" fontId="18" fillId="3" borderId="18" xfId="0" applyNumberFormat="1" applyFont="1" applyFill="1" applyBorder="1"/>
    <xf numFmtId="176" fontId="18" fillId="3" borderId="6" xfId="0" applyNumberFormat="1" applyFont="1" applyFill="1" applyBorder="1"/>
    <xf numFmtId="176" fontId="18" fillId="3" borderId="9" xfId="0" applyNumberFormat="1" applyFont="1" applyFill="1" applyBorder="1"/>
    <xf numFmtId="0" fontId="9" fillId="0" borderId="18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9" fillId="0" borderId="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</cellXfs>
  <cellStyles count="13">
    <cellStyle name="Normal 2" xfId="5" xr:uid="{00000000-0005-0000-0000-000002000000}"/>
    <cellStyle name="Normal 2 2" xfId="8" xr:uid="{00000000-0005-0000-0000-000003000000}"/>
    <cellStyle name="Normal 3" xfId="6" xr:uid="{00000000-0005-0000-0000-000004000000}"/>
    <cellStyle name="Normal 4" xfId="7" xr:uid="{00000000-0005-0000-0000-000005000000}"/>
    <cellStyle name="Normal 4 2" xfId="9" xr:uid="{00000000-0005-0000-0000-000006000000}"/>
    <cellStyle name="Normal 4 2 2" xfId="12" xr:uid="{00000000-0005-0000-0000-000007000000}"/>
    <cellStyle name="Normal 4 3" xfId="11" xr:uid="{00000000-0005-0000-0000-000008000000}"/>
    <cellStyle name="一般" xfId="0" builtinId="0"/>
    <cellStyle name="已瀏覽過的超連結" xfId="2" builtinId="9" hidden="1"/>
    <cellStyle name="已瀏覽過的超連結" xfId="4" builtinId="9" hidden="1"/>
    <cellStyle name="百分比" xfId="10" builtinId="5"/>
    <cellStyle name="超連結" xfId="1" builtinId="8" hidden="1"/>
    <cellStyle name="超連結" xfId="3" builtinId="8" hidden="1"/>
  </cellStyles>
  <dxfs count="296"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Curve'!$Z$6</c:f>
          <c:strCache>
            <c:ptCount val="1"/>
            <c:pt idx="0">
              <c:v>mAP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402.6327273</c:v>
                </c:pt>
                <c:pt idx="1">
                  <c:v>323.70909089999998</c:v>
                </c:pt>
                <c:pt idx="2">
                  <c:v>161.80363639999999</c:v>
                </c:pt>
                <c:pt idx="3">
                  <c:v>124.6763636</c:v>
                </c:pt>
                <c:pt idx="4">
                  <c:v>49.090909089999997</c:v>
                </c:pt>
                <c:pt idx="5">
                  <c:v>34.669090910000001</c:v>
                </c:pt>
              </c:numCache>
            </c:numRef>
          </c:xVal>
          <c:yVal>
            <c:numRef>
              <c:f>'R-D Curve'!$AG$15:$AG$20</c:f>
              <c:numCache>
                <c:formatCode>General</c:formatCode>
                <c:ptCount val="6"/>
                <c:pt idx="0">
                  <c:v>37.580471000000003</c:v>
                </c:pt>
                <c:pt idx="1">
                  <c:v>36.137171000000002</c:v>
                </c:pt>
                <c:pt idx="2">
                  <c:v>36.807102</c:v>
                </c:pt>
                <c:pt idx="3">
                  <c:v>34.678351999999997</c:v>
                </c:pt>
                <c:pt idx="4">
                  <c:v>24.654803000000001</c:v>
                </c:pt>
                <c:pt idx="5">
                  <c:v>13.598659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C7-4967-88AA-FF9032E4428F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402.63272727272698</c:v>
                </c:pt>
                <c:pt idx="1">
                  <c:v>323.70909090908998</c:v>
                </c:pt>
                <c:pt idx="2">
                  <c:v>161.803636363636</c:v>
                </c:pt>
                <c:pt idx="3">
                  <c:v>124.67636363636301</c:v>
                </c:pt>
                <c:pt idx="4">
                  <c:v>49.090909090909001</c:v>
                </c:pt>
                <c:pt idx="5">
                  <c:v>34.669090909090897</c:v>
                </c:pt>
              </c:numCache>
            </c:numRef>
          </c:xVal>
          <c:yVal>
            <c:numRef>
              <c:f>'R-D Curve'!$AM$15:$AM$20</c:f>
              <c:numCache>
                <c:formatCode>General</c:formatCode>
                <c:ptCount val="6"/>
                <c:pt idx="0">
                  <c:v>37.580471000000003</c:v>
                </c:pt>
                <c:pt idx="1">
                  <c:v>36.137171000000002</c:v>
                </c:pt>
                <c:pt idx="2">
                  <c:v>36.807102</c:v>
                </c:pt>
                <c:pt idx="3">
                  <c:v>34.678351999999997</c:v>
                </c:pt>
                <c:pt idx="4">
                  <c:v>24.654803000000001</c:v>
                </c:pt>
                <c:pt idx="5">
                  <c:v>13.598659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7-4967-88AA-FF9032E44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7040"/>
        <c:axId val="-865027376"/>
      </c:scatterChart>
      <c:valAx>
        <c:axId val="-86501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7376"/>
        <c:crosses val="autoZero"/>
        <c:crossBetween val="midCat"/>
      </c:valAx>
      <c:valAx>
        <c:axId val="-8650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Curve'!$Z$7</c:f>
          <c:strCache>
            <c:ptCount val="1"/>
            <c:pt idx="0">
              <c:v>Y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402.6327273</c:v>
                </c:pt>
                <c:pt idx="1">
                  <c:v>323.70909089999998</c:v>
                </c:pt>
                <c:pt idx="2">
                  <c:v>161.80363639999999</c:v>
                </c:pt>
                <c:pt idx="3">
                  <c:v>124.6763636</c:v>
                </c:pt>
                <c:pt idx="4">
                  <c:v>49.090909089999997</c:v>
                </c:pt>
                <c:pt idx="5">
                  <c:v>34.669090910000001</c:v>
                </c:pt>
              </c:numCache>
            </c:numRef>
          </c:xVal>
          <c:yVal>
            <c:numRef>
              <c:f>'R-D Curve'!$AH$15:$AH$20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40CC-BFF9-0A1952FBB41C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402.63272727272698</c:v>
                </c:pt>
                <c:pt idx="1">
                  <c:v>323.70909090908998</c:v>
                </c:pt>
                <c:pt idx="2">
                  <c:v>161.803636363636</c:v>
                </c:pt>
                <c:pt idx="3">
                  <c:v>124.67636363636301</c:v>
                </c:pt>
                <c:pt idx="4">
                  <c:v>49.090909090909001</c:v>
                </c:pt>
                <c:pt idx="5">
                  <c:v>34.669090909090897</c:v>
                </c:pt>
              </c:numCache>
            </c:numRef>
          </c:xVal>
          <c:yVal>
            <c:numRef>
              <c:f>'R-D Curve'!$AN$15:$AN$20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40CC-BFF9-0A1952FBB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9760"/>
        <c:axId val="-865023024"/>
      </c:scatterChart>
      <c:valAx>
        <c:axId val="-86501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layout>
            <c:manualLayout>
              <c:xMode val="edge"/>
              <c:yMode val="edge"/>
              <c:x val="0.45804573680095712"/>
              <c:y val="0.94193249070154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3024"/>
        <c:crosses val="autoZero"/>
        <c:crossBetween val="midCat"/>
      </c:valAx>
      <c:valAx>
        <c:axId val="-86502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Curve'!$Z$8</c:f>
          <c:strCache>
            <c:ptCount val="1"/>
            <c:pt idx="0">
              <c:v>U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402.6327273</c:v>
                </c:pt>
                <c:pt idx="1">
                  <c:v>323.70909089999998</c:v>
                </c:pt>
                <c:pt idx="2">
                  <c:v>161.80363639999999</c:v>
                </c:pt>
                <c:pt idx="3">
                  <c:v>124.6763636</c:v>
                </c:pt>
                <c:pt idx="4">
                  <c:v>49.090909089999997</c:v>
                </c:pt>
                <c:pt idx="5">
                  <c:v>34.669090910000001</c:v>
                </c:pt>
              </c:numCache>
            </c:numRef>
          </c:xVal>
          <c:yVal>
            <c:numRef>
              <c:f>'R-D Curve'!$AI$15:$AI$20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0C-49DD-98AA-E102379FD3C9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402.63272727272698</c:v>
                </c:pt>
                <c:pt idx="1">
                  <c:v>323.70909090908998</c:v>
                </c:pt>
                <c:pt idx="2">
                  <c:v>161.803636363636</c:v>
                </c:pt>
                <c:pt idx="3">
                  <c:v>124.67636363636301</c:v>
                </c:pt>
                <c:pt idx="4">
                  <c:v>49.090909090909001</c:v>
                </c:pt>
                <c:pt idx="5">
                  <c:v>34.669090909090897</c:v>
                </c:pt>
              </c:numCache>
            </c:numRef>
          </c:xVal>
          <c:yVal>
            <c:numRef>
              <c:f>'R-D Curve'!$AO$15:$AO$20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0C-49DD-98AA-E102379FD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30096"/>
        <c:axId val="-865031184"/>
      </c:scatterChart>
      <c:valAx>
        <c:axId val="-86503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1184"/>
        <c:crosses val="autoZero"/>
        <c:crossBetween val="midCat"/>
      </c:valAx>
      <c:valAx>
        <c:axId val="-8650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Curve'!$Z$9</c:f>
          <c:strCache>
            <c:ptCount val="1"/>
            <c:pt idx="0">
              <c:v>V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402.6327273</c:v>
                </c:pt>
                <c:pt idx="1">
                  <c:v>323.70909089999998</c:v>
                </c:pt>
                <c:pt idx="2">
                  <c:v>161.80363639999999</c:v>
                </c:pt>
                <c:pt idx="3">
                  <c:v>124.6763636</c:v>
                </c:pt>
                <c:pt idx="4">
                  <c:v>49.090909089999997</c:v>
                </c:pt>
                <c:pt idx="5">
                  <c:v>34.669090910000001</c:v>
                </c:pt>
              </c:numCache>
            </c:numRef>
          </c:xVal>
          <c:yVal>
            <c:numRef>
              <c:f>'R-D Curve'!$AJ$15:$AJ$20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C-4983-B53C-2C560BB33430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402.63272727272698</c:v>
                </c:pt>
                <c:pt idx="1">
                  <c:v>323.70909090908998</c:v>
                </c:pt>
                <c:pt idx="2">
                  <c:v>161.803636363636</c:v>
                </c:pt>
                <c:pt idx="3">
                  <c:v>124.67636363636301</c:v>
                </c:pt>
                <c:pt idx="4">
                  <c:v>49.090909090909001</c:v>
                </c:pt>
                <c:pt idx="5">
                  <c:v>34.669090909090897</c:v>
                </c:pt>
              </c:numCache>
            </c:numRef>
          </c:xVal>
          <c:yVal>
            <c:numRef>
              <c:f>'R-D Curve'!$AP$15:$AP$20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BC-4983-B53C-2C560BB33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6832"/>
        <c:axId val="-865029008"/>
      </c:scatterChart>
      <c:valAx>
        <c:axId val="-8650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9008"/>
        <c:crosses val="autoZero"/>
        <c:crossBetween val="midCat"/>
      </c:valAx>
      <c:valAx>
        <c:axId val="-8650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Pareto mAP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'R-D Curve'!$AM$25</c:f>
              <c:strCache>
                <c:ptCount val="1"/>
                <c:pt idx="0">
                  <c:v>Anchor kbps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Curve'!$AM$26:$AM$49</c:f>
              <c:numCache>
                <c:formatCode>General</c:formatCode>
                <c:ptCount val="24"/>
                <c:pt idx="0">
                  <c:v>402.6327273</c:v>
                </c:pt>
                <c:pt idx="1">
                  <c:v>161.80363639999999</c:v>
                </c:pt>
                <c:pt idx="2">
                  <c:v>124.6763636</c:v>
                </c:pt>
                <c:pt idx="3">
                  <c:v>49.090909089999997</c:v>
                </c:pt>
                <c:pt idx="4">
                  <c:v>34.669090910000001</c:v>
                </c:pt>
                <c:pt idx="5">
                  <c:v>#N/A</c:v>
                </c:pt>
              </c:numCache>
            </c:numRef>
          </c:xVal>
          <c:yVal>
            <c:numRef>
              <c:f>'R-D Curve'!$AN$26:$AN$49</c:f>
              <c:numCache>
                <c:formatCode>General</c:formatCode>
                <c:ptCount val="24"/>
                <c:pt idx="0">
                  <c:v>37.580471000000003</c:v>
                </c:pt>
                <c:pt idx="1">
                  <c:v>36.807102</c:v>
                </c:pt>
                <c:pt idx="2">
                  <c:v>34.678351999999997</c:v>
                </c:pt>
                <c:pt idx="3">
                  <c:v>24.654803000000001</c:v>
                </c:pt>
                <c:pt idx="4">
                  <c:v>13.598659</c:v>
                </c:pt>
                <c:pt idx="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8A-4590-8168-D35C3510C6D1}"/>
            </c:ext>
          </c:extLst>
        </c:ser>
        <c:ser>
          <c:idx val="1"/>
          <c:order val="1"/>
          <c:tx>
            <c:strRef>
              <c:f>'R-D Curve'!$AO$25</c:f>
              <c:strCache>
                <c:ptCount val="1"/>
                <c:pt idx="0">
                  <c:v>Test kbps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Curve'!$AO$26:$AO$49</c:f>
              <c:numCache>
                <c:formatCode>General</c:formatCode>
                <c:ptCount val="24"/>
                <c:pt idx="0">
                  <c:v>402.63272727272698</c:v>
                </c:pt>
                <c:pt idx="1">
                  <c:v>161.803636363636</c:v>
                </c:pt>
                <c:pt idx="2">
                  <c:v>124.67636363636301</c:v>
                </c:pt>
                <c:pt idx="3">
                  <c:v>49.090909090909001</c:v>
                </c:pt>
                <c:pt idx="4">
                  <c:v>34.669090909090897</c:v>
                </c:pt>
                <c:pt idx="5">
                  <c:v>#N/A</c:v>
                </c:pt>
              </c:numCache>
            </c:numRef>
          </c:xVal>
          <c:yVal>
            <c:numRef>
              <c:f>'R-D Curve'!$AP$26:$AP$49</c:f>
              <c:numCache>
                <c:formatCode>General</c:formatCode>
                <c:ptCount val="24"/>
                <c:pt idx="0">
                  <c:v>37.580471000000003</c:v>
                </c:pt>
                <c:pt idx="1">
                  <c:v>36.807102</c:v>
                </c:pt>
                <c:pt idx="2">
                  <c:v>34.678351999999997</c:v>
                </c:pt>
                <c:pt idx="3">
                  <c:v>24.654803000000001</c:v>
                </c:pt>
                <c:pt idx="4">
                  <c:v>13.598659</c:v>
                </c:pt>
                <c:pt idx="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8A-4590-8168-D35C3510C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5200"/>
        <c:axId val="-865019216"/>
      </c:scatterChart>
      <c:valAx>
        <c:axId val="-86502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9216"/>
        <c:crosses val="autoZero"/>
        <c:crossBetween val="midCat"/>
      </c:valAx>
      <c:valAx>
        <c:axId val="-8650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MOTA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Curve'!$AE$124:$AE$129</c:f>
              <c:numCache>
                <c:formatCode>General</c:formatCode>
                <c:ptCount val="6"/>
                <c:pt idx="0">
                  <c:v>50.149497099999998</c:v>
                </c:pt>
                <c:pt idx="1">
                  <c:v>50.312584899999997</c:v>
                </c:pt>
                <c:pt idx="2">
                  <c:v>46.099483599999999</c:v>
                </c:pt>
                <c:pt idx="3">
                  <c:v>38.977983100000003</c:v>
                </c:pt>
                <c:pt idx="4">
                  <c:v>32.644740400000003</c:v>
                </c:pt>
                <c:pt idx="5">
                  <c:v>21.092688200000001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3-4262-A318-66221CD7B6B6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Curve'!$AK$124:$AK$129</c:f>
              <c:numCache>
                <c:formatCode>General</c:formatCode>
                <c:ptCount val="6"/>
                <c:pt idx="0">
                  <c:v>50.3397662</c:v>
                </c:pt>
                <c:pt idx="1">
                  <c:v>50.394128799999997</c:v>
                </c:pt>
                <c:pt idx="2">
                  <c:v>46.507202999999997</c:v>
                </c:pt>
                <c:pt idx="3">
                  <c:v>39.793422100000001</c:v>
                </c:pt>
                <c:pt idx="4">
                  <c:v>32.563196499999997</c:v>
                </c:pt>
                <c:pt idx="5">
                  <c:v>20.684968699999999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A3-4262-A318-66221CD7B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6496"/>
        <c:axId val="-865029552"/>
      </c:scatterChart>
      <c:valAx>
        <c:axId val="-86501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9552"/>
        <c:crosses val="autoZero"/>
        <c:crossBetween val="midCat"/>
      </c:valAx>
      <c:valAx>
        <c:axId val="-8650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Curve'!$Z$7</c:f>
          <c:strCache>
            <c:ptCount val="1"/>
            <c:pt idx="0">
              <c:v>Y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Curve'!$AF$124:$AF$129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2-4729-8587-5CBD05A5405B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Curve'!$AL$124:$AL$129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2-4729-8587-5CBD05A5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3568"/>
        <c:axId val="-865021936"/>
      </c:scatterChart>
      <c:valAx>
        <c:axId val="-86502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layout>
            <c:manualLayout>
              <c:xMode val="edge"/>
              <c:yMode val="edge"/>
              <c:x val="0.45804573680095712"/>
              <c:y val="0.94193249070154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1936"/>
        <c:crosses val="autoZero"/>
        <c:crossBetween val="midCat"/>
      </c:valAx>
      <c:valAx>
        <c:axId val="-86502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Curve'!$Z$8</c:f>
          <c:strCache>
            <c:ptCount val="1"/>
            <c:pt idx="0">
              <c:v>U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Curve'!$AG$124:$AG$129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24-4B9B-8166-9C35A51AC83C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Curve'!$AM$124:$AM$129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24-4B9B-8166-9C35A51AC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8128"/>
        <c:axId val="-865015952"/>
      </c:scatterChart>
      <c:valAx>
        <c:axId val="-86501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5952"/>
        <c:crosses val="autoZero"/>
        <c:crossBetween val="midCat"/>
      </c:valAx>
      <c:valAx>
        <c:axId val="-86501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Curve'!$Z$9</c:f>
          <c:strCache>
            <c:ptCount val="1"/>
            <c:pt idx="0">
              <c:v>V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Curve'!$AH$124:$AH$129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6-469B-9035-F985135BC7B9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394.125599999999</c:v>
                </c:pt>
                <c:pt idx="1">
                  <c:v>271.6472</c:v>
                </c:pt>
                <c:pt idx="2">
                  <c:v>196.35679999999999</c:v>
                </c:pt>
                <c:pt idx="3">
                  <c:v>120.356799999999</c:v>
                </c:pt>
                <c:pt idx="4">
                  <c:v>71.049599999999998</c:v>
                </c:pt>
                <c:pt idx="5">
                  <c:v>44.128799999999998</c:v>
                </c:pt>
              </c:numCache>
            </c:numRef>
          </c:xVal>
          <c:yVal>
            <c:numRef>
              <c:f>'R-D Curve'!$AN$124:$AN$129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6-469B-9035-F985135B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1392"/>
        <c:axId val="-865018672"/>
      </c:scatterChart>
      <c:valAx>
        <c:axId val="-8650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8672"/>
        <c:crosses val="autoZero"/>
        <c:crossBetween val="midCat"/>
      </c:valAx>
      <c:valAx>
        <c:axId val="-86501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Pareto MOTA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'R-D Curve'!$AK$134</c:f>
              <c:strCache>
                <c:ptCount val="1"/>
                <c:pt idx="0">
                  <c:v>Anchor kbps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Curve'!$AK$135:$AK$158</c:f>
              <c:numCache>
                <c:formatCode>General</c:formatCode>
                <c:ptCount val="24"/>
                <c:pt idx="0">
                  <c:v>271.6472</c:v>
                </c:pt>
                <c:pt idx="1">
                  <c:v>196.35679999999999</c:v>
                </c:pt>
                <c:pt idx="2">
                  <c:v>120.356799999999</c:v>
                </c:pt>
                <c:pt idx="3">
                  <c:v>71.049599999999998</c:v>
                </c:pt>
                <c:pt idx="4">
                  <c:v>44.128799999999998</c:v>
                </c:pt>
                <c:pt idx="5">
                  <c:v>#N/A</c:v>
                </c:pt>
              </c:numCache>
            </c:numRef>
          </c:xVal>
          <c:yVal>
            <c:numRef>
              <c:f>'R-D Curve'!$AL$135:$AL$158</c:f>
              <c:numCache>
                <c:formatCode>General</c:formatCode>
                <c:ptCount val="24"/>
                <c:pt idx="0">
                  <c:v>50.312584899999997</c:v>
                </c:pt>
                <c:pt idx="1">
                  <c:v>46.099483599999999</c:v>
                </c:pt>
                <c:pt idx="2">
                  <c:v>38.977983100000003</c:v>
                </c:pt>
                <c:pt idx="3">
                  <c:v>32.644740400000003</c:v>
                </c:pt>
                <c:pt idx="4">
                  <c:v>21.092688200000001</c:v>
                </c:pt>
                <c:pt idx="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7C-4AE2-95E8-BD8813870501}"/>
            </c:ext>
          </c:extLst>
        </c:ser>
        <c:ser>
          <c:idx val="1"/>
          <c:order val="1"/>
          <c:tx>
            <c:strRef>
              <c:f>'R-D Curve'!$AM$134</c:f>
              <c:strCache>
                <c:ptCount val="1"/>
                <c:pt idx="0">
                  <c:v>Test kbps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Curve'!$AM$135:$AM$158</c:f>
              <c:numCache>
                <c:formatCode>General</c:formatCode>
                <c:ptCount val="24"/>
                <c:pt idx="0">
                  <c:v>271.6472</c:v>
                </c:pt>
                <c:pt idx="1">
                  <c:v>196.35679999999999</c:v>
                </c:pt>
                <c:pt idx="2">
                  <c:v>120.356799999999</c:v>
                </c:pt>
                <c:pt idx="3">
                  <c:v>71.049599999999998</c:v>
                </c:pt>
                <c:pt idx="4">
                  <c:v>44.128799999999998</c:v>
                </c:pt>
                <c:pt idx="5">
                  <c:v>#N/A</c:v>
                </c:pt>
              </c:numCache>
            </c:numRef>
          </c:xVal>
          <c:yVal>
            <c:numRef>
              <c:f>'R-D Curve'!$AN$135:$AN$158</c:f>
              <c:numCache>
                <c:formatCode>General</c:formatCode>
                <c:ptCount val="24"/>
                <c:pt idx="0">
                  <c:v>50.394128799999997</c:v>
                </c:pt>
                <c:pt idx="1">
                  <c:v>46.507202999999997</c:v>
                </c:pt>
                <c:pt idx="2">
                  <c:v>39.793422100000001</c:v>
                </c:pt>
                <c:pt idx="3">
                  <c:v>32.563196499999997</c:v>
                </c:pt>
                <c:pt idx="4">
                  <c:v>20.684968699999999</c:v>
                </c:pt>
                <c:pt idx="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7C-4AE2-95E8-BD881387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5744"/>
        <c:axId val="-865030640"/>
      </c:scatterChart>
      <c:valAx>
        <c:axId val="-86502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0640"/>
        <c:crosses val="autoZero"/>
        <c:crossBetween val="midCat"/>
      </c:valAx>
      <c:valAx>
        <c:axId val="-8650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5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"mAP vs BPP"</c:f>
          <c:strCache>
            <c:ptCount val="1"/>
            <c:pt idx="0">
              <c:v>mAP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Curve'!$AL$208:$AL$213</c:f>
              <c:numCache>
                <c:formatCode>General</c:formatCode>
                <c:ptCount val="6"/>
                <c:pt idx="0">
                  <c:v>78.893175914560445</c:v>
                </c:pt>
                <c:pt idx="1">
                  <c:v>77.927258611746652</c:v>
                </c:pt>
                <c:pt idx="2">
                  <c:v>77.22838338193398</c:v>
                </c:pt>
                <c:pt idx="3">
                  <c:v>74.109698747642497</c:v>
                </c:pt>
                <c:pt idx="4">
                  <c:v>68.866686708606807</c:v>
                </c:pt>
                <c:pt idx="5">
                  <c:v>58.081874720680617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D-476F-A318-A2BCAF7D897F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Curve'!$AR$208:$AR$213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FD-476F-A318-A2BCAF7D8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8464"/>
        <c:axId val="-865026288"/>
      </c:scatterChart>
      <c:valAx>
        <c:axId val="-86502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6288"/>
        <c:crosses val="autoZero"/>
        <c:crossBetween val="midCat"/>
      </c:valAx>
      <c:valAx>
        <c:axId val="-86502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"mAP"</c:f>
              <c:strCache>
                <c:ptCount val="1"/>
                <c:pt idx="0">
                  <c:v>mAP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"Y PSNR vs BPP"</c:f>
          <c:strCache>
            <c:ptCount val="1"/>
            <c:pt idx="0">
              <c:v>Y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Curve'!$AM$208:$AM$213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F-4374-93D6-BA4A06F6F204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Curve'!$AS$208:$AS$213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2F-4374-93D6-BA4A06F6F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4656"/>
        <c:axId val="-855383712"/>
      </c:scatterChart>
      <c:valAx>
        <c:axId val="-86502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3712"/>
        <c:crosses val="autoZero"/>
        <c:crossBetween val="midCat"/>
      </c:valAx>
      <c:valAx>
        <c:axId val="-8553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"U PSNR vs BPP"</c:f>
          <c:strCache>
            <c:ptCount val="1"/>
            <c:pt idx="0">
              <c:v>U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Curve'!$AN$208:$AN$213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BD2-9B21-F4BEED82AB1E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Curve'!$AT$208:$AT$213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BD2-9B21-F4BEED82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4592"/>
        <c:axId val="-855393504"/>
      </c:scatterChart>
      <c:valAx>
        <c:axId val="-85539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3504"/>
        <c:crosses val="autoZero"/>
        <c:crossBetween val="midCat"/>
      </c:valAx>
      <c:valAx>
        <c:axId val="-85539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"V PSNR vs BPP"</c:f>
          <c:strCache>
            <c:ptCount val="1"/>
            <c:pt idx="0">
              <c:v>V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Curve'!$AO$208:$AO$213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F-4547-9FFD-B9D4A26F91A6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Curve'!$AU$208:$AU$213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9F-4547-9FFD-B9D4A26F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5680"/>
        <c:axId val="-855384800"/>
      </c:scatterChart>
      <c:valAx>
        <c:axId val="-85539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4800"/>
        <c:crosses val="autoZero"/>
        <c:crossBetween val="midCat"/>
      </c:valAx>
      <c:valAx>
        <c:axId val="-8553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"Pareto mAP vs BPP"</c:f>
          <c:strCache>
            <c:ptCount val="1"/>
            <c:pt idx="0">
              <c:v>Pareto mAP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Curve'!$AL$247:$AL$252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Curve'!$AM$247:$AM$252</c:f>
              <c:numCache>
                <c:formatCode>General</c:formatCode>
                <c:ptCount val="6"/>
                <c:pt idx="0">
                  <c:v>78.893175914560445</c:v>
                </c:pt>
                <c:pt idx="1">
                  <c:v>77.927258611746652</c:v>
                </c:pt>
                <c:pt idx="2">
                  <c:v>77.22838338193398</c:v>
                </c:pt>
                <c:pt idx="3">
                  <c:v>74.109698747642497</c:v>
                </c:pt>
                <c:pt idx="4">
                  <c:v>68.866686708606807</c:v>
                </c:pt>
                <c:pt idx="5">
                  <c:v>58.081874720680617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AA-4B3C-8B47-B0E52A189E57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Curve'!$AN$247:$AN$252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'R-D Curve'!$AO$247:$AO$252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AA-4B3C-8B47-B0E52A189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0784"/>
        <c:axId val="-855380992"/>
      </c:scatterChart>
      <c:valAx>
        <c:axId val="-85539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0992"/>
        <c:crosses val="autoZero"/>
        <c:crossBetween val="midCat"/>
      </c:valAx>
      <c:valAx>
        <c:axId val="-85538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"mAP"</c:f>
              <c:strCache>
                <c:ptCount val="1"/>
                <c:pt idx="0">
                  <c:v>mAP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204107</xdr:colOff>
      <xdr:row>9</xdr:row>
      <xdr:rowOff>153760</xdr:rowOff>
    </xdr:from>
    <xdr:to>
      <xdr:col>9</xdr:col>
      <xdr:colOff>147638</xdr:colOff>
      <xdr:row>38</xdr:row>
      <xdr:rowOff>105116</xdr:rowOff>
    </xdr:to>
    <xdr:graphicFrame macro="">
      <xdr:nvGraphicFramePr>
        <xdr:cNvPr id="11" name="图表 1">
          <a:extLst>
            <a:ext uri="{FF2B5EF4-FFF2-40B4-BE49-F238E27FC236}">
              <a16:creationId xmlns:a16="http://schemas.microsoft.com/office/drawing/2014/main" id="{7577E178-FF5E-4D18-AC1B-6D7DC453CC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55186</xdr:rowOff>
    </xdr:from>
    <xdr:to>
      <xdr:col>9</xdr:col>
      <xdr:colOff>40972</xdr:colOff>
      <xdr:row>69</xdr:row>
      <xdr:rowOff>39198</xdr:rowOff>
    </xdr:to>
    <xdr:graphicFrame macro="">
      <xdr:nvGraphicFramePr>
        <xdr:cNvPr id="16" name="图表 2">
          <a:extLst>
            <a:ext uri="{FF2B5EF4-FFF2-40B4-BE49-F238E27FC236}">
              <a16:creationId xmlns:a16="http://schemas.microsoft.com/office/drawing/2014/main" id="{DA3B2D08-3E97-4F12-80A0-66752C1C4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578001</xdr:colOff>
      <xdr:row>41</xdr:row>
      <xdr:rowOff>17727</xdr:rowOff>
    </xdr:from>
    <xdr:to>
      <xdr:col>20</xdr:col>
      <xdr:colOff>93435</xdr:colOff>
      <xdr:row>68</xdr:row>
      <xdr:rowOff>170127</xdr:rowOff>
    </xdr:to>
    <xdr:graphicFrame macro="">
      <xdr:nvGraphicFramePr>
        <xdr:cNvPr id="17" name="图表 3">
          <a:extLst>
            <a:ext uri="{FF2B5EF4-FFF2-40B4-BE49-F238E27FC236}">
              <a16:creationId xmlns:a16="http://schemas.microsoft.com/office/drawing/2014/main" id="{B23B1A26-7E5F-4626-B81F-3B33B0329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81643</xdr:colOff>
      <xdr:row>72</xdr:row>
      <xdr:rowOff>58546</xdr:rowOff>
    </xdr:from>
    <xdr:to>
      <xdr:col>9</xdr:col>
      <xdr:colOff>143479</xdr:colOff>
      <xdr:row>100</xdr:row>
      <xdr:rowOff>51743</xdr:rowOff>
    </xdr:to>
    <xdr:graphicFrame macro="">
      <xdr:nvGraphicFramePr>
        <xdr:cNvPr id="18" name="图表 4">
          <a:extLst>
            <a:ext uri="{FF2B5EF4-FFF2-40B4-BE49-F238E27FC236}">
              <a16:creationId xmlns:a16="http://schemas.microsoft.com/office/drawing/2014/main" id="{FEE87082-86EE-4987-BC5E-82DEE310B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517072</xdr:colOff>
      <xdr:row>10</xdr:row>
      <xdr:rowOff>27213</xdr:rowOff>
    </xdr:from>
    <xdr:to>
      <xdr:col>20</xdr:col>
      <xdr:colOff>77410</xdr:colOff>
      <xdr:row>38</xdr:row>
      <xdr:rowOff>170845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1D7D222-FDD8-4371-8358-F02061E5F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105456</xdr:colOff>
      <xdr:row>109</xdr:row>
      <xdr:rowOff>110559</xdr:rowOff>
    </xdr:from>
    <xdr:to>
      <xdr:col>9</xdr:col>
      <xdr:colOff>55790</xdr:colOff>
      <xdr:row>139</xdr:row>
      <xdr:rowOff>126549</xdr:rowOff>
    </xdr:to>
    <xdr:graphicFrame macro="">
      <xdr:nvGraphicFramePr>
        <xdr:cNvPr id="13" name="图表 1">
          <a:extLst>
            <a:ext uri="{FF2B5EF4-FFF2-40B4-BE49-F238E27FC236}">
              <a16:creationId xmlns:a16="http://schemas.microsoft.com/office/drawing/2014/main" id="{DA7E17AE-854B-4E97-BB12-C4E5A91B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68036</xdr:colOff>
      <xdr:row>141</xdr:row>
      <xdr:rowOff>166764</xdr:rowOff>
    </xdr:from>
    <xdr:to>
      <xdr:col>9</xdr:col>
      <xdr:colOff>109008</xdr:colOff>
      <xdr:row>169</xdr:row>
      <xdr:rowOff>69133</xdr:rowOff>
    </xdr:to>
    <xdr:graphicFrame macro="">
      <xdr:nvGraphicFramePr>
        <xdr:cNvPr id="14" name="图表 2">
          <a:extLst>
            <a:ext uri="{FF2B5EF4-FFF2-40B4-BE49-F238E27FC236}">
              <a16:creationId xmlns:a16="http://schemas.microsoft.com/office/drawing/2014/main" id="{A005D772-F3EA-47D7-8584-40974A27E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552148</xdr:colOff>
      <xdr:row>142</xdr:row>
      <xdr:rowOff>127944</xdr:rowOff>
    </xdr:from>
    <xdr:to>
      <xdr:col>20</xdr:col>
      <xdr:colOff>67582</xdr:colOff>
      <xdr:row>170</xdr:row>
      <xdr:rowOff>25891</xdr:rowOff>
    </xdr:to>
    <xdr:graphicFrame macro="">
      <xdr:nvGraphicFramePr>
        <xdr:cNvPr id="15" name="图表 3">
          <a:extLst>
            <a:ext uri="{FF2B5EF4-FFF2-40B4-BE49-F238E27FC236}">
              <a16:creationId xmlns:a16="http://schemas.microsoft.com/office/drawing/2014/main" id="{B4474722-682D-4433-96DC-90A86325A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149679</xdr:colOff>
      <xdr:row>171</xdr:row>
      <xdr:rowOff>102089</xdr:rowOff>
    </xdr:from>
    <xdr:to>
      <xdr:col>9</xdr:col>
      <xdr:colOff>211515</xdr:colOff>
      <xdr:row>199</xdr:row>
      <xdr:rowOff>108893</xdr:rowOff>
    </xdr:to>
    <xdr:graphicFrame macro="">
      <xdr:nvGraphicFramePr>
        <xdr:cNvPr id="19" name="图表 4">
          <a:extLst>
            <a:ext uri="{FF2B5EF4-FFF2-40B4-BE49-F238E27FC236}">
              <a16:creationId xmlns:a16="http://schemas.microsoft.com/office/drawing/2014/main" id="{A0447006-1D73-4BCC-AD9E-35D00F01D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639536</xdr:colOff>
      <xdr:row>110</xdr:row>
      <xdr:rowOff>16329</xdr:rowOff>
    </xdr:from>
    <xdr:to>
      <xdr:col>20</xdr:col>
      <xdr:colOff>199874</xdr:colOff>
      <xdr:row>138</xdr:row>
      <xdr:rowOff>187175</xdr:rowOff>
    </xdr:to>
    <xdr:graphicFrame macro="">
      <xdr:nvGraphicFramePr>
        <xdr:cNvPr id="20" name="Chart 11">
          <a:extLst>
            <a:ext uri="{FF2B5EF4-FFF2-40B4-BE49-F238E27FC236}">
              <a16:creationId xmlns:a16="http://schemas.microsoft.com/office/drawing/2014/main" id="{A02FD30F-C1F7-4483-8E39-32F961BE2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47625</xdr:colOff>
      <xdr:row>209</xdr:row>
      <xdr:rowOff>84364</xdr:rowOff>
    </xdr:from>
    <xdr:to>
      <xdr:col>8</xdr:col>
      <xdr:colOff>817109</xdr:colOff>
      <xdr:row>237</xdr:row>
      <xdr:rowOff>106136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14C0B65-76D9-4211-950B-794EF5007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239</xdr:row>
      <xdr:rowOff>71514</xdr:rowOff>
    </xdr:from>
    <xdr:to>
      <xdr:col>9</xdr:col>
      <xdr:colOff>40972</xdr:colOff>
      <xdr:row>267</xdr:row>
      <xdr:rowOff>135468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328DF5B4-78B3-4708-8381-27FA6215D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360287</xdr:colOff>
      <xdr:row>239</xdr:row>
      <xdr:rowOff>113997</xdr:rowOff>
    </xdr:from>
    <xdr:to>
      <xdr:col>19</xdr:col>
      <xdr:colOff>692150</xdr:colOff>
      <xdr:row>267</xdr:row>
      <xdr:rowOff>143933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E95CA753-FD43-474A-9E98-0B5E5E59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269</xdr:row>
      <xdr:rowOff>113996</xdr:rowOff>
    </xdr:from>
    <xdr:to>
      <xdr:col>9</xdr:col>
      <xdr:colOff>61836</xdr:colOff>
      <xdr:row>297</xdr:row>
      <xdr:rowOff>134407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3118FBEC-7A99-4384-96E7-72E2C717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359833</xdr:colOff>
      <xdr:row>209</xdr:row>
      <xdr:rowOff>84665</xdr:rowOff>
    </xdr:from>
    <xdr:to>
      <xdr:col>19</xdr:col>
      <xdr:colOff>736600</xdr:colOff>
      <xdr:row>237</xdr:row>
      <xdr:rowOff>105832</xdr:rowOff>
    </xdr:to>
    <xdr:graphicFrame macro="">
      <xdr:nvGraphicFramePr>
        <xdr:cNvPr id="25" name="Chart 6">
          <a:extLst>
            <a:ext uri="{FF2B5EF4-FFF2-40B4-BE49-F238E27FC236}">
              <a16:creationId xmlns:a16="http://schemas.microsoft.com/office/drawing/2014/main" id="{C8B3591A-D4AD-47D1-AA1F-7FF7FD8BB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72"/>
  <sheetViews>
    <sheetView topLeftCell="A9" zoomScale="85" zoomScaleNormal="85" workbookViewId="0">
      <selection activeCell="I28" sqref="I28:I34"/>
    </sheetView>
  </sheetViews>
  <sheetFormatPr defaultColWidth="8.625" defaultRowHeight="16.5" x14ac:dyDescent="0.25"/>
  <cols>
    <col min="1" max="1" width="11.125" customWidth="1"/>
    <col min="2" max="2" width="23.625" customWidth="1"/>
    <col min="3" max="5" width="12.625" style="17" customWidth="1"/>
    <col min="6" max="7" width="12.625" customWidth="1"/>
    <col min="8" max="8" width="12" customWidth="1"/>
    <col min="9" max="9" width="21" style="17" customWidth="1"/>
    <col min="10" max="11" width="12.625" customWidth="1"/>
    <col min="13" max="13" width="10.5" customWidth="1"/>
  </cols>
  <sheetData>
    <row r="1" spans="1:17" x14ac:dyDescent="0.25">
      <c r="B1" s="167" t="s">
        <v>121</v>
      </c>
    </row>
    <row r="2" spans="1:17" ht="17.25" thickBot="1" x14ac:dyDescent="0.3">
      <c r="B2" t="s">
        <v>46</v>
      </c>
      <c r="C2" s="17" t="s">
        <v>46</v>
      </c>
    </row>
    <row r="3" spans="1:17" x14ac:dyDescent="0.25">
      <c r="B3" s="273" t="s">
        <v>117</v>
      </c>
      <c r="C3" s="287" t="s">
        <v>50</v>
      </c>
      <c r="D3" s="287"/>
      <c r="E3" s="287"/>
      <c r="F3" s="287"/>
      <c r="G3" s="287"/>
      <c r="H3" s="288"/>
      <c r="I3" s="62" t="s">
        <v>51</v>
      </c>
      <c r="J3" s="65"/>
      <c r="K3" s="66"/>
    </row>
    <row r="4" spans="1:17" ht="17.25" thickBot="1" x14ac:dyDescent="0.3">
      <c r="B4" s="286"/>
      <c r="C4" s="25" t="s">
        <v>47</v>
      </c>
      <c r="D4" s="25" t="s">
        <v>196</v>
      </c>
      <c r="E4" s="25" t="s">
        <v>42</v>
      </c>
      <c r="F4" s="25" t="s">
        <v>13</v>
      </c>
      <c r="G4" s="25" t="s">
        <v>12</v>
      </c>
      <c r="H4" s="26" t="s">
        <v>9</v>
      </c>
      <c r="I4" s="140"/>
      <c r="J4" s="25" t="s">
        <v>16</v>
      </c>
      <c r="K4" s="26" t="s">
        <v>17</v>
      </c>
      <c r="M4" s="10" t="s">
        <v>6</v>
      </c>
      <c r="O4" s="285" t="s">
        <v>257</v>
      </c>
      <c r="P4" s="285"/>
      <c r="Q4" s="285"/>
    </row>
    <row r="5" spans="1:17" x14ac:dyDescent="0.25">
      <c r="A5" s="277" t="s">
        <v>116</v>
      </c>
      <c r="B5" s="254" t="s">
        <v>57</v>
      </c>
      <c r="C5" s="27">
        <f>'SFU-HW_RA'!X94</f>
        <v>1E+308</v>
      </c>
      <c r="D5" s="28">
        <f>'SFU-HW_RA'!AC94</f>
        <v>1.074771383002826E-10</v>
      </c>
      <c r="E5" s="33">
        <f>'SFU-HW_RA'!AD94</f>
        <v>1.0000777983520948E-10</v>
      </c>
      <c r="F5" s="28" t="e">
        <f>'SFU-HW_RA'!AE94</f>
        <v>#VALUE!</v>
      </c>
      <c r="G5" s="28" t="e">
        <f>'SFU-HW_RA'!AF94</f>
        <v>#VALUE!</v>
      </c>
      <c r="H5" s="40" t="e">
        <f>'SFU-HW_RA'!AG94</f>
        <v>#VALUE!</v>
      </c>
      <c r="I5" s="231">
        <f>'SFU-HW_RA'!AH94</f>
        <v>-1.0031643351400748E-9</v>
      </c>
      <c r="J5" s="28" t="e">
        <f>'SFU-HW_RA'!U94</f>
        <v>#DIV/0!</v>
      </c>
      <c r="K5" s="40" t="e">
        <f>'SFU-HW_RA'!V94</f>
        <v>#DIV/0!</v>
      </c>
      <c r="M5" s="11" t="s">
        <v>5</v>
      </c>
      <c r="O5" s="20" t="s">
        <v>177</v>
      </c>
    </row>
    <row r="6" spans="1:17" x14ac:dyDescent="0.25">
      <c r="A6" s="278"/>
      <c r="B6" s="253" t="s">
        <v>59</v>
      </c>
      <c r="C6" s="41" t="e">
        <f>'SFU-HW_RA'!X95</f>
        <v>#NUM!</v>
      </c>
      <c r="D6" s="148" t="e">
        <f>'SFU-HW_RA'!AC95</f>
        <v>#NUM!</v>
      </c>
      <c r="E6" s="234">
        <f>'SFU-HW_RA'!AD95</f>
        <v>-2.5311253093462938E-11</v>
      </c>
      <c r="F6" s="148" t="e">
        <f>'SFU-HW_RA'!AE95</f>
        <v>#VALUE!</v>
      </c>
      <c r="G6" s="148" t="e">
        <f>'SFU-HW_RA'!AF95</f>
        <v>#VALUE!</v>
      </c>
      <c r="H6" s="42" t="e">
        <f>'SFU-HW_RA'!AG95</f>
        <v>#VALUE!</v>
      </c>
      <c r="I6" s="232">
        <f>'SFU-HW_RA'!AH95</f>
        <v>5.2559597874114671E-10</v>
      </c>
      <c r="J6" s="148" t="e">
        <f>'SFU-HW_RA'!U95</f>
        <v>#DIV/0!</v>
      </c>
      <c r="K6" s="42" t="e">
        <f>'SFU-HW_RA'!V95</f>
        <v>#DIV/0!</v>
      </c>
      <c r="M6" s="11"/>
      <c r="O6" s="20"/>
    </row>
    <row r="7" spans="1:17" x14ac:dyDescent="0.25">
      <c r="A7" s="278"/>
      <c r="B7" s="253" t="s">
        <v>65</v>
      </c>
      <c r="C7" s="41">
        <f>'SFU-HW_RA'!X96</f>
        <v>1.161544287345273E-4</v>
      </c>
      <c r="D7" s="148">
        <f>'SFU-HW_RA'!AC96</f>
        <v>-9.3898500086453396E-11</v>
      </c>
      <c r="E7" s="234">
        <f>'SFU-HW_RA'!AD96</f>
        <v>1.161544287345273E-4</v>
      </c>
      <c r="F7" s="148" t="e">
        <f>'SFU-HW_RA'!AE96</f>
        <v>#VALUE!</v>
      </c>
      <c r="G7" s="148" t="e">
        <f>'SFU-HW_RA'!AF96</f>
        <v>#VALUE!</v>
      </c>
      <c r="H7" s="42" t="e">
        <f>'SFU-HW_RA'!AG96</f>
        <v>#VALUE!</v>
      </c>
      <c r="I7" s="232">
        <f>'SFU-HW_RA'!AH96</f>
        <v>-1.6078318245999592E-3</v>
      </c>
      <c r="J7" s="148" t="e">
        <f>'SFU-HW_RA'!U96</f>
        <v>#DIV/0!</v>
      </c>
      <c r="K7" s="42" t="e">
        <f>'SFU-HW_RA'!V96</f>
        <v>#DIV/0!</v>
      </c>
      <c r="O7" s="21" t="s">
        <v>114</v>
      </c>
      <c r="P7" t="s">
        <v>14</v>
      </c>
    </row>
    <row r="8" spans="1:17" ht="17.25" thickBot="1" x14ac:dyDescent="0.3">
      <c r="A8" s="278"/>
      <c r="B8" s="253" t="s">
        <v>70</v>
      </c>
      <c r="C8" s="41">
        <f>'SFU-HW_RA'!X97</f>
        <v>2.5E+307</v>
      </c>
      <c r="D8" s="148">
        <f>'SFU-HW_RA'!AC97</f>
        <v>2.5E+307</v>
      </c>
      <c r="E8" s="234">
        <f>'SFU-HW_RA'!AD97</f>
        <v>3.3050562286973673E-11</v>
      </c>
      <c r="F8" s="148" t="e">
        <f>'SFU-HW_RA'!AE97</f>
        <v>#VALUE!</v>
      </c>
      <c r="G8" s="148" t="e">
        <f>'SFU-HW_RA'!AF97</f>
        <v>#VALUE!</v>
      </c>
      <c r="H8" s="42" t="e">
        <f>'SFU-HW_RA'!AG97</f>
        <v>#VALUE!</v>
      </c>
      <c r="I8" s="232">
        <f>'SFU-HW_RA'!AH97</f>
        <v>-3.7685202169996591E-10</v>
      </c>
      <c r="J8" s="148" t="e">
        <f>'SFU-HW_RA'!U97</f>
        <v>#DIV/0!</v>
      </c>
      <c r="K8" s="42" t="e">
        <f>'SFU-HW_RA'!V97</f>
        <v>#DIV/0!</v>
      </c>
      <c r="O8" s="21" t="s">
        <v>115</v>
      </c>
      <c r="P8" t="s">
        <v>15</v>
      </c>
    </row>
    <row r="9" spans="1:17" ht="17.25" thickBot="1" x14ac:dyDescent="0.3">
      <c r="A9" s="278"/>
      <c r="B9" s="255" t="s">
        <v>101</v>
      </c>
      <c r="C9" s="149" t="e">
        <f>'SFU-HW_RA'!X98</f>
        <v>#NUM!</v>
      </c>
      <c r="D9" s="151" t="e">
        <f>'SFU-HW_RA'!AC98</f>
        <v>#NUM!</v>
      </c>
      <c r="E9" s="150">
        <f>'SFU-HW_RA'!AD98</f>
        <v>3.573983430024045E-5</v>
      </c>
      <c r="F9" s="151" t="e">
        <f>'SFU-HW_RA'!AE98</f>
        <v>#VALUE!</v>
      </c>
      <c r="G9" s="151" t="e">
        <f>'SFU-HW_RA'!AF98</f>
        <v>#VALUE!</v>
      </c>
      <c r="H9" s="152" t="e">
        <f>'SFU-HW_RA'!AG98</f>
        <v>#VALUE!</v>
      </c>
      <c r="I9" s="233">
        <f>'SFU-HW_RA'!AH98</f>
        <v>-4.9471751589141107E-4</v>
      </c>
      <c r="J9" s="151" t="e">
        <f>'SFU-HW_RA'!U98</f>
        <v>#DIV/0!</v>
      </c>
      <c r="K9" s="152" t="e">
        <f>'SFU-HW_RA'!V98</f>
        <v>#DIV/0!</v>
      </c>
      <c r="M9" s="21"/>
    </row>
    <row r="10" spans="1:17" ht="17.25" thickBot="1" x14ac:dyDescent="0.3">
      <c r="A10" s="278"/>
      <c r="B10" s="266" t="s">
        <v>222</v>
      </c>
      <c r="C10" s="149" t="e">
        <f>'SFU-HW_RA'!X99</f>
        <v>#VALUE!</v>
      </c>
      <c r="D10" s="151" t="e">
        <f>'SFU-HW_RA'!AC99</f>
        <v>#VALUE!</v>
      </c>
      <c r="E10" s="150" t="e">
        <f>'SFU-HW_RA'!AD99</f>
        <v>#VALUE!</v>
      </c>
      <c r="F10" s="151" t="e">
        <f>'SFU-HW_RA'!AE99</f>
        <v>#VALUE!</v>
      </c>
      <c r="G10" s="151" t="e">
        <f>'SFU-HW_RA'!AF99</f>
        <v>#VALUE!</v>
      </c>
      <c r="H10" s="152" t="e">
        <f>'SFU-HW_RA'!AG99</f>
        <v>#VALUE!</v>
      </c>
      <c r="I10" s="256" t="e">
        <f>'SFU-HW_RA'!AH99</f>
        <v>#VALUE!</v>
      </c>
      <c r="J10" s="149" t="e">
        <f>'SFU-HW_RA'!U99</f>
        <v>#DIV/0!</v>
      </c>
      <c r="K10" s="152" t="e">
        <f>'SFU-HW_RA'!V99</f>
        <v>#DIV/0!</v>
      </c>
      <c r="M10" s="21"/>
    </row>
    <row r="11" spans="1:17" ht="17.25" thickBot="1" x14ac:dyDescent="0.3">
      <c r="A11" s="279"/>
      <c r="B11" s="204" t="s">
        <v>256</v>
      </c>
      <c r="C11" s="149">
        <f>'SFU-HW_RA'!X100</f>
        <v>3.6135773880285882E-5</v>
      </c>
      <c r="D11" s="151">
        <f>'SFU-HW_RA'!AC100</f>
        <v>-3.2891911416754738E-11</v>
      </c>
      <c r="E11" s="150">
        <f>'SFU-HW_RA'!AD100</f>
        <v>3.6135773880285882E-5</v>
      </c>
      <c r="F11" s="151" t="e">
        <f>'SFU-HW_RA'!AE100</f>
        <v>#VALUE!</v>
      </c>
      <c r="G11" s="151" t="e">
        <f>'SFU-HW_RA'!AF100</f>
        <v>#VALUE!</v>
      </c>
      <c r="H11" s="152" t="e">
        <f>'SFU-HW_RA'!AG100</f>
        <v>#VALUE!</v>
      </c>
      <c r="I11" s="256">
        <f>'SFU-HW_RA'!AH100</f>
        <v>-3.8353505221444138E-4</v>
      </c>
      <c r="J11" s="149" t="e">
        <f>'SFU-HW_RA'!U100</f>
        <v>#DIV/0!</v>
      </c>
      <c r="K11" s="152" t="e">
        <f>'SFU-HW_RA'!V100</f>
        <v>#DIV/0!</v>
      </c>
      <c r="M11" s="21"/>
    </row>
    <row r="12" spans="1:17" ht="17.25" thickBot="1" x14ac:dyDescent="0.3">
      <c r="C12" s="17" t="s">
        <v>46</v>
      </c>
      <c r="J12" s="17"/>
      <c r="K12" s="17"/>
    </row>
    <row r="13" spans="1:17" x14ac:dyDescent="0.25">
      <c r="B13" s="273" t="s">
        <v>18</v>
      </c>
      <c r="C13" s="275" t="s">
        <v>41</v>
      </c>
      <c r="D13" s="276"/>
      <c r="E13" s="276"/>
      <c r="F13" s="276"/>
      <c r="G13" s="276"/>
      <c r="H13" s="276"/>
      <c r="I13" s="69" t="s">
        <v>52</v>
      </c>
      <c r="J13" s="67"/>
      <c r="K13" s="68"/>
    </row>
    <row r="14" spans="1:17" ht="17.25" thickBot="1" x14ac:dyDescent="0.3">
      <c r="B14" s="274"/>
      <c r="C14" s="153" t="s">
        <v>48</v>
      </c>
      <c r="D14" s="230" t="s">
        <v>197</v>
      </c>
      <c r="E14" s="25" t="s">
        <v>43</v>
      </c>
      <c r="F14" s="18" t="s">
        <v>13</v>
      </c>
      <c r="G14" s="18" t="s">
        <v>12</v>
      </c>
      <c r="H14" s="18" t="s">
        <v>9</v>
      </c>
      <c r="I14" s="154"/>
      <c r="J14" s="18" t="s">
        <v>16</v>
      </c>
      <c r="K14" s="19" t="s">
        <v>17</v>
      </c>
    </row>
    <row r="15" spans="1:17" x14ac:dyDescent="0.25">
      <c r="A15" s="277" t="s">
        <v>132</v>
      </c>
      <c r="B15" s="168" t="s">
        <v>237</v>
      </c>
      <c r="C15" s="31">
        <f>TVD_RA!W3</f>
        <v>-2.3881047821535772E-2</v>
      </c>
      <c r="D15" s="31">
        <f>TVD_RA!AB3</f>
        <v>-1.3626133646832961E-2</v>
      </c>
      <c r="E15" s="31">
        <f>TVD_RA!AC3</f>
        <v>-2.3881047821535772E-2</v>
      </c>
      <c r="F15" s="31" t="e">
        <f>TVD_RA!AD3</f>
        <v>#VALUE!</v>
      </c>
      <c r="G15" s="31" t="e">
        <f>TVD_RA!AE3</f>
        <v>#VALUE!</v>
      </c>
      <c r="H15" s="31" t="e">
        <f>TVD_RA!AF3</f>
        <v>#VALUE!</v>
      </c>
      <c r="I15" s="206">
        <f>TVD_RA!AG3</f>
        <v>0.34327218760151434</v>
      </c>
      <c r="J15" s="31" t="e">
        <f>TVD_RA!T45</f>
        <v>#DIV/0!</v>
      </c>
      <c r="K15" s="246" t="e">
        <f>TVD_RA!U45</f>
        <v>#DIV/0!</v>
      </c>
    </row>
    <row r="16" spans="1:17" x14ac:dyDescent="0.25">
      <c r="A16" s="278"/>
      <c r="B16" s="202" t="s">
        <v>239</v>
      </c>
      <c r="C16" s="155">
        <f>TVD_RA!W9</f>
        <v>1E+308</v>
      </c>
      <c r="D16" s="155">
        <f>TVD_RA!AB9</f>
        <v>3.4051379334210097E-4</v>
      </c>
      <c r="E16" s="155">
        <f>TVD_RA!AC9</f>
        <v>7.8864734873240749E-4</v>
      </c>
      <c r="F16" s="155" t="e">
        <f>TVD_RA!AD9</f>
        <v>#VALUE!</v>
      </c>
      <c r="G16" s="155" t="e">
        <f>TVD_RA!AE9</f>
        <v>#VALUE!</v>
      </c>
      <c r="H16" s="155" t="e">
        <f>TVD_RA!AF9</f>
        <v>#VALUE!</v>
      </c>
      <c r="I16" s="207">
        <f>TVD_RA!AG9</f>
        <v>-7.4365618910141179E-2</v>
      </c>
      <c r="J16" s="155" t="e">
        <f>TVD_RA!T46</f>
        <v>#DIV/0!</v>
      </c>
      <c r="K16" s="247" t="e">
        <f>TVD_RA!U46</f>
        <v>#DIV/0!</v>
      </c>
    </row>
    <row r="17" spans="1:11" x14ac:dyDescent="0.25">
      <c r="A17" s="278"/>
      <c r="B17" s="202" t="s">
        <v>241</v>
      </c>
      <c r="C17" s="155">
        <f>TVD_RA!W15</f>
        <v>-1.5519894484611663E-2</v>
      </c>
      <c r="D17" s="155">
        <f>TVD_RA!AB15</f>
        <v>-2.5062360848992493E-2</v>
      </c>
      <c r="E17" s="155">
        <f>TVD_RA!AC15</f>
        <v>-1.5519894484611663E-2</v>
      </c>
      <c r="F17" s="155" t="e">
        <f>TVD_RA!AD15</f>
        <v>#VALUE!</v>
      </c>
      <c r="G17" s="155" t="e">
        <f>TVD_RA!AE15</f>
        <v>#VALUE!</v>
      </c>
      <c r="H17" s="155" t="e">
        <f>TVD_RA!AF15</f>
        <v>#VALUE!</v>
      </c>
      <c r="I17" s="207">
        <f>TVD_RA!AG15</f>
        <v>0.15231062813905485</v>
      </c>
      <c r="J17" s="155" t="e">
        <f>TVD_RA!T47</f>
        <v>#DIV/0!</v>
      </c>
      <c r="K17" s="247" t="e">
        <f>TVD_RA!U47</f>
        <v>#DIV/0!</v>
      </c>
    </row>
    <row r="18" spans="1:11" x14ac:dyDescent="0.25">
      <c r="A18" s="278"/>
      <c r="B18" s="202" t="s">
        <v>243</v>
      </c>
      <c r="C18" s="155">
        <f>TVD_RA!W21</f>
        <v>1E+308</v>
      </c>
      <c r="D18" s="155">
        <f>TVD_RA!AB21</f>
        <v>4.0927547577379819E-2</v>
      </c>
      <c r="E18" s="155">
        <f>TVD_RA!AC21</f>
        <v>-1.6064699278827366E-2</v>
      </c>
      <c r="F18" s="155" t="e">
        <f>TVD_RA!AD21</f>
        <v>#VALUE!</v>
      </c>
      <c r="G18" s="155" t="e">
        <f>TVD_RA!AE21</f>
        <v>#VALUE!</v>
      </c>
      <c r="H18" s="155" t="e">
        <f>TVD_RA!AF21</f>
        <v>#VALUE!</v>
      </c>
      <c r="I18" s="207">
        <f>TVD_RA!AG21</f>
        <v>-0.23221590993698168</v>
      </c>
      <c r="J18" s="155" t="e">
        <f>TVD_RA!T48</f>
        <v>#DIV/0!</v>
      </c>
      <c r="K18" s="247" t="e">
        <f>TVD_RA!U48</f>
        <v>#DIV/0!</v>
      </c>
    </row>
    <row r="19" spans="1:11" x14ac:dyDescent="0.25">
      <c r="A19" s="278"/>
      <c r="B19" s="202" t="s">
        <v>245</v>
      </c>
      <c r="C19" s="155">
        <f>TVD_RA!W27</f>
        <v>0</v>
      </c>
      <c r="D19" s="155">
        <f>TVD_RA!AB27</f>
        <v>0</v>
      </c>
      <c r="E19" s="155">
        <f>TVD_RA!AC27</f>
        <v>0</v>
      </c>
      <c r="F19" s="155" t="e">
        <f>TVD_RA!AD27</f>
        <v>#VALUE!</v>
      </c>
      <c r="G19" s="155" t="e">
        <f>TVD_RA!AE27</f>
        <v>#VALUE!</v>
      </c>
      <c r="H19" s="155" t="e">
        <f>TVD_RA!AF27</f>
        <v>#VALUE!</v>
      </c>
      <c r="I19" s="207">
        <f>TVD_RA!AG27</f>
        <v>0</v>
      </c>
      <c r="J19" s="155" t="e">
        <f>TVD_RA!T49</f>
        <v>#DIV/0!</v>
      </c>
      <c r="K19" s="247" t="e">
        <f>TVD_RA!U49</f>
        <v>#DIV/0!</v>
      </c>
    </row>
    <row r="20" spans="1:11" x14ac:dyDescent="0.25">
      <c r="A20" s="278"/>
      <c r="B20" s="202" t="s">
        <v>247</v>
      </c>
      <c r="C20" s="155">
        <f>TVD_RA!W33</f>
        <v>0</v>
      </c>
      <c r="D20" s="155">
        <f>TVD_RA!AB33</f>
        <v>0</v>
      </c>
      <c r="E20" s="155">
        <f>TVD_RA!AC33</f>
        <v>0</v>
      </c>
      <c r="F20" s="155" t="e">
        <f>TVD_RA!AD33</f>
        <v>#VALUE!</v>
      </c>
      <c r="G20" s="155" t="e">
        <f>TVD_RA!AE33</f>
        <v>#VALUE!</v>
      </c>
      <c r="H20" s="155" t="e">
        <f>TVD_RA!AF33</f>
        <v>#VALUE!</v>
      </c>
      <c r="I20" s="207">
        <f>TVD_RA!AG33</f>
        <v>0</v>
      </c>
      <c r="J20" s="155" t="e">
        <f>TVD_RA!T50</f>
        <v>#DIV/0!</v>
      </c>
      <c r="K20" s="247" t="e">
        <f>TVD_RA!U50</f>
        <v>#DIV/0!</v>
      </c>
    </row>
    <row r="21" spans="1:11" ht="17.25" thickBot="1" x14ac:dyDescent="0.3">
      <c r="A21" s="278"/>
      <c r="B21" s="203" t="s">
        <v>249</v>
      </c>
      <c r="C21" s="32">
        <f>TVD_RA!W39</f>
        <v>3.5217084253567066E-3</v>
      </c>
      <c r="D21" s="32">
        <f>TVD_RA!AB39</f>
        <v>3.2025589571662572E-3</v>
      </c>
      <c r="E21" s="32">
        <f>TVD_RA!AC39</f>
        <v>3.5217084253567066E-3</v>
      </c>
      <c r="F21" s="32" t="e">
        <f>TVD_RA!AD39</f>
        <v>#VALUE!</v>
      </c>
      <c r="G21" s="32" t="e">
        <f>TVD_RA!AE39</f>
        <v>#VALUE!</v>
      </c>
      <c r="H21" s="32" t="e">
        <f>TVD_RA!AF39</f>
        <v>#VALUE!</v>
      </c>
      <c r="I21" s="208">
        <f>TVD_RA!AG39</f>
        <v>-3.422455103844671E-2</v>
      </c>
      <c r="J21" s="32" t="e">
        <f>TVD_RA!T51</f>
        <v>#DIV/0!</v>
      </c>
      <c r="K21" s="248" t="e">
        <f>TVD_RA!U51</f>
        <v>#DIV/0!</v>
      </c>
    </row>
    <row r="22" spans="1:11" ht="17.25" thickBot="1" x14ac:dyDescent="0.3">
      <c r="A22" s="279"/>
      <c r="B22" s="204" t="s">
        <v>101</v>
      </c>
      <c r="C22" s="32" t="e">
        <f>TVD_RA!W52</f>
        <v>#NUM!</v>
      </c>
      <c r="D22" s="32">
        <f>TVD_RA!AB52</f>
        <v>8.2601797600896046E-4</v>
      </c>
      <c r="E22" s="32">
        <f>TVD_RA!AC52</f>
        <v>-7.3078979729836692E-3</v>
      </c>
      <c r="F22" s="32" t="e">
        <f>TVD_RA!AD52</f>
        <v>#VALUE!</v>
      </c>
      <c r="G22" s="32" t="e">
        <f>TVD_RA!AE52</f>
        <v>#VALUE!</v>
      </c>
      <c r="H22" s="32" t="e">
        <f>TVD_RA!AF52</f>
        <v>#VALUE!</v>
      </c>
      <c r="I22" s="205">
        <f>TVD_RA!AG52</f>
        <v>2.2110962264999947E-2</v>
      </c>
      <c r="J22" s="32" t="e">
        <f>TVD_RA!T52</f>
        <v>#DIV/0!</v>
      </c>
      <c r="K22" s="248" t="e">
        <f>TVD_RA!U52</f>
        <v>#DIV/0!</v>
      </c>
    </row>
    <row r="24" spans="1:11" x14ac:dyDescent="0.25">
      <c r="B24" s="167" t="s">
        <v>258</v>
      </c>
    </row>
    <row r="25" spans="1:11" ht="17.25" thickBot="1" x14ac:dyDescent="0.3">
      <c r="J25" s="17"/>
      <c r="K25" s="17"/>
    </row>
    <row r="26" spans="1:11" x14ac:dyDescent="0.25">
      <c r="B26" s="280" t="s">
        <v>117</v>
      </c>
      <c r="C26" s="282" t="s">
        <v>41</v>
      </c>
      <c r="D26" s="283"/>
      <c r="E26" s="283"/>
      <c r="F26" s="283"/>
      <c r="G26" s="283"/>
      <c r="H26" s="284"/>
      <c r="I26" s="157" t="s">
        <v>118</v>
      </c>
      <c r="J26" s="158"/>
      <c r="K26" s="159"/>
    </row>
    <row r="27" spans="1:11" ht="17.25" thickBot="1" x14ac:dyDescent="0.3">
      <c r="B27" s="289"/>
      <c r="C27" s="156" t="s">
        <v>25</v>
      </c>
      <c r="D27" s="156" t="s">
        <v>196</v>
      </c>
      <c r="E27" s="156" t="s">
        <v>42</v>
      </c>
      <c r="F27" s="156" t="s">
        <v>119</v>
      </c>
      <c r="G27" s="156" t="s">
        <v>12</v>
      </c>
      <c r="H27" s="160" t="s">
        <v>120</v>
      </c>
      <c r="I27" s="160"/>
      <c r="J27" s="156" t="s">
        <v>16</v>
      </c>
      <c r="K27" s="160" t="s">
        <v>17</v>
      </c>
    </row>
    <row r="28" spans="1:11" x14ac:dyDescent="0.25">
      <c r="A28" s="293" t="s">
        <v>116</v>
      </c>
      <c r="B28" s="254" t="s">
        <v>57</v>
      </c>
      <c r="C28" s="27">
        <f>'SFU-HW_LD'!X94</f>
        <v>0</v>
      </c>
      <c r="D28" s="28">
        <f>'SFU-HW_LD'!AC94</f>
        <v>0</v>
      </c>
      <c r="E28" s="33">
        <f>'SFU-HW_LD'!AD94</f>
        <v>0</v>
      </c>
      <c r="F28" s="28" t="e">
        <f>'SFU-HW_LD'!AE94</f>
        <v>#VALUE!</v>
      </c>
      <c r="G28" s="28" t="e">
        <f>'SFU-HW_LD'!AF94</f>
        <v>#VALUE!</v>
      </c>
      <c r="H28" s="40" t="e">
        <f>'SFU-HW_LD'!AG94</f>
        <v>#VALUE!</v>
      </c>
      <c r="I28" s="231">
        <f>'SFU-HW_LD'!AH94</f>
        <v>0</v>
      </c>
      <c r="J28" s="28" t="e">
        <f>'SFU-HW_LD'!U94</f>
        <v>#DIV/0!</v>
      </c>
      <c r="K28" s="40" t="e">
        <f>'SFU-HW_LD'!V94</f>
        <v>#DIV/0!</v>
      </c>
    </row>
    <row r="29" spans="1:11" x14ac:dyDescent="0.25">
      <c r="A29" s="294"/>
      <c r="B29" s="253" t="s">
        <v>59</v>
      </c>
      <c r="C29" s="41">
        <f>'SFU-HW_LD'!X95</f>
        <v>2.5E+307</v>
      </c>
      <c r="D29" s="148">
        <f>'SFU-HW_LD'!AC95</f>
        <v>0</v>
      </c>
      <c r="E29" s="234">
        <f>'SFU-HW_LD'!AD95</f>
        <v>0</v>
      </c>
      <c r="F29" s="148" t="e">
        <f>'SFU-HW_LD'!AE95</f>
        <v>#VALUE!</v>
      </c>
      <c r="G29" s="148" t="e">
        <f>'SFU-HW_LD'!AF95</f>
        <v>#VALUE!</v>
      </c>
      <c r="H29" s="42" t="e">
        <f>'SFU-HW_LD'!AG95</f>
        <v>#VALUE!</v>
      </c>
      <c r="I29" s="232">
        <f>'SFU-HW_LD'!AH95</f>
        <v>0</v>
      </c>
      <c r="J29" s="148" t="e">
        <f>'SFU-HW_LD'!U95</f>
        <v>#DIV/0!</v>
      </c>
      <c r="K29" s="42" t="e">
        <f>'SFU-HW_LD'!V95</f>
        <v>#DIV/0!</v>
      </c>
    </row>
    <row r="30" spans="1:11" x14ac:dyDescent="0.25">
      <c r="A30" s="294"/>
      <c r="B30" s="253" t="s">
        <v>65</v>
      </c>
      <c r="C30" s="41">
        <f>'SFU-HW_LD'!X96</f>
        <v>0</v>
      </c>
      <c r="D30" s="148">
        <f>'SFU-HW_LD'!AC96</f>
        <v>0</v>
      </c>
      <c r="E30" s="234">
        <f>'SFU-HW_LD'!AD96</f>
        <v>0</v>
      </c>
      <c r="F30" s="148" t="e">
        <f>'SFU-HW_LD'!AE96</f>
        <v>#VALUE!</v>
      </c>
      <c r="G30" s="148" t="e">
        <f>'SFU-HW_LD'!AF96</f>
        <v>#VALUE!</v>
      </c>
      <c r="H30" s="42" t="e">
        <f>'SFU-HW_LD'!AG96</f>
        <v>#VALUE!</v>
      </c>
      <c r="I30" s="232">
        <f>'SFU-HW_LD'!AH96</f>
        <v>0</v>
      </c>
      <c r="J30" s="148" t="e">
        <f>'SFU-HW_LD'!U96</f>
        <v>#DIV/0!</v>
      </c>
      <c r="K30" s="42" t="e">
        <f>'SFU-HW_LD'!V96</f>
        <v>#DIV/0!</v>
      </c>
    </row>
    <row r="31" spans="1:11" ht="17.25" thickBot="1" x14ac:dyDescent="0.3">
      <c r="A31" s="294"/>
      <c r="B31" s="253" t="s">
        <v>70</v>
      </c>
      <c r="C31" s="41">
        <f>'SFU-HW_LD'!X97</f>
        <v>0</v>
      </c>
      <c r="D31" s="148">
        <f>'SFU-HW_LD'!AC97</f>
        <v>0</v>
      </c>
      <c r="E31" s="234">
        <f>'SFU-HW_LD'!AD97</f>
        <v>0</v>
      </c>
      <c r="F31" s="148" t="e">
        <f>'SFU-HW_LD'!AE97</f>
        <v>#VALUE!</v>
      </c>
      <c r="G31" s="148" t="e">
        <f>'SFU-HW_LD'!AF97</f>
        <v>#VALUE!</v>
      </c>
      <c r="H31" s="42" t="e">
        <f>'SFU-HW_LD'!AG97</f>
        <v>#VALUE!</v>
      </c>
      <c r="I31" s="232">
        <f>'SFU-HW_LD'!AH97</f>
        <v>0</v>
      </c>
      <c r="J31" s="148" t="e">
        <f>'SFU-HW_LD'!U97</f>
        <v>#DIV/0!</v>
      </c>
      <c r="K31" s="42" t="e">
        <f>'SFU-HW_LD'!V97</f>
        <v>#DIV/0!</v>
      </c>
    </row>
    <row r="32" spans="1:11" ht="17.25" thickBot="1" x14ac:dyDescent="0.3">
      <c r="A32" s="294"/>
      <c r="B32" s="255" t="s">
        <v>101</v>
      </c>
      <c r="C32" s="149">
        <f>'SFU-HW_LD'!X98</f>
        <v>7.692307692307693E+306</v>
      </c>
      <c r="D32" s="151">
        <f>'SFU-HW_LD'!AC98</f>
        <v>0</v>
      </c>
      <c r="E32" s="150">
        <f>'SFU-HW_LD'!AD98</f>
        <v>0</v>
      </c>
      <c r="F32" s="151" t="e">
        <f>'SFU-HW_LD'!AE98</f>
        <v>#VALUE!</v>
      </c>
      <c r="G32" s="151" t="e">
        <f>'SFU-HW_LD'!AF98</f>
        <v>#VALUE!</v>
      </c>
      <c r="H32" s="152" t="e">
        <f>'SFU-HW_LD'!AG98</f>
        <v>#VALUE!</v>
      </c>
      <c r="I32" s="233">
        <f>'SFU-HW_LD'!AH98</f>
        <v>0</v>
      </c>
      <c r="J32" s="151" t="e">
        <f>'SFU-HW_LD'!U98</f>
        <v>#DIV/0!</v>
      </c>
      <c r="K32" s="152" t="e">
        <f>'SFU-HW_LD'!V98</f>
        <v>#DIV/0!</v>
      </c>
    </row>
    <row r="33" spans="1:13" ht="17.25" thickBot="1" x14ac:dyDescent="0.3">
      <c r="A33" s="294"/>
      <c r="B33" s="204" t="s">
        <v>222</v>
      </c>
      <c r="C33" s="149" t="e">
        <f>'SFU-HW_LD'!X99</f>
        <v>#VALUE!</v>
      </c>
      <c r="D33" s="151" t="e">
        <f>'SFU-HW_LD'!AC99</f>
        <v>#VALUE!</v>
      </c>
      <c r="E33" s="150" t="e">
        <f>'SFU-HW_LD'!AD99</f>
        <v>#VALUE!</v>
      </c>
      <c r="F33" s="151" t="e">
        <f>'SFU-HW_LD'!AE99</f>
        <v>#VALUE!</v>
      </c>
      <c r="G33" s="151" t="e">
        <f>'SFU-HW_LD'!AF99</f>
        <v>#VALUE!</v>
      </c>
      <c r="H33" s="152" t="e">
        <f>'SFU-HW_LD'!AG99</f>
        <v>#VALUE!</v>
      </c>
      <c r="I33" s="256" t="e">
        <f>'SFU-HW_LD'!AH99</f>
        <v>#VALUE!</v>
      </c>
      <c r="J33" s="149" t="e">
        <f>'SFU-HW_LD'!U99</f>
        <v>#DIV/0!</v>
      </c>
      <c r="K33" s="152" t="e">
        <f>'SFU-HW_LD'!V99</f>
        <v>#DIV/0!</v>
      </c>
    </row>
    <row r="34" spans="1:13" ht="17.25" thickBot="1" x14ac:dyDescent="0.3">
      <c r="A34" s="294"/>
      <c r="B34" s="204" t="s">
        <v>256</v>
      </c>
      <c r="C34" s="149">
        <f>'SFU-HW_LD'!X100</f>
        <v>0</v>
      </c>
      <c r="D34" s="151">
        <f>'SFU-HW_LD'!AC100</f>
        <v>0</v>
      </c>
      <c r="E34" s="150">
        <f>'SFU-HW_LD'!AD100</f>
        <v>0</v>
      </c>
      <c r="F34" s="151" t="e">
        <f>'SFU-HW_LD'!AE100</f>
        <v>#VALUE!</v>
      </c>
      <c r="G34" s="151" t="e">
        <f>'SFU-HW_LD'!AF100</f>
        <v>#VALUE!</v>
      </c>
      <c r="H34" s="152" t="e">
        <f>'SFU-HW_LD'!AG100</f>
        <v>#VALUE!</v>
      </c>
      <c r="I34" s="256">
        <f>'SFU-HW_LD'!AH100</f>
        <v>0</v>
      </c>
      <c r="J34" s="149" t="e">
        <f>'SFU-HW_LD'!U100</f>
        <v>#DIV/0!</v>
      </c>
      <c r="K34" s="152" t="e">
        <f>'SFU-HW_LD'!V100</f>
        <v>#DIV/0!</v>
      </c>
      <c r="M34" s="21"/>
    </row>
    <row r="35" spans="1:13" ht="17.25" thickBot="1" x14ac:dyDescent="0.3">
      <c r="J35" s="17"/>
      <c r="K35" s="17"/>
    </row>
    <row r="36" spans="1:13" x14ac:dyDescent="0.25">
      <c r="B36" s="273" t="s">
        <v>18</v>
      </c>
      <c r="C36" s="275" t="s">
        <v>41</v>
      </c>
      <c r="D36" s="276"/>
      <c r="E36" s="276"/>
      <c r="F36" s="276"/>
      <c r="G36" s="276"/>
      <c r="H36" s="276"/>
      <c r="I36" s="69" t="s">
        <v>52</v>
      </c>
      <c r="J36" s="67"/>
      <c r="K36" s="68"/>
    </row>
    <row r="37" spans="1:13" ht="17.25" thickBot="1" x14ac:dyDescent="0.3">
      <c r="B37" s="274"/>
      <c r="C37" s="153" t="s">
        <v>48</v>
      </c>
      <c r="D37" s="230" t="s">
        <v>197</v>
      </c>
      <c r="E37" s="25" t="s">
        <v>43</v>
      </c>
      <c r="F37" s="18" t="s">
        <v>13</v>
      </c>
      <c r="G37" s="18" t="s">
        <v>12</v>
      </c>
      <c r="H37" s="18" t="s">
        <v>9</v>
      </c>
      <c r="I37" s="154"/>
      <c r="J37" s="18" t="s">
        <v>16</v>
      </c>
      <c r="K37" s="19" t="s">
        <v>17</v>
      </c>
    </row>
    <row r="38" spans="1:13" x14ac:dyDescent="0.25">
      <c r="A38" s="277" t="s">
        <v>132</v>
      </c>
      <c r="B38" s="168" t="s">
        <v>236</v>
      </c>
      <c r="C38" s="31">
        <f>TVD_LD!W3</f>
        <v>1E+308</v>
      </c>
      <c r="D38" s="31">
        <f>TVD_LD!AB3</f>
        <v>-1.4763697434333589E-2</v>
      </c>
      <c r="E38" s="31">
        <f>TVD_LD!AC3</f>
        <v>-1.4535430785979409E-2</v>
      </c>
      <c r="F38" s="31" t="e">
        <f>TVD_LD!AD3</f>
        <v>#VALUE!</v>
      </c>
      <c r="G38" s="31" t="e">
        <f>TVD_LD!AE3</f>
        <v>#VALUE!</v>
      </c>
      <c r="H38" s="31" t="e">
        <f>TVD_LD!AF3</f>
        <v>#VALUE!</v>
      </c>
      <c r="I38" s="206">
        <f>TVD_LD!AG3</f>
        <v>0.23628359464289103</v>
      </c>
      <c r="J38" s="31" t="e">
        <f>TVD_LD!T45</f>
        <v>#DIV/0!</v>
      </c>
      <c r="K38" s="246" t="e">
        <f>TVD_LD!U45</f>
        <v>#DIV/0!</v>
      </c>
    </row>
    <row r="39" spans="1:13" x14ac:dyDescent="0.25">
      <c r="A39" s="278"/>
      <c r="B39" s="202" t="s">
        <v>238</v>
      </c>
      <c r="C39" s="155">
        <f>TVD_LD!W9</f>
        <v>1E+308</v>
      </c>
      <c r="D39" s="155">
        <f>TVD_LD!AB9</f>
        <v>1.380662683164724E-3</v>
      </c>
      <c r="E39" s="155">
        <f>TVD_LD!AC9</f>
        <v>-2.0413243789114688E-3</v>
      </c>
      <c r="F39" s="155" t="e">
        <f>TVD_LD!AD9</f>
        <v>#VALUE!</v>
      </c>
      <c r="G39" s="155" t="e">
        <f>TVD_LD!AE9</f>
        <v>#VALUE!</v>
      </c>
      <c r="H39" s="155" t="e">
        <f>TVD_LD!AF9</f>
        <v>#VALUE!</v>
      </c>
      <c r="I39" s="207">
        <f>TVD_LD!AG9</f>
        <v>2.6463172801394316E-2</v>
      </c>
      <c r="J39" s="155" t="e">
        <f>TVD_LD!T46</f>
        <v>#DIV/0!</v>
      </c>
      <c r="K39" s="247" t="e">
        <f>TVD_LD!U46</f>
        <v>#DIV/0!</v>
      </c>
    </row>
    <row r="40" spans="1:13" x14ac:dyDescent="0.25">
      <c r="A40" s="278"/>
      <c r="B40" s="202" t="s">
        <v>240</v>
      </c>
      <c r="C40" s="155">
        <f>TVD_LD!W15</f>
        <v>7.3119395121001851E-4</v>
      </c>
      <c r="D40" s="155">
        <f>TVD_LD!AB15</f>
        <v>5.5643355129562089E-3</v>
      </c>
      <c r="E40" s="155">
        <f>TVD_LD!AC15</f>
        <v>7.3119395121001851E-4</v>
      </c>
      <c r="F40" s="155" t="e">
        <f>TVD_LD!AD15</f>
        <v>#VALUE!</v>
      </c>
      <c r="G40" s="155" t="e">
        <f>TVD_LD!AE15</f>
        <v>#VALUE!</v>
      </c>
      <c r="H40" s="155" t="e">
        <f>TVD_LD!AF15</f>
        <v>#VALUE!</v>
      </c>
      <c r="I40" s="207">
        <f>TVD_LD!AG15</f>
        <v>2.2322648856458027E-2</v>
      </c>
      <c r="J40" s="155" t="e">
        <f>TVD_LD!T47</f>
        <v>#DIV/0!</v>
      </c>
      <c r="K40" s="247" t="e">
        <f>TVD_LD!U47</f>
        <v>#DIV/0!</v>
      </c>
    </row>
    <row r="41" spans="1:13" x14ac:dyDescent="0.25">
      <c r="A41" s="278"/>
      <c r="B41" s="202" t="s">
        <v>242</v>
      </c>
      <c r="C41" s="155">
        <f>TVD_LD!W21</f>
        <v>2.2564963665739901E-2</v>
      </c>
      <c r="D41" s="155">
        <f>TVD_LD!AB21</f>
        <v>2.8882756683232369E-2</v>
      </c>
      <c r="E41" s="155">
        <f>TVD_LD!AC21</f>
        <v>2.2564963665739901E-2</v>
      </c>
      <c r="F41" s="155" t="e">
        <f>TVD_LD!AD21</f>
        <v>#VALUE!</v>
      </c>
      <c r="G41" s="155" t="e">
        <f>TVD_LD!AE21</f>
        <v>#VALUE!</v>
      </c>
      <c r="H41" s="155" t="e">
        <f>TVD_LD!AF21</f>
        <v>#VALUE!</v>
      </c>
      <c r="I41" s="207">
        <f>TVD_LD!AG21</f>
        <v>-0.19663203170130134</v>
      </c>
      <c r="J41" s="155" t="e">
        <f>TVD_LD!T48</f>
        <v>#DIV/0!</v>
      </c>
      <c r="K41" s="247" t="e">
        <f>TVD_LD!U48</f>
        <v>#DIV/0!</v>
      </c>
    </row>
    <row r="42" spans="1:13" x14ac:dyDescent="0.25">
      <c r="A42" s="278"/>
      <c r="B42" s="202" t="s">
        <v>244</v>
      </c>
      <c r="C42" s="155">
        <f>TVD_LD!W27</f>
        <v>0</v>
      </c>
      <c r="D42" s="155">
        <f>TVD_LD!AB27</f>
        <v>0</v>
      </c>
      <c r="E42" s="155">
        <f>TVD_LD!AC27</f>
        <v>0</v>
      </c>
      <c r="F42" s="155" t="e">
        <f>TVD_LD!AD27</f>
        <v>#VALUE!</v>
      </c>
      <c r="G42" s="155" t="e">
        <f>TVD_LD!AE27</f>
        <v>#VALUE!</v>
      </c>
      <c r="H42" s="155" t="e">
        <f>TVD_LD!AF27</f>
        <v>#VALUE!</v>
      </c>
      <c r="I42" s="207">
        <f>TVD_LD!AG27</f>
        <v>0</v>
      </c>
      <c r="J42" s="155" t="e">
        <f>TVD_LD!T49</f>
        <v>#DIV/0!</v>
      </c>
      <c r="K42" s="247" t="e">
        <f>TVD_LD!U49</f>
        <v>#DIV/0!</v>
      </c>
    </row>
    <row r="43" spans="1:13" x14ac:dyDescent="0.25">
      <c r="A43" s="278"/>
      <c r="B43" s="202" t="s">
        <v>246</v>
      </c>
      <c r="C43" s="155">
        <f>TVD_LD!W33</f>
        <v>0</v>
      </c>
      <c r="D43" s="155">
        <f>TVD_LD!AB33</f>
        <v>0</v>
      </c>
      <c r="E43" s="155">
        <f>TVD_LD!AC33</f>
        <v>0</v>
      </c>
      <c r="F43" s="155" t="e">
        <f>TVD_LD!AD33</f>
        <v>#VALUE!</v>
      </c>
      <c r="G43" s="155" t="e">
        <f>TVD_LD!AE33</f>
        <v>#VALUE!</v>
      </c>
      <c r="H43" s="155" t="e">
        <f>TVD_LD!AF33</f>
        <v>#VALUE!</v>
      </c>
      <c r="I43" s="207">
        <f>TVD_LD!AG33</f>
        <v>0</v>
      </c>
      <c r="J43" s="155" t="e">
        <f>TVD_LD!T50</f>
        <v>#DIV/0!</v>
      </c>
      <c r="K43" s="247" t="e">
        <f>TVD_LD!U50</f>
        <v>#DIV/0!</v>
      </c>
    </row>
    <row r="44" spans="1:13" ht="17.25" thickBot="1" x14ac:dyDescent="0.3">
      <c r="A44" s="278"/>
      <c r="B44" s="203" t="s">
        <v>248</v>
      </c>
      <c r="C44" s="32">
        <f>TVD_LD!W39</f>
        <v>1.5644654409099346E-3</v>
      </c>
      <c r="D44" s="32">
        <f>TVD_LD!AB39</f>
        <v>-8.2900983335210121E-4</v>
      </c>
      <c r="E44" s="32">
        <f>TVD_LD!AC39</f>
        <v>1.5644654409099346E-3</v>
      </c>
      <c r="F44" s="32" t="e">
        <f>TVD_LD!AD39</f>
        <v>#VALUE!</v>
      </c>
      <c r="G44" s="32" t="e">
        <f>TVD_LD!AE39</f>
        <v>#VALUE!</v>
      </c>
      <c r="H44" s="32" t="e">
        <f>TVD_LD!AF39</f>
        <v>#VALUE!</v>
      </c>
      <c r="I44" s="208">
        <f>TVD_LD!AG39</f>
        <v>-1.1253608627112477E-2</v>
      </c>
      <c r="J44" s="32" t="e">
        <f>TVD_LD!T51</f>
        <v>#DIV/0!</v>
      </c>
      <c r="K44" s="248" t="e">
        <f>TVD_LD!U51</f>
        <v>#DIV/0!</v>
      </c>
    </row>
    <row r="45" spans="1:13" ht="17.25" thickBot="1" x14ac:dyDescent="0.3">
      <c r="A45" s="279"/>
      <c r="B45" s="204" t="s">
        <v>101</v>
      </c>
      <c r="C45" s="32" t="e">
        <f>TVD_LD!W52</f>
        <v>#NUM!</v>
      </c>
      <c r="D45" s="32">
        <f>TVD_LD!AB52</f>
        <v>2.8907210873810874E-3</v>
      </c>
      <c r="E45" s="32">
        <f>TVD_LD!AC52</f>
        <v>1.1834096989955681E-3</v>
      </c>
      <c r="F45" s="32" t="e">
        <f>TVD_LD!AD52</f>
        <v>#VALUE!</v>
      </c>
      <c r="G45" s="32" t="e">
        <f>TVD_LD!AE52</f>
        <v>#VALUE!</v>
      </c>
      <c r="H45" s="32" t="e">
        <f>TVD_LD!AF52</f>
        <v>#VALUE!</v>
      </c>
      <c r="I45" s="205">
        <f>TVD_LD!AG52</f>
        <v>1.1026253710332791E-2</v>
      </c>
      <c r="J45" s="32" t="e">
        <f>TVD_LD!T52</f>
        <v>#DIV/0!</v>
      </c>
      <c r="K45" s="248" t="e">
        <f>TVD_LD!U52</f>
        <v>#DIV/0!</v>
      </c>
    </row>
    <row r="46" spans="1:13" x14ac:dyDescent="0.25">
      <c r="B46" s="18"/>
      <c r="C46" s="18"/>
      <c r="D46" s="18"/>
      <c r="E46" s="18"/>
      <c r="I46" s="18"/>
    </row>
    <row r="47" spans="1:13" x14ac:dyDescent="0.25">
      <c r="B47" s="167" t="s">
        <v>122</v>
      </c>
    </row>
    <row r="48" spans="1:13" ht="17.25" thickBot="1" x14ac:dyDescent="0.3">
      <c r="C48"/>
      <c r="D48"/>
      <c r="E48"/>
      <c r="I48"/>
    </row>
    <row r="49" spans="1:11" x14ac:dyDescent="0.25">
      <c r="B49" s="280" t="s">
        <v>117</v>
      </c>
      <c r="C49" s="282" t="s">
        <v>41</v>
      </c>
      <c r="D49" s="283"/>
      <c r="E49" s="283"/>
      <c r="F49" s="283"/>
      <c r="G49" s="283"/>
      <c r="H49" s="284"/>
      <c r="I49" s="157" t="s">
        <v>118</v>
      </c>
      <c r="J49" s="158"/>
      <c r="K49" s="159"/>
    </row>
    <row r="50" spans="1:11" ht="17.25" thickBot="1" x14ac:dyDescent="0.3">
      <c r="B50" s="281"/>
      <c r="C50" s="201" t="s">
        <v>25</v>
      </c>
      <c r="D50" s="156" t="s">
        <v>196</v>
      </c>
      <c r="E50" s="156" t="s">
        <v>42</v>
      </c>
      <c r="F50" s="156" t="s">
        <v>119</v>
      </c>
      <c r="G50" s="156" t="s">
        <v>12</v>
      </c>
      <c r="H50" s="160" t="s">
        <v>120</v>
      </c>
      <c r="I50" s="160"/>
      <c r="J50" s="156" t="s">
        <v>16</v>
      </c>
      <c r="K50" s="160" t="s">
        <v>17</v>
      </c>
    </row>
    <row r="51" spans="1:11" x14ac:dyDescent="0.25">
      <c r="A51" s="277" t="s">
        <v>116</v>
      </c>
      <c r="B51" s="215" t="s">
        <v>57</v>
      </c>
      <c r="C51" s="27">
        <f>'SFU-HW_AI'!X94</f>
        <v>1E+308</v>
      </c>
      <c r="D51" s="28">
        <f>'SFU-HW_AI'!AC94</f>
        <v>0</v>
      </c>
      <c r="E51" s="33">
        <f>'SFU-HW_AI'!AD94</f>
        <v>0</v>
      </c>
      <c r="F51" s="28" t="e">
        <f>'SFU-HW_AI'!AE94</f>
        <v>#VALUE!</v>
      </c>
      <c r="G51" s="28" t="e">
        <f>'SFU-HW_AI'!AF94</f>
        <v>#VALUE!</v>
      </c>
      <c r="H51" s="40" t="e">
        <f>'SFU-HW_AI'!AG94</f>
        <v>#VALUE!</v>
      </c>
      <c r="I51" s="231">
        <f>'SFU-HW_AI'!AH94</f>
        <v>0</v>
      </c>
      <c r="J51" s="28" t="e">
        <f>'SFU-HW_AI'!U94</f>
        <v>#DIV/0!</v>
      </c>
      <c r="K51" s="40" t="e">
        <f>'SFU-HW_AI'!V94</f>
        <v>#DIV/0!</v>
      </c>
    </row>
    <row r="52" spans="1:11" x14ac:dyDescent="0.25">
      <c r="A52" s="278"/>
      <c r="B52" s="161" t="s">
        <v>59</v>
      </c>
      <c r="C52" s="162">
        <f>'SFU-HW_AI'!X95</f>
        <v>2.5E+307</v>
      </c>
      <c r="D52" s="228">
        <f>'SFU-HW_AI'!AC95</f>
        <v>2.5E+307</v>
      </c>
      <c r="E52" s="228">
        <f>'SFU-HW_AI'!AD95</f>
        <v>0</v>
      </c>
      <c r="F52" s="228" t="e">
        <f>'SFU-HW_AI'!AE95</f>
        <v>#VALUE!</v>
      </c>
      <c r="G52" s="228" t="e">
        <f>'SFU-HW_AI'!AF95</f>
        <v>#VALUE!</v>
      </c>
      <c r="H52" s="163" t="e">
        <f>'SFU-HW_AI'!AG95</f>
        <v>#VALUE!</v>
      </c>
      <c r="I52" s="235">
        <f>'SFU-HW_AI'!AH95</f>
        <v>0</v>
      </c>
      <c r="J52" s="162" t="e">
        <f>'SFU-HW_AI'!U95</f>
        <v>#DIV/0!</v>
      </c>
      <c r="K52" s="163" t="e">
        <f>'SFU-HW_AI'!V95</f>
        <v>#DIV/0!</v>
      </c>
    </row>
    <row r="53" spans="1:11" x14ac:dyDescent="0.25">
      <c r="A53" s="278"/>
      <c r="B53" s="161" t="s">
        <v>65</v>
      </c>
      <c r="C53" s="162">
        <f>'SFU-HW_AI'!X96</f>
        <v>-9.7295643326896775E-3</v>
      </c>
      <c r="D53" s="228">
        <f>'SFU-HW_AI'!AC96</f>
        <v>-6.8849402180458097E-3</v>
      </c>
      <c r="E53" s="228">
        <f>'SFU-HW_AI'!AD96</f>
        <v>-9.7295643326896775E-3</v>
      </c>
      <c r="F53" s="228" t="e">
        <f>'SFU-HW_AI'!AE96</f>
        <v>#VALUE!</v>
      </c>
      <c r="G53" s="228" t="e">
        <f>'SFU-HW_AI'!AF96</f>
        <v>#VALUE!</v>
      </c>
      <c r="H53" s="163" t="e">
        <f>'SFU-HW_AI'!AG96</f>
        <v>#VALUE!</v>
      </c>
      <c r="I53" s="235">
        <f>'SFU-HW_AI'!AH96</f>
        <v>0.11526856277588385</v>
      </c>
      <c r="J53" s="162" t="e">
        <f>'SFU-HW_AI'!U96</f>
        <v>#DIV/0!</v>
      </c>
      <c r="K53" s="163" t="e">
        <f>'SFU-HW_AI'!V96</f>
        <v>#DIV/0!</v>
      </c>
    </row>
    <row r="54" spans="1:11" ht="17.25" thickBot="1" x14ac:dyDescent="0.3">
      <c r="A54" s="278"/>
      <c r="B54" s="161" t="s">
        <v>70</v>
      </c>
      <c r="C54" s="164">
        <f>'SFU-HW_AI'!X97</f>
        <v>0</v>
      </c>
      <c r="D54" s="165">
        <f>'SFU-HW_AI'!AC97</f>
        <v>0</v>
      </c>
      <c r="E54" s="165">
        <f>'SFU-HW_AI'!AD97</f>
        <v>0</v>
      </c>
      <c r="F54" s="165" t="e">
        <f>'SFU-HW_AI'!AE97</f>
        <v>#VALUE!</v>
      </c>
      <c r="G54" s="165" t="e">
        <f>'SFU-HW_AI'!AF97</f>
        <v>#VALUE!</v>
      </c>
      <c r="H54" s="166" t="e">
        <f>'SFU-HW_AI'!AG97</f>
        <v>#VALUE!</v>
      </c>
      <c r="I54" s="235">
        <f>'SFU-HW_AI'!AH97</f>
        <v>0</v>
      </c>
      <c r="J54" s="162" t="e">
        <f>'SFU-HW_AI'!U97</f>
        <v>#DIV/0!</v>
      </c>
      <c r="K54" s="163" t="e">
        <f>'SFU-HW_AI'!V97</f>
        <v>#DIV/0!</v>
      </c>
    </row>
    <row r="55" spans="1:11" ht="17.25" thickBot="1" x14ac:dyDescent="0.3">
      <c r="A55" s="278"/>
      <c r="B55" s="29" t="s">
        <v>101</v>
      </c>
      <c r="C55" s="218" t="e">
        <f>'SFU-HW_AI'!X98</f>
        <v>#NUM!</v>
      </c>
      <c r="D55" s="219">
        <f>'SFU-HW_AI'!AC98</f>
        <v>7.692307692307693E+306</v>
      </c>
      <c r="E55" s="219">
        <f>'SFU-HW_AI'!AD98</f>
        <v>-2.9937121023660548E-3</v>
      </c>
      <c r="F55" s="219" t="e">
        <f>'SFU-HW_AI'!AE98</f>
        <v>#VALUE!</v>
      </c>
      <c r="G55" s="219" t="e">
        <f>'SFU-HW_AI'!AF98</f>
        <v>#VALUE!</v>
      </c>
      <c r="H55" s="220" t="e">
        <f>'SFU-HW_AI'!AG98</f>
        <v>#VALUE!</v>
      </c>
      <c r="I55" s="236">
        <f>'SFU-HW_AI'!AH98</f>
        <v>3.5467250084887339E-2</v>
      </c>
      <c r="J55" s="218" t="e">
        <f>'SFU-HW_AI'!U98</f>
        <v>#DIV/0!</v>
      </c>
      <c r="K55" s="220" t="e">
        <f>'SFU-HW_AI'!V98</f>
        <v>#DIV/0!</v>
      </c>
    </row>
    <row r="56" spans="1:11" ht="17.25" thickBot="1" x14ac:dyDescent="0.3">
      <c r="A56" s="278"/>
      <c r="B56" s="161" t="s">
        <v>222</v>
      </c>
      <c r="C56" s="218" t="e">
        <f>'SFU-HW_AI'!X99</f>
        <v>#VALUE!</v>
      </c>
      <c r="D56" s="219" t="e">
        <f>'SFU-HW_AI'!AC99</f>
        <v>#VALUE!</v>
      </c>
      <c r="E56" s="219" t="e">
        <f>'SFU-HW_AI'!AD99</f>
        <v>#VALUE!</v>
      </c>
      <c r="F56" s="219" t="e">
        <f>'SFU-HW_AI'!AE99</f>
        <v>#VALUE!</v>
      </c>
      <c r="G56" s="219" t="e">
        <f>'SFU-HW_AI'!AF99</f>
        <v>#VALUE!</v>
      </c>
      <c r="H56" s="220" t="e">
        <f>'SFU-HW_AI'!AG99</f>
        <v>#VALUE!</v>
      </c>
      <c r="I56" s="236" t="e">
        <f>'SFU-HW_AI'!AH99</f>
        <v>#VALUE!</v>
      </c>
      <c r="J56" s="218" t="e">
        <f>'SFU-HW_AI'!U99</f>
        <v>#DIV/0!</v>
      </c>
      <c r="K56" s="220" t="e">
        <f>'SFU-HW_AI'!V99</f>
        <v>#DIV/0!</v>
      </c>
    </row>
    <row r="57" spans="1:11" ht="17.25" thickBot="1" x14ac:dyDescent="0.3">
      <c r="A57" s="279"/>
      <c r="B57" s="204" t="s">
        <v>256</v>
      </c>
      <c r="C57" s="162">
        <f>'SFU-HW_AI'!X100</f>
        <v>-2.7110981824463032E-3</v>
      </c>
      <c r="D57" s="228">
        <f>'SFU-HW_AI'!AC100</f>
        <v>-1.9098064441916973E-3</v>
      </c>
      <c r="E57" s="228">
        <f>'SFU-HW_AI'!AD100</f>
        <v>-2.7110981824463032E-3</v>
      </c>
      <c r="F57" s="228" t="e">
        <f>'SFU-HW_AI'!AE100</f>
        <v>#VALUE!</v>
      </c>
      <c r="G57" s="228" t="e">
        <f>'SFU-HW_AI'!AF100</f>
        <v>#VALUE!</v>
      </c>
      <c r="H57" s="163" t="e">
        <f>'SFU-HW_AI'!AG100</f>
        <v>#VALUE!</v>
      </c>
      <c r="I57" s="235">
        <f>'SFU-HW_AI'!AH100</f>
        <v>3.3532667048669772E-2</v>
      </c>
      <c r="J57" s="162" t="e">
        <f>'SFU-HW_AI'!U100</f>
        <v>#DIV/0!</v>
      </c>
      <c r="K57" s="163" t="e">
        <f>'SFU-HW_AI'!V100</f>
        <v>#DIV/0!</v>
      </c>
    </row>
    <row r="58" spans="1:11" ht="14.25" customHeight="1" x14ac:dyDescent="0.25">
      <c r="A58" s="290" t="s">
        <v>141</v>
      </c>
      <c r="B58" s="257" t="s">
        <v>139</v>
      </c>
      <c r="C58" s="237">
        <f>Image_AI!W22</f>
        <v>1E+308</v>
      </c>
      <c r="D58" s="238">
        <f>Image_AI!AB22</f>
        <v>1E+308</v>
      </c>
      <c r="E58" s="238" t="e">
        <f>Image_AI!AC22</f>
        <v>#VALUE!</v>
      </c>
      <c r="F58" s="238" t="e">
        <f>Image_AI!AD22</f>
        <v>#VALUE!</v>
      </c>
      <c r="G58" s="238" t="e">
        <f>Image_AI!AE22</f>
        <v>#VALUE!</v>
      </c>
      <c r="H58" s="239" t="e">
        <f>Image_AI!AF22</f>
        <v>#VALUE!</v>
      </c>
      <c r="I58" s="260" t="e">
        <f>Image_AI!AG22</f>
        <v>#VALUE!</v>
      </c>
      <c r="J58" s="216" t="e">
        <f>Image_AI!T22</f>
        <v>#DIV/0!</v>
      </c>
      <c r="K58" s="217" t="e">
        <f>Image_AI!U22</f>
        <v>#DIV/0!</v>
      </c>
    </row>
    <row r="59" spans="1:11" x14ac:dyDescent="0.25">
      <c r="A59" s="291"/>
      <c r="B59" s="258" t="s">
        <v>140</v>
      </c>
      <c r="C59" s="209">
        <f>Image_AI!W23</f>
        <v>1E+308</v>
      </c>
      <c r="D59" s="229">
        <f>Image_AI!AB23</f>
        <v>1E+308</v>
      </c>
      <c r="E59" s="229" t="e">
        <f>Image_AI!AC23</f>
        <v>#VALUE!</v>
      </c>
      <c r="F59" s="229" t="e">
        <f>Image_AI!AD23</f>
        <v>#VALUE!</v>
      </c>
      <c r="G59" s="229" t="e">
        <f>Image_AI!AE23</f>
        <v>#VALUE!</v>
      </c>
      <c r="H59" s="210" t="e">
        <f>Image_AI!AF23</f>
        <v>#VALUE!</v>
      </c>
      <c r="I59" s="261" t="e">
        <f>Image_AI!AG23</f>
        <v>#VALUE!</v>
      </c>
      <c r="J59" s="162" t="e">
        <f>Image_AI!T23</f>
        <v>#DIV/0!</v>
      </c>
      <c r="K59" s="163" t="e">
        <f>Image_AI!U23</f>
        <v>#DIV/0!</v>
      </c>
    </row>
    <row r="60" spans="1:11" ht="17.25" thickBot="1" x14ac:dyDescent="0.3">
      <c r="A60" s="291"/>
      <c r="B60" s="259" t="s">
        <v>132</v>
      </c>
      <c r="C60" s="211">
        <f>Image_AI!W24</f>
        <v>1E+308</v>
      </c>
      <c r="D60" s="212">
        <f>Image_AI!AB24</f>
        <v>1E+308</v>
      </c>
      <c r="E60" s="212" t="e">
        <f>Image_AI!AC24</f>
        <v>#VALUE!</v>
      </c>
      <c r="F60" s="212" t="e">
        <f>Image_AI!AD24</f>
        <v>#VALUE!</v>
      </c>
      <c r="G60" s="212" t="e">
        <f>Image_AI!AE24</f>
        <v>#VALUE!</v>
      </c>
      <c r="H60" s="213" t="e">
        <f>Image_AI!AF24</f>
        <v>#VALUE!</v>
      </c>
      <c r="I60" s="262" t="e">
        <f>Image_AI!AG24</f>
        <v>#VALUE!</v>
      </c>
      <c r="J60" s="164" t="e">
        <f>Image_AI!T24</f>
        <v>#DIV/0!</v>
      </c>
      <c r="K60" s="166" t="e">
        <f>Image_AI!U24</f>
        <v>#DIV/0!</v>
      </c>
    </row>
    <row r="61" spans="1:11" ht="17.25" thickBot="1" x14ac:dyDescent="0.3">
      <c r="A61" s="292"/>
      <c r="B61" s="29" t="s">
        <v>136</v>
      </c>
      <c r="C61" s="218" t="e">
        <f>Image_AI!W21</f>
        <v>#NUM!</v>
      </c>
      <c r="D61" s="212" t="e">
        <f>Image_AI!AB21</f>
        <v>#NUM!</v>
      </c>
      <c r="E61" s="212" t="e">
        <f>Image_AI!AC21</f>
        <v>#VALUE!</v>
      </c>
      <c r="F61" s="212" t="e">
        <f>Image_AI!AD21</f>
        <v>#VALUE!</v>
      </c>
      <c r="G61" s="212" t="e">
        <f>Image_AI!AE21</f>
        <v>#VALUE!</v>
      </c>
      <c r="H61" s="212" t="e">
        <f>Image_AI!AF21</f>
        <v>#VALUE!</v>
      </c>
      <c r="I61" s="214" t="e">
        <f>Image_AI!AG21</f>
        <v>#VALUE!</v>
      </c>
      <c r="J61" s="218" t="e">
        <f>Image_AI!T21</f>
        <v>#DIV/0!</v>
      </c>
      <c r="K61" s="220" t="e">
        <f>Image_AI!U21</f>
        <v>#DIV/0!</v>
      </c>
    </row>
    <row r="62" spans="1:11" ht="17.25" thickBot="1" x14ac:dyDescent="0.3">
      <c r="C62"/>
      <c r="D62"/>
      <c r="E62"/>
      <c r="I62"/>
    </row>
    <row r="63" spans="1:11" x14ac:dyDescent="0.25">
      <c r="B63" s="273" t="s">
        <v>18</v>
      </c>
      <c r="C63" s="275" t="s">
        <v>41</v>
      </c>
      <c r="D63" s="276"/>
      <c r="E63" s="276"/>
      <c r="F63" s="276"/>
      <c r="G63" s="276"/>
      <c r="H63" s="276"/>
      <c r="I63" s="69" t="s">
        <v>52</v>
      </c>
      <c r="J63" s="67"/>
      <c r="K63" s="68"/>
    </row>
    <row r="64" spans="1:11" ht="17.25" thickBot="1" x14ac:dyDescent="0.3">
      <c r="B64" s="274"/>
      <c r="C64" s="153" t="s">
        <v>48</v>
      </c>
      <c r="D64" s="230" t="s">
        <v>197</v>
      </c>
      <c r="E64" s="25" t="s">
        <v>43</v>
      </c>
      <c r="F64" s="18" t="s">
        <v>13</v>
      </c>
      <c r="G64" s="18" t="s">
        <v>12</v>
      </c>
      <c r="H64" s="18" t="s">
        <v>9</v>
      </c>
      <c r="I64" s="154"/>
      <c r="J64" s="18" t="s">
        <v>16</v>
      </c>
      <c r="K64" s="19" t="s">
        <v>17</v>
      </c>
    </row>
    <row r="65" spans="1:11" x14ac:dyDescent="0.25">
      <c r="A65" s="277" t="s">
        <v>132</v>
      </c>
      <c r="B65" s="168" t="s">
        <v>236</v>
      </c>
      <c r="C65" s="31">
        <f>TVD_AI!W3</f>
        <v>-2.4858861123691844E-2</v>
      </c>
      <c r="D65" s="31">
        <f>TVD_AI!AB3</f>
        <v>-1.7988381027970846E-2</v>
      </c>
      <c r="E65" s="31">
        <f>TVD_AI!AC3</f>
        <v>-2.4858861123691844E-2</v>
      </c>
      <c r="F65" s="31" t="e">
        <f>TVD_AI!AD3</f>
        <v>#VALUE!</v>
      </c>
      <c r="G65" s="31" t="e">
        <f>TVD_AI!AE3</f>
        <v>#VALUE!</v>
      </c>
      <c r="H65" s="31" t="e">
        <f>TVD_AI!AF3</f>
        <v>#VALUE!</v>
      </c>
      <c r="I65" s="206">
        <f>TVD_AI!AG3</f>
        <v>0.2287142620149899</v>
      </c>
      <c r="J65" s="249" t="e">
        <f>TVD_AI!T45</f>
        <v>#DIV/0!</v>
      </c>
      <c r="K65" s="246" t="e">
        <f>TVD_AI!U45</f>
        <v>#DIV/0!</v>
      </c>
    </row>
    <row r="66" spans="1:11" x14ac:dyDescent="0.25">
      <c r="A66" s="278"/>
      <c r="B66" s="202" t="s">
        <v>238</v>
      </c>
      <c r="C66" s="155">
        <f>TVD_AI!W9</f>
        <v>3.2616537948281898E-2</v>
      </c>
      <c r="D66" s="155">
        <f>TVD_AI!AB9</f>
        <v>1.6665898424397918E-2</v>
      </c>
      <c r="E66" s="155">
        <f>TVD_AI!AC9</f>
        <v>3.2616537948281898E-2</v>
      </c>
      <c r="F66" s="155" t="e">
        <f>TVD_AI!AD9</f>
        <v>#VALUE!</v>
      </c>
      <c r="G66" s="155" t="e">
        <f>TVD_AI!AE9</f>
        <v>#VALUE!</v>
      </c>
      <c r="H66" s="155" t="e">
        <f>TVD_AI!AF9</f>
        <v>#VALUE!</v>
      </c>
      <c r="I66" s="207">
        <f>TVD_AI!AG9</f>
        <v>-0.18913510717576587</v>
      </c>
      <c r="J66" s="250" t="e">
        <f>TVD_AI!T46</f>
        <v>#DIV/0!</v>
      </c>
      <c r="K66" s="247" t="e">
        <f>TVD_AI!U46</f>
        <v>#DIV/0!</v>
      </c>
    </row>
    <row r="67" spans="1:11" x14ac:dyDescent="0.25">
      <c r="A67" s="278"/>
      <c r="B67" s="202" t="s">
        <v>240</v>
      </c>
      <c r="C67" s="155">
        <f>TVD_AI!W15</f>
        <v>-8.9158894453744697E-3</v>
      </c>
      <c r="D67" s="155">
        <f>TVD_AI!AB15</f>
        <v>2.4009783407055174E-3</v>
      </c>
      <c r="E67" s="155">
        <f>TVD_AI!AC15</f>
        <v>-8.9158894453744697E-3</v>
      </c>
      <c r="F67" s="155" t="e">
        <f>TVD_AI!AD15</f>
        <v>#VALUE!</v>
      </c>
      <c r="G67" s="155" t="e">
        <f>TVD_AI!AE15</f>
        <v>#VALUE!</v>
      </c>
      <c r="H67" s="155" t="e">
        <f>TVD_AI!AF15</f>
        <v>#VALUE!</v>
      </c>
      <c r="I67" s="207">
        <f>TVD_AI!AG15</f>
        <v>-1.5203813137596294E-2</v>
      </c>
      <c r="J67" s="250" t="e">
        <f>TVD_AI!T47</f>
        <v>#DIV/0!</v>
      </c>
      <c r="K67" s="247" t="e">
        <f>TVD_AI!U47</f>
        <v>#DIV/0!</v>
      </c>
    </row>
    <row r="68" spans="1:11" x14ac:dyDescent="0.25">
      <c r="A68" s="278"/>
      <c r="B68" s="202" t="s">
        <v>242</v>
      </c>
      <c r="C68" s="155">
        <f>TVD_AI!W21</f>
        <v>1.1442974636894032E-2</v>
      </c>
      <c r="D68" s="155">
        <f>TVD_AI!AB21</f>
        <v>0</v>
      </c>
      <c r="E68" s="155">
        <f>TVD_AI!AC21</f>
        <v>1.1442974636894032E-2</v>
      </c>
      <c r="F68" s="155" t="e">
        <f>TVD_AI!AD21</f>
        <v>#VALUE!</v>
      </c>
      <c r="G68" s="155" t="e">
        <f>TVD_AI!AE21</f>
        <v>#VALUE!</v>
      </c>
      <c r="H68" s="155" t="e">
        <f>TVD_AI!AF21</f>
        <v>#VALUE!</v>
      </c>
      <c r="I68" s="207">
        <f>TVD_AI!AG21</f>
        <v>-0.12262362423466695</v>
      </c>
      <c r="J68" s="250" t="e">
        <f>TVD_AI!T48</f>
        <v>#DIV/0!</v>
      </c>
      <c r="K68" s="247" t="e">
        <f>TVD_AI!U48</f>
        <v>#DIV/0!</v>
      </c>
    </row>
    <row r="69" spans="1:11" x14ac:dyDescent="0.25">
      <c r="A69" s="278"/>
      <c r="B69" s="202" t="s">
        <v>244</v>
      </c>
      <c r="C69" s="155">
        <f>TVD_AI!W27</f>
        <v>0</v>
      </c>
      <c r="D69" s="155">
        <f>TVD_AI!AB27</f>
        <v>0</v>
      </c>
      <c r="E69" s="155">
        <f>TVD_AI!AC27</f>
        <v>0</v>
      </c>
      <c r="F69" s="155" t="e">
        <f>TVD_AI!AD27</f>
        <v>#VALUE!</v>
      </c>
      <c r="G69" s="155" t="e">
        <f>TVD_AI!AE27</f>
        <v>#VALUE!</v>
      </c>
      <c r="H69" s="155" t="e">
        <f>TVD_AI!AF27</f>
        <v>#VALUE!</v>
      </c>
      <c r="I69" s="207">
        <f>TVD_AI!AG27</f>
        <v>0</v>
      </c>
      <c r="J69" s="250" t="e">
        <f>TVD_AI!T49</f>
        <v>#DIV/0!</v>
      </c>
      <c r="K69" s="247" t="e">
        <f>TVD_AI!U49</f>
        <v>#DIV/0!</v>
      </c>
    </row>
    <row r="70" spans="1:11" x14ac:dyDescent="0.25">
      <c r="A70" s="278"/>
      <c r="B70" s="202" t="s">
        <v>246</v>
      </c>
      <c r="C70" s="155">
        <f>TVD_AI!W33</f>
        <v>0</v>
      </c>
      <c r="D70" s="155">
        <f>TVD_AI!AB33</f>
        <v>0</v>
      </c>
      <c r="E70" s="155">
        <f>TVD_AI!AC33</f>
        <v>0</v>
      </c>
      <c r="F70" s="155" t="e">
        <f>TVD_AI!AD33</f>
        <v>#VALUE!</v>
      </c>
      <c r="G70" s="155" t="e">
        <f>TVD_AI!AE33</f>
        <v>#VALUE!</v>
      </c>
      <c r="H70" s="155" t="e">
        <f>TVD_AI!AF33</f>
        <v>#VALUE!</v>
      </c>
      <c r="I70" s="207">
        <f>TVD_AI!AG33</f>
        <v>0</v>
      </c>
      <c r="J70" s="250" t="e">
        <f>TVD_AI!T50</f>
        <v>#DIV/0!</v>
      </c>
      <c r="K70" s="247" t="e">
        <f>TVD_AI!U50</f>
        <v>#DIV/0!</v>
      </c>
    </row>
    <row r="71" spans="1:11" ht="17.25" thickBot="1" x14ac:dyDescent="0.3">
      <c r="A71" s="278"/>
      <c r="B71" s="203" t="s">
        <v>248</v>
      </c>
      <c r="C71" s="32">
        <f>TVD_AI!W39</f>
        <v>0</v>
      </c>
      <c r="D71" s="32">
        <f>TVD_AI!AB39</f>
        <v>0</v>
      </c>
      <c r="E71" s="32">
        <f>TVD_AI!AC39</f>
        <v>0</v>
      </c>
      <c r="F71" s="32" t="e">
        <f>TVD_AI!AD39</f>
        <v>#VALUE!</v>
      </c>
      <c r="G71" s="32" t="e">
        <f>TVD_AI!AE39</f>
        <v>#VALUE!</v>
      </c>
      <c r="H71" s="32" t="e">
        <f>TVD_AI!AF39</f>
        <v>#VALUE!</v>
      </c>
      <c r="I71" s="208">
        <f>TVD_AI!AG39</f>
        <v>0</v>
      </c>
      <c r="J71" s="251" t="e">
        <f>TVD_AI!T51</f>
        <v>#DIV/0!</v>
      </c>
      <c r="K71" s="248" t="e">
        <f>TVD_AI!U51</f>
        <v>#DIV/0!</v>
      </c>
    </row>
    <row r="72" spans="1:11" ht="17.25" thickBot="1" x14ac:dyDescent="0.3">
      <c r="A72" s="279"/>
      <c r="B72" s="204" t="s">
        <v>101</v>
      </c>
      <c r="C72" s="32">
        <f>TVD_AI!W52</f>
        <v>1.469251716587088E-3</v>
      </c>
      <c r="D72" s="32">
        <f>TVD_AI!AB52</f>
        <v>1.5407081959036998E-4</v>
      </c>
      <c r="E72" s="32">
        <f>TVD_AI!AC52</f>
        <v>1.469251716587088E-3</v>
      </c>
      <c r="F72" s="32" t="e">
        <f>TVD_AI!AD52</f>
        <v>#VALUE!</v>
      </c>
      <c r="G72" s="32" t="e">
        <f>TVD_AI!AE52</f>
        <v>#VALUE!</v>
      </c>
      <c r="H72" s="32" t="e">
        <f>TVD_AI!AF52</f>
        <v>#VALUE!</v>
      </c>
      <c r="I72" s="205">
        <f>TVD_AI!AG52</f>
        <v>-1.4035468933291316E-2</v>
      </c>
      <c r="J72" s="251" t="e">
        <f>TVD_AI!T52</f>
        <v>#DIV/0!</v>
      </c>
      <c r="K72" s="248" t="e">
        <f>TVD_AI!U52</f>
        <v>#DIV/0!</v>
      </c>
    </row>
  </sheetData>
  <mergeCells count="20">
    <mergeCell ref="B26:B27"/>
    <mergeCell ref="C26:H26"/>
    <mergeCell ref="A58:A61"/>
    <mergeCell ref="A15:A22"/>
    <mergeCell ref="A5:A11"/>
    <mergeCell ref="A51:A57"/>
    <mergeCell ref="A28:A34"/>
    <mergeCell ref="O4:Q4"/>
    <mergeCell ref="B3:B4"/>
    <mergeCell ref="C3:H3"/>
    <mergeCell ref="B13:B14"/>
    <mergeCell ref="C13:H13"/>
    <mergeCell ref="B63:B64"/>
    <mergeCell ref="C63:H63"/>
    <mergeCell ref="A65:A72"/>
    <mergeCell ref="B36:B37"/>
    <mergeCell ref="C36:H36"/>
    <mergeCell ref="A38:A45"/>
    <mergeCell ref="B49:B50"/>
    <mergeCell ref="C49:H49"/>
  </mergeCells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U100"/>
  <sheetViews>
    <sheetView topLeftCell="A46" zoomScale="80" zoomScaleNormal="80" workbookViewId="0">
      <selection activeCell="X77" sqref="X77"/>
    </sheetView>
  </sheetViews>
  <sheetFormatPr defaultColWidth="8.875" defaultRowHeight="16.5" x14ac:dyDescent="0.25"/>
  <cols>
    <col min="2" max="2" width="26" bestFit="1" customWidth="1"/>
    <col min="10" max="11" width="9" bestFit="1" customWidth="1"/>
    <col min="12" max="12" width="2.5" customWidth="1"/>
    <col min="19" max="22" width="9" bestFit="1" customWidth="1"/>
    <col min="23" max="23" width="2.5" customWidth="1"/>
    <col min="24" max="24" width="12" customWidth="1"/>
    <col min="25" max="25" width="10.625" customWidth="1"/>
    <col min="26" max="27" width="10.375" customWidth="1"/>
    <col min="28" max="28" width="11.375" customWidth="1"/>
    <col min="29" max="29" width="9.625" customWidth="1"/>
    <col min="30" max="30" width="10.125" bestFit="1" customWidth="1"/>
    <col min="34" max="34" width="10.125" bestFit="1" customWidth="1"/>
    <col min="41" max="41" width="12" customWidth="1"/>
  </cols>
  <sheetData>
    <row r="1" spans="1:47" ht="17.25" thickBot="1" x14ac:dyDescent="0.3">
      <c r="A1" s="297" t="s">
        <v>80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9"/>
      <c r="AO1" s="245" t="s">
        <v>214</v>
      </c>
      <c r="AP1" s="1"/>
      <c r="AQ1" s="241" t="s">
        <v>216</v>
      </c>
      <c r="AR1" s="242" t="s">
        <v>22</v>
      </c>
      <c r="AS1" s="240"/>
      <c r="AT1" s="240"/>
      <c r="AU1" s="240"/>
    </row>
    <row r="2" spans="1:47" ht="15" customHeight="1" thickBot="1" x14ac:dyDescent="0.3">
      <c r="A2" s="73"/>
      <c r="B2" s="73"/>
      <c r="C2" s="73"/>
      <c r="D2" s="295" t="str">
        <f>"Reference: "&amp;Summary!O4</f>
        <v>Reference: Anchor (v0.6.1 VTM inner)</v>
      </c>
      <c r="E2" s="296"/>
      <c r="F2" s="296"/>
      <c r="G2" s="296"/>
      <c r="H2" s="296"/>
      <c r="I2" s="296"/>
      <c r="J2" s="296"/>
      <c r="K2" s="296"/>
      <c r="L2" s="112"/>
      <c r="M2" s="297" t="str">
        <f>_xlfn.CONCAT("Test: ",Summary!$O$5)</f>
        <v>Test: Test</v>
      </c>
      <c r="N2" s="298"/>
      <c r="O2" s="298"/>
      <c r="P2" s="298"/>
      <c r="Q2" s="298"/>
      <c r="R2" s="298"/>
      <c r="S2" s="298"/>
      <c r="T2" s="299"/>
      <c r="U2" s="119"/>
      <c r="V2" s="120"/>
      <c r="W2" s="114"/>
      <c r="X2" s="300" t="s">
        <v>55</v>
      </c>
      <c r="Y2" s="301"/>
      <c r="Z2" s="301"/>
      <c r="AA2" s="301"/>
      <c r="AB2" s="301"/>
      <c r="AC2" s="301"/>
      <c r="AD2" s="301"/>
      <c r="AE2" s="301"/>
      <c r="AF2" s="301"/>
      <c r="AG2" s="302"/>
      <c r="AH2" s="121" t="s">
        <v>79</v>
      </c>
      <c r="AO2" s="1"/>
      <c r="AS2" s="240"/>
      <c r="AT2" s="240"/>
      <c r="AU2" s="240"/>
    </row>
    <row r="3" spans="1:47" ht="12" customHeight="1" thickBot="1" x14ac:dyDescent="0.3">
      <c r="A3" s="75"/>
      <c r="B3" s="76" t="s">
        <v>89</v>
      </c>
      <c r="C3" s="77" t="s">
        <v>30</v>
      </c>
      <c r="D3" s="104" t="s">
        <v>56</v>
      </c>
      <c r="E3" s="105" t="s">
        <v>25</v>
      </c>
      <c r="F3" s="105" t="s">
        <v>0</v>
      </c>
      <c r="G3" s="105" t="s">
        <v>1</v>
      </c>
      <c r="H3" s="105" t="s">
        <v>2</v>
      </c>
      <c r="I3" s="105" t="s">
        <v>113</v>
      </c>
      <c r="J3" s="105" t="s">
        <v>226</v>
      </c>
      <c r="K3" s="105" t="s">
        <v>227</v>
      </c>
      <c r="L3" s="113"/>
      <c r="M3" s="78" t="s">
        <v>56</v>
      </c>
      <c r="N3" s="79" t="s">
        <v>25</v>
      </c>
      <c r="O3" s="79" t="s">
        <v>0</v>
      </c>
      <c r="P3" s="79" t="s">
        <v>1</v>
      </c>
      <c r="Q3" s="79" t="s">
        <v>2</v>
      </c>
      <c r="R3" s="79" t="s">
        <v>113</v>
      </c>
      <c r="S3" s="79" t="s">
        <v>226</v>
      </c>
      <c r="T3" s="79" t="s">
        <v>227</v>
      </c>
      <c r="U3" s="104" t="s">
        <v>3</v>
      </c>
      <c r="V3" s="105" t="s">
        <v>4</v>
      </c>
      <c r="W3" s="104"/>
      <c r="X3" s="78" t="s">
        <v>184</v>
      </c>
      <c r="Y3" s="79" t="s">
        <v>185</v>
      </c>
      <c r="Z3" s="79" t="s">
        <v>186</v>
      </c>
      <c r="AA3" s="79" t="s">
        <v>187</v>
      </c>
      <c r="AB3" s="79" t="s">
        <v>188</v>
      </c>
      <c r="AC3" s="79" t="s">
        <v>189</v>
      </c>
      <c r="AD3" s="2" t="s">
        <v>42</v>
      </c>
      <c r="AE3" s="79" t="s">
        <v>32</v>
      </c>
      <c r="AF3" s="79" t="s">
        <v>33</v>
      </c>
      <c r="AG3" s="80" t="s">
        <v>34</v>
      </c>
      <c r="AH3" s="126"/>
      <c r="AP3" s="242" t="s">
        <v>217</v>
      </c>
      <c r="AQ3" s="242"/>
      <c r="AR3" s="242" t="s">
        <v>218</v>
      </c>
      <c r="AS3" s="240"/>
      <c r="AT3" s="1"/>
      <c r="AU3" s="243" t="s">
        <v>19</v>
      </c>
    </row>
    <row r="4" spans="1:47" ht="12" customHeight="1" x14ac:dyDescent="0.25">
      <c r="A4" s="81" t="s">
        <v>57</v>
      </c>
      <c r="B4" s="132" t="s">
        <v>58</v>
      </c>
      <c r="C4" s="106" t="s">
        <v>250</v>
      </c>
      <c r="D4" s="268">
        <v>402.6327273</v>
      </c>
      <c r="E4" s="268">
        <v>37.580471000000003</v>
      </c>
      <c r="F4" s="83"/>
      <c r="G4" s="83"/>
      <c r="H4" s="83"/>
      <c r="I4" s="83"/>
      <c r="J4" s="83"/>
      <c r="K4" s="83"/>
      <c r="L4" s="110"/>
      <c r="M4" s="267">
        <v>402.63272727272698</v>
      </c>
      <c r="N4" s="267">
        <v>37.580471000000003</v>
      </c>
      <c r="O4" s="83"/>
      <c r="P4" s="83"/>
      <c r="Q4" s="83"/>
      <c r="R4" s="83"/>
      <c r="S4" s="83"/>
      <c r="T4" s="83"/>
      <c r="U4" s="82" t="e">
        <f t="shared" ref="U4:V61" si="0">S4/J4</f>
        <v>#DIV/0!</v>
      </c>
      <c r="V4" s="83" t="e">
        <f t="shared" si="0"/>
        <v>#DIV/0!</v>
      </c>
      <c r="W4" s="127"/>
      <c r="X4" s="122">
        <f>bdRateExtend($D4:$D9,$E4:$E9,$M4:$M9,$N4:$N9)</f>
        <v>1E+308</v>
      </c>
      <c r="Y4" s="14">
        <f>bdRateExtend($D4:$D8,$E4:$E8,$M4:$M8,$N4:$N8)</f>
        <v>1E+308</v>
      </c>
      <c r="Z4" s="14">
        <f>bdRateExtend($D5:$D9,$E5:$E9,$M5:$M9,$N5:$N9)</f>
        <v>1E+308</v>
      </c>
      <c r="AA4" s="14">
        <f>bdRateExtend($D4:$D7,$E4:$E7,$M4:$M7,$N4:$N7)</f>
        <v>1E+308</v>
      </c>
      <c r="AB4" s="14">
        <f>bdRateExtend($D5:$D8,$E5:$E8,$M5:$M8,$N5:$N8)</f>
        <v>1E+308</v>
      </c>
      <c r="AC4" s="14">
        <f>bdRateExtend($D6:$D9,$E6:$E9,$M6:$M9,$N6:$N9)</f>
        <v>1.074771383002826E-10</v>
      </c>
      <c r="AD4" s="34" cm="1">
        <f t="array" ref="AD4">bdRatePareto(AP4:AP9,AQ4:AQ9,AR4:AR9,AS4:AS9)</f>
        <v>1.0000777983520948E-10</v>
      </c>
      <c r="AE4" s="14" t="e">
        <f>bdRateExtend($D4:$D9,F4:F9,$M4:$M9,O4:O9)</f>
        <v>#VALUE!</v>
      </c>
      <c r="AF4" s="14" t="e">
        <f>bdRateExtend($D4:$D9,G4:G9,$M4:$M9,P4:P9)</f>
        <v>#VALUE!</v>
      </c>
      <c r="AG4" s="15" t="e">
        <f>bdRateExtend($D4:$D9,H4:H9,$M4:$M9,Q4:Q9)</f>
        <v>#VALUE!</v>
      </c>
      <c r="AH4" s="129">
        <f>bdPSNRExtend($D4:$D9,$E4:$E9,$M4:$M9,$N4:$N9)</f>
        <v>-1.0031643351400748E-9</v>
      </c>
      <c r="AO4" s="240" t="s">
        <v>213</v>
      </c>
      <c r="AP4" s="240" cm="1">
        <f t="array" ref="AP4">pareto($D4:$D9,$E4:$E9,1,"rate",$AR$1,$AO5,$AO7)</f>
        <v>402.6327273</v>
      </c>
      <c r="AQ4" s="240" cm="1">
        <f t="array" ref="AQ4">pareto($D4:$D9,$E4:$E9,1,"dist",$AR$1,$AO5,$AO7)</f>
        <v>37.580471000000003</v>
      </c>
      <c r="AR4" s="240" cm="1">
        <f t="array" ref="AR4">pareto($M4:$M9,$N4:$N9,1,"rate",$AR$1,$AO5,$AO7)</f>
        <v>402.63272727272698</v>
      </c>
      <c r="AS4" s="240" cm="1">
        <f t="array" ref="AS4">pareto($M4:$M9,$N4:$N9,1,"dist",$AR$1,$AO5,$AO7)</f>
        <v>37.580471000000003</v>
      </c>
      <c r="AT4" s="1"/>
      <c r="AU4" s="243" t="s">
        <v>20</v>
      </c>
    </row>
    <row r="5" spans="1:47" ht="12" customHeight="1" x14ac:dyDescent="0.25">
      <c r="A5" s="136"/>
      <c r="B5" s="133"/>
      <c r="C5" s="107" t="s">
        <v>251</v>
      </c>
      <c r="D5" s="268">
        <v>323.70909089999998</v>
      </c>
      <c r="E5" s="268">
        <v>36.137171000000002</v>
      </c>
      <c r="F5" s="86"/>
      <c r="G5" s="86"/>
      <c r="H5" s="86"/>
      <c r="I5" s="86"/>
      <c r="J5" s="86"/>
      <c r="K5" s="86"/>
      <c r="L5" s="110"/>
      <c r="M5" s="267">
        <v>323.70909090908998</v>
      </c>
      <c r="N5" s="267">
        <v>36.137171000000002</v>
      </c>
      <c r="O5" s="86"/>
      <c r="P5" s="86"/>
      <c r="Q5" s="86"/>
      <c r="R5" s="86"/>
      <c r="S5" s="86"/>
      <c r="T5" s="86"/>
      <c r="U5" s="85" t="e">
        <f t="shared" si="0"/>
        <v>#DIV/0!</v>
      </c>
      <c r="V5" s="86" t="e">
        <f t="shared" si="0"/>
        <v>#DIV/0!</v>
      </c>
      <c r="W5" s="128"/>
      <c r="X5" s="89"/>
      <c r="Y5" s="90"/>
      <c r="Z5" s="90"/>
      <c r="AA5" s="90"/>
      <c r="AB5" s="90"/>
      <c r="AC5" s="90"/>
      <c r="AD5" s="90"/>
      <c r="AE5" s="90"/>
      <c r="AF5" s="90"/>
      <c r="AG5" s="91"/>
      <c r="AH5" s="130"/>
      <c r="AO5" s="240">
        <v>44.241199000000002</v>
      </c>
      <c r="AP5" s="240" cm="1">
        <f t="array" ref="AP5">pareto($D4:$D9,$E4:$E9,2,"rate",$AR$1,$AO5,$AO7)</f>
        <v>161.80363639999999</v>
      </c>
      <c r="AQ5" s="240" cm="1">
        <f t="array" ref="AQ5">pareto($D4:$D9,$E4:$E9,2,"dist",$AR$1,$AO5,$AO7)</f>
        <v>36.807102</v>
      </c>
      <c r="AR5" s="240" cm="1">
        <f t="array" ref="AR5">pareto($M4:$M9,$N4:$N9,2,"rate",$AR$1,$AO5,$AO7)</f>
        <v>161.803636363636</v>
      </c>
      <c r="AS5" s="240" cm="1">
        <f t="array" ref="AS5">pareto($M4:$M9,$N4:$N9,2,"dist",$AR$1,$AO5,$AO7)</f>
        <v>36.807102</v>
      </c>
      <c r="AT5" s="1"/>
      <c r="AU5" s="244" t="s">
        <v>21</v>
      </c>
    </row>
    <row r="6" spans="1:47" ht="12" customHeight="1" x14ac:dyDescent="0.25">
      <c r="A6" s="74"/>
      <c r="B6" s="133"/>
      <c r="C6" s="107" t="s">
        <v>252</v>
      </c>
      <c r="D6" s="268">
        <v>161.80363639999999</v>
      </c>
      <c r="E6" s="268">
        <v>36.807102</v>
      </c>
      <c r="F6" s="86"/>
      <c r="G6" s="86"/>
      <c r="H6" s="86"/>
      <c r="I6" s="86"/>
      <c r="J6" s="86"/>
      <c r="K6" s="86"/>
      <c r="L6" s="110"/>
      <c r="M6" s="267">
        <v>161.803636363636</v>
      </c>
      <c r="N6" s="267">
        <v>36.807102</v>
      </c>
      <c r="O6" s="86"/>
      <c r="P6" s="86"/>
      <c r="Q6" s="86"/>
      <c r="R6" s="86"/>
      <c r="S6" s="86"/>
      <c r="T6" s="86"/>
      <c r="U6" s="85" t="e">
        <f t="shared" si="0"/>
        <v>#DIV/0!</v>
      </c>
      <c r="V6" s="86" t="e">
        <f t="shared" si="0"/>
        <v>#DIV/0!</v>
      </c>
      <c r="W6" s="128"/>
      <c r="X6" s="89"/>
      <c r="Y6" s="90"/>
      <c r="Z6" s="90"/>
      <c r="AA6" s="90"/>
      <c r="AB6" s="90"/>
      <c r="AC6" s="90"/>
      <c r="AD6" s="90"/>
      <c r="AE6" s="90"/>
      <c r="AF6" s="90"/>
      <c r="AG6" s="91"/>
      <c r="AH6" s="130"/>
      <c r="AO6" s="240" t="s">
        <v>44</v>
      </c>
      <c r="AP6" s="240" cm="1">
        <f t="array" ref="AP6">pareto($D4:$D9,$E4:$E9,3,"rate",$AR$1,$AO5,$AO7)</f>
        <v>124.6763636</v>
      </c>
      <c r="AQ6" s="240" cm="1">
        <f t="array" ref="AQ6">pareto($D4:$D9,$E4:$E9,3,"dist",$AR$1,$AO5,$AO7)</f>
        <v>34.678351999999997</v>
      </c>
      <c r="AR6" s="240" cm="1">
        <f t="array" ref="AR6">pareto($M4:$M9,$N4:$N9,3,"rate",$AR$1,$AO5,$AO7)</f>
        <v>124.67636363636301</v>
      </c>
      <c r="AS6" s="240" cm="1">
        <f t="array" ref="AS6">pareto($M4:$M9,$N4:$N9,3,"dist",$AR$1,$AO5,$AO7)</f>
        <v>34.678351999999997</v>
      </c>
      <c r="AT6" s="1"/>
      <c r="AU6" s="244" t="s">
        <v>22</v>
      </c>
    </row>
    <row r="7" spans="1:47" ht="12" customHeight="1" x14ac:dyDescent="0.25">
      <c r="A7" s="74"/>
      <c r="B7" s="133"/>
      <c r="C7" s="107" t="s">
        <v>253</v>
      </c>
      <c r="D7" s="268">
        <v>124.6763636</v>
      </c>
      <c r="E7" s="268">
        <v>34.678351999999997</v>
      </c>
      <c r="F7" s="86"/>
      <c r="G7" s="86"/>
      <c r="H7" s="86"/>
      <c r="I7" s="86"/>
      <c r="J7" s="86"/>
      <c r="K7" s="86"/>
      <c r="L7" s="110"/>
      <c r="M7" s="267">
        <v>124.67636363636301</v>
      </c>
      <c r="N7" s="267">
        <v>34.678351999999997</v>
      </c>
      <c r="O7" s="86"/>
      <c r="P7" s="86"/>
      <c r="Q7" s="86"/>
      <c r="R7" s="86"/>
      <c r="S7" s="86"/>
      <c r="T7" s="86"/>
      <c r="U7" s="85" t="e">
        <f t="shared" si="0"/>
        <v>#DIV/0!</v>
      </c>
      <c r="V7" s="86" t="e">
        <f t="shared" si="0"/>
        <v>#DIV/0!</v>
      </c>
      <c r="W7" s="128"/>
      <c r="X7" s="89"/>
      <c r="Y7" s="90"/>
      <c r="Z7" s="90"/>
      <c r="AA7" s="90"/>
      <c r="AB7" s="90"/>
      <c r="AC7" s="90"/>
      <c r="AD7" s="90"/>
      <c r="AE7" s="90"/>
      <c r="AF7" s="90"/>
      <c r="AG7" s="91"/>
      <c r="AH7" s="130"/>
      <c r="AO7" s="240">
        <v>20</v>
      </c>
      <c r="AP7" s="240" cm="1">
        <f t="array" ref="AP7">pareto($D4:$D9,$E4:$E9,4,"rate",$AR$1,$AO5,$AO7)</f>
        <v>49.090909089999997</v>
      </c>
      <c r="AQ7" s="240" cm="1">
        <f t="array" ref="AQ7">pareto($D4:$D9,$E4:$E9,4,"dist",$AR$1,$AO5,$AO7)</f>
        <v>24.654803000000001</v>
      </c>
      <c r="AR7" s="240" cm="1">
        <f t="array" ref="AR7">pareto($M4:$M9,$N4:$N9,4,"rate",$AR$1,$AO5,$AO7)</f>
        <v>49.090909090909001</v>
      </c>
      <c r="AS7" s="240" cm="1">
        <f t="array" ref="AS7">pareto($M4:$M9,$N4:$N9,4,"dist",$AR$1,$AO5,$AO7)</f>
        <v>24.654803000000001</v>
      </c>
      <c r="AT7" s="1"/>
      <c r="AU7" s="244" t="s">
        <v>45</v>
      </c>
    </row>
    <row r="8" spans="1:47" ht="12" customHeight="1" x14ac:dyDescent="0.25">
      <c r="A8" s="74"/>
      <c r="B8" s="133"/>
      <c r="C8" s="107" t="s">
        <v>254</v>
      </c>
      <c r="D8" s="268">
        <v>49.090909089999997</v>
      </c>
      <c r="E8" s="268">
        <v>24.654803000000001</v>
      </c>
      <c r="F8" s="86"/>
      <c r="G8" s="86"/>
      <c r="H8" s="86"/>
      <c r="I8" s="86"/>
      <c r="J8" s="86"/>
      <c r="K8" s="86"/>
      <c r="L8" s="110"/>
      <c r="M8" s="267">
        <v>49.090909090909001</v>
      </c>
      <c r="N8" s="267">
        <v>24.654803000000001</v>
      </c>
      <c r="O8" s="86"/>
      <c r="P8" s="86"/>
      <c r="Q8" s="86"/>
      <c r="R8" s="86"/>
      <c r="S8" s="86"/>
      <c r="T8" s="86"/>
      <c r="U8" s="85" t="e">
        <f t="shared" si="0"/>
        <v>#DIV/0!</v>
      </c>
      <c r="V8" s="86" t="e">
        <f t="shared" si="0"/>
        <v>#DIV/0!</v>
      </c>
      <c r="W8" s="128"/>
      <c r="X8" s="89"/>
      <c r="Y8" s="90"/>
      <c r="Z8" s="90"/>
      <c r="AA8" s="90"/>
      <c r="AB8" s="90"/>
      <c r="AC8" s="90"/>
      <c r="AD8" s="90"/>
      <c r="AE8" s="90"/>
      <c r="AF8" s="90"/>
      <c r="AG8" s="91"/>
      <c r="AH8" s="130"/>
      <c r="AO8" s="240"/>
      <c r="AP8" s="240" cm="1">
        <f t="array" ref="AP8">pareto($D4:$D9,$E4:$E9,5,"rate",$AR$1,$AO5,$AO7)</f>
        <v>34.669090910000001</v>
      </c>
      <c r="AQ8" s="240" cm="1">
        <f t="array" ref="AQ8">pareto($D4:$D9,$E4:$E9,5,"dist",$AR$1,$AO5,$AO7)</f>
        <v>13.598659</v>
      </c>
      <c r="AR8" s="240" cm="1">
        <f t="array" ref="AR8">pareto($M4:$M9,$N4:$N9,5,"rate",$AR$1,$AO5,$AO7)</f>
        <v>34.669090909090897</v>
      </c>
      <c r="AS8" s="240" cm="1">
        <f t="array" ref="AS8">pareto($M4:$M9,$N4:$N9,5,"dist",$AR$1,$AO5,$AO7)</f>
        <v>13.598659</v>
      </c>
      <c r="AT8" s="240"/>
      <c r="AU8" s="240"/>
    </row>
    <row r="9" spans="1:47" ht="12" customHeight="1" thickBot="1" x14ac:dyDescent="0.3">
      <c r="A9" s="74"/>
      <c r="B9" s="134"/>
      <c r="C9" s="108" t="s">
        <v>255</v>
      </c>
      <c r="D9" s="268">
        <v>34.669090910000001</v>
      </c>
      <c r="E9" s="268">
        <v>13.598659</v>
      </c>
      <c r="F9" s="94"/>
      <c r="G9" s="94"/>
      <c r="H9" s="94"/>
      <c r="I9" s="94"/>
      <c r="J9" s="94"/>
      <c r="K9" s="94"/>
      <c r="L9" s="111"/>
      <c r="M9" s="267">
        <v>34.669090909090897</v>
      </c>
      <c r="N9" s="267">
        <v>13.598659</v>
      </c>
      <c r="O9" s="94"/>
      <c r="P9" s="94"/>
      <c r="Q9" s="94"/>
      <c r="R9" s="94"/>
      <c r="S9" s="94"/>
      <c r="T9" s="94"/>
      <c r="U9" s="85" t="e">
        <f t="shared" si="0"/>
        <v>#DIV/0!</v>
      </c>
      <c r="V9" s="86" t="e">
        <f t="shared" si="0"/>
        <v>#DIV/0!</v>
      </c>
      <c r="W9" s="128"/>
      <c r="X9" s="95"/>
      <c r="Y9" s="96"/>
      <c r="Z9" s="96"/>
      <c r="AA9" s="96"/>
      <c r="AB9" s="96"/>
      <c r="AC9" s="96"/>
      <c r="AD9" s="96"/>
      <c r="AE9" s="96"/>
      <c r="AF9" s="96"/>
      <c r="AG9" s="97"/>
      <c r="AH9" s="131"/>
      <c r="AO9" s="240"/>
      <c r="AP9" s="240" t="e" cm="1">
        <f t="array" ref="AP9">pareto($D4:$D9,$E4:$E9,6,"rate",$AR$1,$AO5,$AO7)</f>
        <v>#N/A</v>
      </c>
      <c r="AQ9" s="240" t="e" cm="1">
        <f t="array" ref="AQ9">pareto($D4:$D9,$E4:$E9,6,"dist",$AR$1,$AO5,$AO7)</f>
        <v>#N/A</v>
      </c>
      <c r="AR9" s="240" t="e" cm="1">
        <f t="array" ref="AR9">pareto($M4:$M9,$N4:$N9,6,"rate",$AR$1,$AO5,$AO7)</f>
        <v>#N/A</v>
      </c>
      <c r="AS9" s="240" t="e" cm="1">
        <f t="array" ref="AS9">pareto($M4:$M9,$N4:$N9,6,"dist",$AR$1,$AO5,$AO7)</f>
        <v>#N/A</v>
      </c>
      <c r="AT9" s="240"/>
      <c r="AU9" s="240"/>
    </row>
    <row r="10" spans="1:47" ht="12" customHeight="1" x14ac:dyDescent="0.25">
      <c r="A10" s="81" t="s">
        <v>59</v>
      </c>
      <c r="B10" s="132" t="s">
        <v>61</v>
      </c>
      <c r="C10" s="106" t="s">
        <v>250</v>
      </c>
      <c r="D10" s="268">
        <v>163.136</v>
      </c>
      <c r="E10" s="268">
        <v>42.821987</v>
      </c>
      <c r="F10" s="83"/>
      <c r="G10" s="83"/>
      <c r="H10" s="83"/>
      <c r="I10" s="83"/>
      <c r="J10" s="83"/>
      <c r="K10" s="83"/>
      <c r="L10" s="110"/>
      <c r="M10" s="267">
        <v>163.136</v>
      </c>
      <c r="N10" s="267">
        <v>42.821987</v>
      </c>
      <c r="O10" s="83"/>
      <c r="P10" s="83"/>
      <c r="Q10" s="83"/>
      <c r="R10" s="83"/>
      <c r="S10" s="83"/>
      <c r="T10" s="83"/>
      <c r="U10" s="85" t="e">
        <f t="shared" si="0"/>
        <v>#DIV/0!</v>
      </c>
      <c r="V10" s="87" t="e">
        <f t="shared" si="0"/>
        <v>#DIV/0!</v>
      </c>
      <c r="W10" s="118"/>
      <c r="X10" s="122">
        <f>bdRateExtend($D10:$D15,$E10:$E15,$M10:$M15,$N10:$N15)</f>
        <v>1E+308</v>
      </c>
      <c r="Y10" s="14">
        <f t="shared" ref="Y10:Y58" si="1">bdRateExtend($D10:$D14,$E10:$E14,$M10:$M14,$N10:$N14)</f>
        <v>-3.7153613519080864E-11</v>
      </c>
      <c r="Z10" s="14">
        <f t="shared" ref="Z10:Z58" si="2">bdRateExtend($D11:$D15,$E11:$E15,$M11:$M15,$N11:$N15)</f>
        <v>1E+308</v>
      </c>
      <c r="AA10" s="14">
        <f t="shared" ref="AA10:AA58" si="3">bdRateExtend($D10:$D13,$E10:$E13,$M10:$M13,$N10:$N13)</f>
        <v>-5.0774939808206909E-12</v>
      </c>
      <c r="AB10" s="14">
        <f t="shared" ref="AB10:AB58" si="4">bdRateExtend($D11:$D14,$E11:$E14,$M11:$M14,$N11:$N14)</f>
        <v>-4.0935033140954147E-11</v>
      </c>
      <c r="AC10" s="14">
        <f t="shared" ref="AC10:AC58" si="5">bdRateExtend($D12:$D15,$E12:$E15,$M12:$M15,$N12:$N15)</f>
        <v>1E+308</v>
      </c>
      <c r="AD10" s="34" cm="1">
        <f t="array" ref="AD10">bdRatePareto(AP10:AP15,AQ10:AQ15,AR10:AR15,AS10:AS15)</f>
        <v>-4.0823788793886706E-11</v>
      </c>
      <c r="AE10" s="14" t="e">
        <f>bdRateExtend($D10:$D15,F10:F15,$M10:$M15,O10:O15)</f>
        <v>#VALUE!</v>
      </c>
      <c r="AF10" s="14" t="e">
        <f>bdRateExtend($D10:$D15,G10:G15,$M10:$M15,P10:P15)</f>
        <v>#VALUE!</v>
      </c>
      <c r="AG10" s="15" t="e">
        <f>bdRateExtend($D10:$D15,H10:H15,$M10:$M15,Q10:Q15)</f>
        <v>#VALUE!</v>
      </c>
      <c r="AH10" s="72">
        <f>bdPSNRExtend($D10:$D15,$E10:$E15,$M10:$M15,$N10:$N15)</f>
        <v>2.9070662193927129E-10</v>
      </c>
      <c r="AO10" s="240" t="s">
        <v>213</v>
      </c>
      <c r="AP10" s="240" cm="1">
        <f t="array" ref="AP10">pareto($D10:$D15,$E10:$E15,1,"rate",$AR$1,$AO11,$AO13)</f>
        <v>163.136</v>
      </c>
      <c r="AQ10" s="240" cm="1">
        <f t="array" ref="AQ10">pareto($D10:$D15,$E10:$E15,1,"dist",$AR$1,$AO11,$AO13)</f>
        <v>42.821987</v>
      </c>
      <c r="AR10" s="240" cm="1">
        <f t="array" ref="AR10">pareto($M10:$M15,$N10:$N15,1,"rate",$AR$1,$AO11,$AO13)</f>
        <v>163.136</v>
      </c>
      <c r="AS10" s="240" cm="1">
        <f t="array" ref="AS10">pareto($M10:$M15,$N10:$N15,1,"dist",$AR$1,$AO11,$AO13)</f>
        <v>42.821987</v>
      </c>
      <c r="AT10" s="240"/>
      <c r="AU10" s="240"/>
    </row>
    <row r="11" spans="1:47" ht="12" customHeight="1" x14ac:dyDescent="0.25">
      <c r="A11" s="136"/>
      <c r="B11" s="133"/>
      <c r="C11" s="107" t="s">
        <v>251</v>
      </c>
      <c r="D11" s="268">
        <v>87.784727270000005</v>
      </c>
      <c r="E11" s="268">
        <v>41.161876999999997</v>
      </c>
      <c r="F11" s="86"/>
      <c r="G11" s="86"/>
      <c r="H11" s="86"/>
      <c r="I11" s="86"/>
      <c r="J11" s="86"/>
      <c r="K11" s="86"/>
      <c r="L11" s="110"/>
      <c r="M11" s="267">
        <v>87.784727272727196</v>
      </c>
      <c r="N11" s="267">
        <v>41.161876999999997</v>
      </c>
      <c r="O11" s="86"/>
      <c r="P11" s="86"/>
      <c r="Q11" s="86"/>
      <c r="R11" s="86"/>
      <c r="S11" s="86"/>
      <c r="T11" s="86"/>
      <c r="U11" s="85" t="e">
        <f t="shared" si="0"/>
        <v>#DIV/0!</v>
      </c>
      <c r="V11" s="87" t="e">
        <f t="shared" si="0"/>
        <v>#DIV/0!</v>
      </c>
      <c r="W11" s="11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15"/>
      <c r="AO11" s="240">
        <v>57.383850000000002</v>
      </c>
      <c r="AP11" s="240" cm="1">
        <f t="array" ref="AP11">pareto($D10:$D15,$E10:$E15,2,"rate",$AR$1,$AO11,$AO13)</f>
        <v>87.784727270000005</v>
      </c>
      <c r="AQ11" s="240" cm="1">
        <f t="array" ref="AQ11">pareto($D10:$D15,$E10:$E15,2,"dist",$AR$1,$AO11,$AO13)</f>
        <v>41.161876999999997</v>
      </c>
      <c r="AR11" s="240" cm="1">
        <f t="array" ref="AR11">pareto($M10:$M15,$N10:$N15,2,"rate",$AR$1,$AO11,$AO13)</f>
        <v>87.784727272727196</v>
      </c>
      <c r="AS11" s="240" cm="1">
        <f t="array" ref="AS11">pareto($M10:$M15,$N10:$N15,2,"dist",$AR$1,$AO11,$AO13)</f>
        <v>41.161876999999997</v>
      </c>
      <c r="AT11" s="240"/>
      <c r="AU11" s="240"/>
    </row>
    <row r="12" spans="1:47" ht="12" customHeight="1" x14ac:dyDescent="0.25">
      <c r="A12" s="74"/>
      <c r="B12" s="133"/>
      <c r="C12" s="107" t="s">
        <v>252</v>
      </c>
      <c r="D12" s="268">
        <v>60.829090909999998</v>
      </c>
      <c r="E12" s="268">
        <v>33.652537000000002</v>
      </c>
      <c r="F12" s="86"/>
      <c r="G12" s="86"/>
      <c r="H12" s="86"/>
      <c r="I12" s="86"/>
      <c r="J12" s="86"/>
      <c r="K12" s="86"/>
      <c r="L12" s="110"/>
      <c r="M12" s="267">
        <v>60.829090909090901</v>
      </c>
      <c r="N12" s="267">
        <v>33.652537000000002</v>
      </c>
      <c r="O12" s="86"/>
      <c r="P12" s="86"/>
      <c r="Q12" s="86"/>
      <c r="R12" s="86"/>
      <c r="S12" s="86"/>
      <c r="T12" s="86"/>
      <c r="U12" s="85" t="e">
        <f t="shared" si="0"/>
        <v>#DIV/0!</v>
      </c>
      <c r="V12" s="87" t="e">
        <f t="shared" si="0"/>
        <v>#DIV/0!</v>
      </c>
      <c r="W12" s="11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15"/>
      <c r="AO12" s="240" t="s">
        <v>44</v>
      </c>
      <c r="AP12" s="240" cm="1">
        <f t="array" ref="AP12">pareto($D10:$D15,$E10:$E15,3,"rate",$AR$1,$AO11,$AO13)</f>
        <v>60.829090909999998</v>
      </c>
      <c r="AQ12" s="240" cm="1">
        <f t="array" ref="AQ12">pareto($D10:$D15,$E10:$E15,3,"dist",$AR$1,$AO11,$AO13)</f>
        <v>33.652537000000002</v>
      </c>
      <c r="AR12" s="240" cm="1">
        <f t="array" ref="AR12">pareto($M10:$M15,$N10:$N15,3,"rate",$AR$1,$AO11,$AO13)</f>
        <v>60.829090909090901</v>
      </c>
      <c r="AS12" s="240" cm="1">
        <f t="array" ref="AS12">pareto($M10:$M15,$N10:$N15,3,"dist",$AR$1,$AO11,$AO13)</f>
        <v>33.652537000000002</v>
      </c>
      <c r="AT12" s="240"/>
      <c r="AU12" s="240"/>
    </row>
    <row r="13" spans="1:47" ht="12" customHeight="1" x14ac:dyDescent="0.25">
      <c r="A13" s="74"/>
      <c r="B13" s="133"/>
      <c r="C13" s="107" t="s">
        <v>253</v>
      </c>
      <c r="D13" s="268">
        <v>37.690181819999999</v>
      </c>
      <c r="E13" s="268">
        <v>28.845535999999999</v>
      </c>
      <c r="F13" s="86"/>
      <c r="G13" s="86"/>
      <c r="H13" s="86"/>
      <c r="I13" s="86"/>
      <c r="J13" s="86"/>
      <c r="K13" s="86"/>
      <c r="L13" s="110"/>
      <c r="M13" s="267">
        <v>37.690181818181799</v>
      </c>
      <c r="N13" s="267">
        <v>28.845535999999999</v>
      </c>
      <c r="O13" s="86"/>
      <c r="P13" s="86"/>
      <c r="Q13" s="86"/>
      <c r="R13" s="86"/>
      <c r="S13" s="86"/>
      <c r="T13" s="86"/>
      <c r="U13" s="85" t="e">
        <f t="shared" si="0"/>
        <v>#DIV/0!</v>
      </c>
      <c r="V13" s="87" t="e">
        <f t="shared" si="0"/>
        <v>#DIV/0!</v>
      </c>
      <c r="W13" s="11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15"/>
      <c r="AO13" s="240">
        <v>20</v>
      </c>
      <c r="AP13" s="240" cm="1">
        <f t="array" ref="AP13">pareto($D10:$D15,$E10:$E15,4,"rate",$AR$1,$AO11,$AO13)</f>
        <v>37.690181819999999</v>
      </c>
      <c r="AQ13" s="240" cm="1">
        <f t="array" ref="AQ13">pareto($D10:$D15,$E10:$E15,4,"dist",$AR$1,$AO11,$AO13)</f>
        <v>28.845535999999999</v>
      </c>
      <c r="AR13" s="240" cm="1">
        <f t="array" ref="AR13">pareto($M10:$M15,$N10:$N15,4,"rate",$AR$1,$AO11,$AO13)</f>
        <v>37.690181818181799</v>
      </c>
      <c r="AS13" s="240" cm="1">
        <f t="array" ref="AS13">pareto($M10:$M15,$N10:$N15,4,"dist",$AR$1,$AO11,$AO13)</f>
        <v>28.845535999999999</v>
      </c>
      <c r="AT13" s="240"/>
      <c r="AU13" s="240"/>
    </row>
    <row r="14" spans="1:47" ht="12" customHeight="1" x14ac:dyDescent="0.25">
      <c r="A14" s="74"/>
      <c r="B14" s="133"/>
      <c r="C14" s="107" t="s">
        <v>254</v>
      </c>
      <c r="D14" s="268">
        <v>23.284363639999999</v>
      </c>
      <c r="E14" s="268">
        <v>21.336998000000001</v>
      </c>
      <c r="F14" s="86"/>
      <c r="G14" s="86"/>
      <c r="H14" s="86"/>
      <c r="I14" s="86"/>
      <c r="J14" s="86"/>
      <c r="K14" s="86"/>
      <c r="L14" s="110"/>
      <c r="M14" s="267">
        <v>23.284363636363601</v>
      </c>
      <c r="N14" s="267">
        <v>21.336998000000001</v>
      </c>
      <c r="O14" s="86"/>
      <c r="P14" s="86"/>
      <c r="Q14" s="86"/>
      <c r="R14" s="86"/>
      <c r="S14" s="86"/>
      <c r="T14" s="86"/>
      <c r="U14" s="85" t="e">
        <f t="shared" si="0"/>
        <v>#DIV/0!</v>
      </c>
      <c r="V14" s="87" t="e">
        <f t="shared" si="0"/>
        <v>#DIV/0!</v>
      </c>
      <c r="W14" s="11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15"/>
      <c r="AO14" s="240"/>
      <c r="AP14" s="240" cm="1">
        <f t="array" ref="AP14">pareto($D10:$D15,$E10:$E15,5,"rate",$AR$1,$AO11,$AO13)</f>
        <v>14.295272730000001</v>
      </c>
      <c r="AQ14" s="240" cm="1">
        <f t="array" ref="AQ14">pareto($D10:$D15,$E10:$E15,5,"dist",$AR$1,$AO11,$AO13)</f>
        <v>21.502386999999999</v>
      </c>
      <c r="AR14" s="240" cm="1">
        <f t="array" ref="AR14">pareto($M10:$M15,$N10:$N15,5,"rate",$AR$1,$AO11,$AO13)</f>
        <v>14.2952727272727</v>
      </c>
      <c r="AS14" s="240" cm="1">
        <f t="array" ref="AS14">pareto($M10:$M15,$N10:$N15,5,"dist",$AR$1,$AO11,$AO13)</f>
        <v>21.502386999999999</v>
      </c>
      <c r="AT14" s="240"/>
      <c r="AU14" s="240"/>
    </row>
    <row r="15" spans="1:47" ht="12" customHeight="1" thickBot="1" x14ac:dyDescent="0.3">
      <c r="A15" s="74"/>
      <c r="B15" s="134"/>
      <c r="C15" s="108" t="s">
        <v>255</v>
      </c>
      <c r="D15" s="268">
        <v>14.295272730000001</v>
      </c>
      <c r="E15" s="268">
        <v>21.502386999999999</v>
      </c>
      <c r="F15" s="94"/>
      <c r="G15" s="94"/>
      <c r="H15" s="94"/>
      <c r="I15" s="94"/>
      <c r="J15" s="94"/>
      <c r="K15" s="94"/>
      <c r="L15" s="110"/>
      <c r="M15" s="267">
        <v>14.2952727272727</v>
      </c>
      <c r="N15" s="267">
        <v>21.502386999999999</v>
      </c>
      <c r="O15" s="94"/>
      <c r="P15" s="94"/>
      <c r="Q15" s="94"/>
      <c r="R15" s="94"/>
      <c r="S15" s="94"/>
      <c r="T15" s="94"/>
      <c r="U15" s="85" t="e">
        <f t="shared" si="0"/>
        <v>#DIV/0!</v>
      </c>
      <c r="V15" s="87" t="e">
        <f t="shared" si="0"/>
        <v>#DIV/0!</v>
      </c>
      <c r="W15" s="11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16"/>
      <c r="AO15" s="240"/>
      <c r="AP15" s="240" t="e" cm="1">
        <f t="array" ref="AP15">pareto($D10:$D15,$E10:$E15,6,"rate",$AR$1,$AO11,$AO13)</f>
        <v>#N/A</v>
      </c>
      <c r="AQ15" s="240" t="e" cm="1">
        <f t="array" ref="AQ15">pareto($D10:$D15,$E10:$E15,6,"dist",$AR$1,$AO11,$AO13)</f>
        <v>#N/A</v>
      </c>
      <c r="AR15" s="240" t="e" cm="1">
        <f t="array" ref="AR15">pareto($M10:$M15,$N10:$N15,6,"rate",$AR$1,$AO11,$AO13)</f>
        <v>#N/A</v>
      </c>
      <c r="AS15" s="240" t="e" cm="1">
        <f t="array" ref="AS15">pareto($M10:$M15,$N10:$N15,6,"dist",$AR$1,$AO11,$AO13)</f>
        <v>#N/A</v>
      </c>
      <c r="AT15" s="240"/>
      <c r="AU15" s="240"/>
    </row>
    <row r="16" spans="1:47" ht="12" customHeight="1" x14ac:dyDescent="0.25">
      <c r="A16" s="74"/>
      <c r="B16" s="132" t="s">
        <v>62</v>
      </c>
      <c r="C16" s="106" t="s">
        <v>250</v>
      </c>
      <c r="D16" s="268">
        <v>128.34639179999999</v>
      </c>
      <c r="E16" s="268">
        <v>61.539408999999999</v>
      </c>
      <c r="F16" s="83"/>
      <c r="G16" s="83"/>
      <c r="H16" s="83"/>
      <c r="I16" s="83"/>
      <c r="J16" s="83"/>
      <c r="K16" s="83"/>
      <c r="L16" s="110"/>
      <c r="M16" s="267">
        <v>128.34639175257701</v>
      </c>
      <c r="N16" s="267">
        <v>61.539408999999999</v>
      </c>
      <c r="O16" s="83"/>
      <c r="P16" s="83"/>
      <c r="Q16" s="83"/>
      <c r="R16" s="83"/>
      <c r="S16" s="83"/>
      <c r="T16" s="83"/>
      <c r="U16" s="85" t="e">
        <f t="shared" si="0"/>
        <v>#DIV/0!</v>
      </c>
      <c r="V16" s="87" t="e">
        <f t="shared" si="0"/>
        <v>#DIV/0!</v>
      </c>
      <c r="W16" s="118"/>
      <c r="X16" s="122">
        <f>bdRateExtend($D16:$D21,$E16:$E21,$M16:$M21,$N16:$N21)</f>
        <v>1E+308</v>
      </c>
      <c r="Y16" s="14">
        <f t="shared" si="1"/>
        <v>-2.6139090891774686E-11</v>
      </c>
      <c r="Z16" s="14">
        <f t="shared" si="2"/>
        <v>1E+308</v>
      </c>
      <c r="AA16" s="14">
        <f t="shared" si="3"/>
        <v>-3.3662850285054446E-11</v>
      </c>
      <c r="AB16" s="14">
        <f t="shared" si="4"/>
        <v>-1.5869749958596913E-11</v>
      </c>
      <c r="AC16" s="14">
        <f t="shared" si="5"/>
        <v>1E+308</v>
      </c>
      <c r="AD16" s="34" cm="1">
        <f t="array" ref="AD16">bdRatePareto(AP16:AP21,AQ16:AQ21,AR16:AR21,AS16:AS21)</f>
        <v>-2.8767432880272281E-11</v>
      </c>
      <c r="AE16" s="14" t="e">
        <f>bdRateExtend($D16:$D21,F16:F21,$M16:$M21,O16:O21)</f>
        <v>#VALUE!</v>
      </c>
      <c r="AF16" s="14" t="e">
        <f>bdRateExtend($D16:$D21,G16:G21,$M16:$M21,P16:P21)</f>
        <v>#VALUE!</v>
      </c>
      <c r="AG16" s="15" t="e">
        <f>bdRateExtend($D16:$D21,H16:H21,$M16:$M21,Q16:Q21)</f>
        <v>#VALUE!</v>
      </c>
      <c r="AH16" s="72">
        <f>bdPSNRExtend($D16:$D21,$E16:$E21,$M16:$M21,$N16:$N21)</f>
        <v>1.2755406221849132E-9</v>
      </c>
      <c r="AO16" s="240" t="s">
        <v>213</v>
      </c>
      <c r="AP16" s="240" cm="1">
        <f t="array" ref="AP16">pareto($D16:$D21,$E16:$E21,1,"rate",$AR$1,$AO17,$AO19)</f>
        <v>128.34639179999999</v>
      </c>
      <c r="AQ16" s="240" cm="1">
        <f t="array" ref="AQ16">pareto($D16:$D21,$E16:$E21,1,"dist",$AR$1,$AO17,$AO19)</f>
        <v>61.539408999999999</v>
      </c>
      <c r="AR16" s="240" cm="1">
        <f t="array" ref="AR16">pareto($M16:$M21,$N16:$N21,1,"rate",$AR$1,$AO17,$AO19)</f>
        <v>128.34639175257701</v>
      </c>
      <c r="AS16" s="240" cm="1">
        <f t="array" ref="AS16">pareto($M16:$M21,$N16:$N21,1,"dist",$AR$1,$AO17,$AO19)</f>
        <v>61.539408999999999</v>
      </c>
      <c r="AT16" s="240"/>
      <c r="AU16" s="240"/>
    </row>
    <row r="17" spans="1:47" ht="12" customHeight="1" x14ac:dyDescent="0.25">
      <c r="A17" s="74"/>
      <c r="B17" s="133"/>
      <c r="C17" s="107" t="s">
        <v>251</v>
      </c>
      <c r="D17" s="268">
        <v>97.311340209999997</v>
      </c>
      <c r="E17" s="268">
        <v>55.852423000000002</v>
      </c>
      <c r="F17" s="86"/>
      <c r="G17" s="86"/>
      <c r="H17" s="86"/>
      <c r="I17" s="86"/>
      <c r="J17" s="86"/>
      <c r="K17" s="86"/>
      <c r="L17" s="110"/>
      <c r="M17" s="267">
        <v>97.311340206185506</v>
      </c>
      <c r="N17" s="267">
        <v>55.852423000000002</v>
      </c>
      <c r="O17" s="86"/>
      <c r="P17" s="86"/>
      <c r="Q17" s="86"/>
      <c r="R17" s="86"/>
      <c r="S17" s="86"/>
      <c r="T17" s="86"/>
      <c r="U17" s="85" t="e">
        <f t="shared" si="0"/>
        <v>#DIV/0!</v>
      </c>
      <c r="V17" s="87" t="e">
        <f t="shared" si="0"/>
        <v>#DIV/0!</v>
      </c>
      <c r="W17" s="118"/>
      <c r="X17" s="89"/>
      <c r="Y17" s="90"/>
      <c r="Z17" s="90"/>
      <c r="AA17" s="90"/>
      <c r="AB17" s="90"/>
      <c r="AC17" s="90"/>
      <c r="AD17" s="90"/>
      <c r="AE17" s="90"/>
      <c r="AF17" s="90"/>
      <c r="AG17" s="91"/>
      <c r="AH17" s="115"/>
      <c r="AO17" s="240">
        <v>70.148171000000005</v>
      </c>
      <c r="AP17" s="240" cm="1">
        <f t="array" ref="AP17">pareto($D16:$D21,$E16:$E21,2,"rate",$AR$1,$AO17,$AO19)</f>
        <v>97.311340209999997</v>
      </c>
      <c r="AQ17" s="240" cm="1">
        <f t="array" ref="AQ17">pareto($D16:$D21,$E16:$E21,2,"dist",$AR$1,$AO17,$AO19)</f>
        <v>55.852423000000002</v>
      </c>
      <c r="AR17" s="240" cm="1">
        <f t="array" ref="AR17">pareto($M16:$M21,$N16:$N21,2,"rate",$AR$1,$AO17,$AO19)</f>
        <v>97.311340206185506</v>
      </c>
      <c r="AS17" s="240" cm="1">
        <f t="array" ref="AS17">pareto($M16:$M21,$N16:$N21,2,"dist",$AR$1,$AO17,$AO19)</f>
        <v>55.852423000000002</v>
      </c>
      <c r="AT17" s="240"/>
      <c r="AU17" s="240"/>
    </row>
    <row r="18" spans="1:47" ht="12" customHeight="1" x14ac:dyDescent="0.25">
      <c r="A18" s="74"/>
      <c r="B18" s="133"/>
      <c r="C18" s="107" t="s">
        <v>252</v>
      </c>
      <c r="D18" s="268">
        <v>54.729896910000001</v>
      </c>
      <c r="E18" s="268">
        <v>45.228166000000002</v>
      </c>
      <c r="F18" s="86"/>
      <c r="G18" s="86"/>
      <c r="H18" s="86"/>
      <c r="I18" s="86"/>
      <c r="J18" s="86"/>
      <c r="K18" s="86"/>
      <c r="L18" s="110"/>
      <c r="M18" s="267">
        <v>54.729896907216499</v>
      </c>
      <c r="N18" s="267">
        <v>45.228166000000002</v>
      </c>
      <c r="O18" s="86"/>
      <c r="P18" s="86"/>
      <c r="Q18" s="86"/>
      <c r="R18" s="86"/>
      <c r="S18" s="86"/>
      <c r="T18" s="86"/>
      <c r="U18" s="85" t="e">
        <f t="shared" si="0"/>
        <v>#DIV/0!</v>
      </c>
      <c r="V18" s="87" t="e">
        <f t="shared" si="0"/>
        <v>#DIV/0!</v>
      </c>
      <c r="W18" s="118"/>
      <c r="X18" s="89"/>
      <c r="Y18" s="90"/>
      <c r="Z18" s="90"/>
      <c r="AA18" s="90"/>
      <c r="AB18" s="90"/>
      <c r="AC18" s="90"/>
      <c r="AD18" s="90"/>
      <c r="AE18" s="90"/>
      <c r="AF18" s="90"/>
      <c r="AG18" s="91"/>
      <c r="AH18" s="115"/>
      <c r="AO18" s="240" t="s">
        <v>44</v>
      </c>
      <c r="AP18" s="240" cm="1">
        <f t="array" ref="AP18">pareto($D16:$D21,$E16:$E21,3,"rate",$AR$1,$AO17,$AO19)</f>
        <v>54.729896910000001</v>
      </c>
      <c r="AQ18" s="240" cm="1">
        <f t="array" ref="AQ18">pareto($D16:$D21,$E16:$E21,3,"dist",$AR$1,$AO17,$AO19)</f>
        <v>45.228166000000002</v>
      </c>
      <c r="AR18" s="240" cm="1">
        <f t="array" ref="AR18">pareto($M16:$M21,$N16:$N21,3,"rate",$AR$1,$AO17,$AO19)</f>
        <v>54.729896907216499</v>
      </c>
      <c r="AS18" s="240" cm="1">
        <f t="array" ref="AS18">pareto($M16:$M21,$N16:$N21,3,"dist",$AR$1,$AO17,$AO19)</f>
        <v>45.228166000000002</v>
      </c>
      <c r="AT18" s="240"/>
      <c r="AU18" s="240"/>
    </row>
    <row r="19" spans="1:47" ht="12" customHeight="1" x14ac:dyDescent="0.25">
      <c r="A19" s="74"/>
      <c r="B19" s="133"/>
      <c r="C19" s="107" t="s">
        <v>253</v>
      </c>
      <c r="D19" s="268">
        <v>40.647422679999998</v>
      </c>
      <c r="E19" s="268">
        <v>13.210371</v>
      </c>
      <c r="F19" s="86"/>
      <c r="G19" s="86"/>
      <c r="H19" s="86"/>
      <c r="I19" s="86"/>
      <c r="J19" s="86"/>
      <c r="K19" s="86"/>
      <c r="L19" s="110"/>
      <c r="M19" s="267">
        <v>40.647422680412298</v>
      </c>
      <c r="N19" s="267">
        <v>13.210371</v>
      </c>
      <c r="O19" s="86"/>
      <c r="P19" s="86"/>
      <c r="Q19" s="86"/>
      <c r="R19" s="86"/>
      <c r="S19" s="86"/>
      <c r="T19" s="86"/>
      <c r="U19" s="85" t="e">
        <f t="shared" si="0"/>
        <v>#DIV/0!</v>
      </c>
      <c r="V19" s="87" t="e">
        <f t="shared" si="0"/>
        <v>#DIV/0!</v>
      </c>
      <c r="W19" s="118"/>
      <c r="X19" s="89"/>
      <c r="Y19" s="90"/>
      <c r="Z19" s="90"/>
      <c r="AA19" s="90"/>
      <c r="AB19" s="90"/>
      <c r="AC19" s="90"/>
      <c r="AD19" s="90"/>
      <c r="AE19" s="90"/>
      <c r="AF19" s="90"/>
      <c r="AG19" s="91"/>
      <c r="AH19" s="115"/>
      <c r="AO19" s="240">
        <v>20</v>
      </c>
      <c r="AP19" s="240" cm="1">
        <f t="array" ref="AP19">pareto($D16:$D21,$E16:$E21,4,"rate",$AR$1,$AO17,$AO19)</f>
        <v>40.647422679999998</v>
      </c>
      <c r="AQ19" s="240" cm="1">
        <f t="array" ref="AQ19">pareto($D16:$D21,$E16:$E21,4,"dist",$AR$1,$AO17,$AO19)</f>
        <v>13.210371</v>
      </c>
      <c r="AR19" s="240" cm="1">
        <f t="array" ref="AR19">pareto($M16:$M21,$N16:$N21,4,"rate",$AR$1,$AO17,$AO19)</f>
        <v>40.647422680412298</v>
      </c>
      <c r="AS19" s="240" cm="1">
        <f t="array" ref="AS19">pareto($M16:$M21,$N16:$N21,4,"dist",$AR$1,$AO17,$AO19)</f>
        <v>13.210371</v>
      </c>
      <c r="AT19" s="240"/>
      <c r="AU19" s="240"/>
    </row>
    <row r="20" spans="1:47" ht="12" customHeight="1" x14ac:dyDescent="0.25">
      <c r="A20" s="74"/>
      <c r="B20" s="133"/>
      <c r="C20" s="107" t="s">
        <v>254</v>
      </c>
      <c r="D20" s="268">
        <v>36.127835050000002</v>
      </c>
      <c r="E20" s="268">
        <v>2.162763</v>
      </c>
      <c r="F20" s="86"/>
      <c r="G20" s="86"/>
      <c r="H20" s="86"/>
      <c r="I20" s="86"/>
      <c r="J20" s="86"/>
      <c r="K20" s="86"/>
      <c r="L20" s="110"/>
      <c r="M20" s="267">
        <v>36.127835051546299</v>
      </c>
      <c r="N20" s="267">
        <v>2.162763</v>
      </c>
      <c r="O20" s="86"/>
      <c r="P20" s="86"/>
      <c r="Q20" s="86"/>
      <c r="R20" s="86"/>
      <c r="S20" s="86"/>
      <c r="T20" s="86"/>
      <c r="U20" s="85" t="e">
        <f t="shared" si="0"/>
        <v>#DIV/0!</v>
      </c>
      <c r="V20" s="87" t="e">
        <f t="shared" si="0"/>
        <v>#DIV/0!</v>
      </c>
      <c r="W20" s="118"/>
      <c r="X20" s="89"/>
      <c r="Y20" s="90"/>
      <c r="Z20" s="90"/>
      <c r="AA20" s="90"/>
      <c r="AB20" s="90"/>
      <c r="AC20" s="90"/>
      <c r="AD20" s="90"/>
      <c r="AE20" s="90"/>
      <c r="AF20" s="90"/>
      <c r="AG20" s="91"/>
      <c r="AH20" s="115"/>
      <c r="AO20" s="240"/>
      <c r="AP20" s="240" cm="1">
        <f t="array" ref="AP20">pareto($D16:$D21,$E16:$E21,5,"rate",$AR$1,$AO17,$AO19)</f>
        <v>32.127835050000002</v>
      </c>
      <c r="AQ20" s="240" cm="1">
        <f t="array" ref="AQ20">pareto($D16:$D21,$E16:$E21,5,"dist",$AR$1,$AO17,$AO19)</f>
        <v>4.6028460000000004</v>
      </c>
      <c r="AR20" s="240" cm="1">
        <f t="array" ref="AR20">pareto($M16:$M21,$N16:$N21,5,"rate",$AR$1,$AO17,$AO19)</f>
        <v>32.127835051546299</v>
      </c>
      <c r="AS20" s="240" cm="1">
        <f t="array" ref="AS20">pareto($M16:$M21,$N16:$N21,5,"dist",$AR$1,$AO17,$AO19)</f>
        <v>4.6028460000000004</v>
      </c>
      <c r="AT20" s="240"/>
      <c r="AU20" s="240"/>
    </row>
    <row r="21" spans="1:47" ht="12" customHeight="1" thickBot="1" x14ac:dyDescent="0.3">
      <c r="A21" s="74"/>
      <c r="B21" s="134"/>
      <c r="C21" s="108" t="s">
        <v>255</v>
      </c>
      <c r="D21" s="268">
        <v>32.127835050000002</v>
      </c>
      <c r="E21" s="268">
        <v>4.6028460000000004</v>
      </c>
      <c r="F21" s="94"/>
      <c r="G21" s="94"/>
      <c r="H21" s="94"/>
      <c r="I21" s="94"/>
      <c r="J21" s="94"/>
      <c r="K21" s="94"/>
      <c r="L21" s="110"/>
      <c r="M21" s="267">
        <v>32.127835051546299</v>
      </c>
      <c r="N21" s="267">
        <v>4.6028460000000004</v>
      </c>
      <c r="O21" s="94"/>
      <c r="P21" s="94"/>
      <c r="Q21" s="94"/>
      <c r="R21" s="94"/>
      <c r="S21" s="94"/>
      <c r="T21" s="94"/>
      <c r="U21" s="85" t="e">
        <f t="shared" si="0"/>
        <v>#DIV/0!</v>
      </c>
      <c r="V21" s="87" t="e">
        <f t="shared" si="0"/>
        <v>#DIV/0!</v>
      </c>
      <c r="W21" s="118"/>
      <c r="X21" s="95"/>
      <c r="Y21" s="96"/>
      <c r="Z21" s="96"/>
      <c r="AA21" s="96"/>
      <c r="AB21" s="96"/>
      <c r="AC21" s="96"/>
      <c r="AD21" s="96"/>
      <c r="AE21" s="96"/>
      <c r="AF21" s="96"/>
      <c r="AG21" s="97"/>
      <c r="AH21" s="116"/>
      <c r="AO21" s="240"/>
      <c r="AP21" s="240" t="e" cm="1">
        <f t="array" ref="AP21">pareto($D16:$D21,$E16:$E21,6,"rate",$AR$1,$AO17,$AO19)</f>
        <v>#N/A</v>
      </c>
      <c r="AQ21" s="240" t="e" cm="1">
        <f t="array" ref="AQ21">pareto($D16:$D21,$E16:$E21,6,"dist",$AR$1,$AO17,$AO19)</f>
        <v>#N/A</v>
      </c>
      <c r="AR21" s="240" t="e" cm="1">
        <f t="array" ref="AR21">pareto($M16:$M21,$N16:$N21,6,"rate",$AR$1,$AO17,$AO19)</f>
        <v>#N/A</v>
      </c>
      <c r="AS21" s="240" t="e" cm="1">
        <f t="array" ref="AS21">pareto($M16:$M21,$N16:$N21,6,"dist",$AR$1,$AO17,$AO19)</f>
        <v>#N/A</v>
      </c>
      <c r="AT21" s="240"/>
      <c r="AU21" s="240"/>
    </row>
    <row r="22" spans="1:47" ht="12" customHeight="1" x14ac:dyDescent="0.25">
      <c r="A22" s="74"/>
      <c r="B22" s="132" t="s">
        <v>63</v>
      </c>
      <c r="C22" s="106" t="s">
        <v>250</v>
      </c>
      <c r="D22" s="268">
        <v>330.44948449999998</v>
      </c>
      <c r="E22" s="268">
        <v>36.857796</v>
      </c>
      <c r="F22" s="83"/>
      <c r="G22" s="83"/>
      <c r="H22" s="83"/>
      <c r="I22" s="83"/>
      <c r="J22" s="83"/>
      <c r="K22" s="83"/>
      <c r="L22" s="110"/>
      <c r="M22" s="267">
        <v>330.44948453608202</v>
      </c>
      <c r="N22" s="267">
        <v>36.857796</v>
      </c>
      <c r="O22" s="83"/>
      <c r="P22" s="83"/>
      <c r="Q22" s="83"/>
      <c r="R22" s="83"/>
      <c r="S22" s="83"/>
      <c r="T22" s="83"/>
      <c r="U22" s="85" t="e">
        <f t="shared" si="0"/>
        <v>#DIV/0!</v>
      </c>
      <c r="V22" s="87" t="e">
        <f t="shared" si="0"/>
        <v>#DIV/0!</v>
      </c>
      <c r="W22" s="118"/>
      <c r="X22" s="122">
        <f>bdRateExtend($D22:$D27,$E22:$E27,$M22:$M27,$N22:$N27)</f>
        <v>-1.4598322550796183E-11</v>
      </c>
      <c r="Y22" s="14">
        <f t="shared" si="1"/>
        <v>-1.7363221971322673E-11</v>
      </c>
      <c r="Z22" s="14">
        <f t="shared" si="2"/>
        <v>-3.4666713943920513E-11</v>
      </c>
      <c r="AA22" s="14">
        <f t="shared" si="3"/>
        <v>-5.046074669223799E-11</v>
      </c>
      <c r="AB22" s="14">
        <f t="shared" si="4"/>
        <v>-4.2495118535157417E-11</v>
      </c>
      <c r="AC22" s="14">
        <f t="shared" si="5"/>
        <v>-1.680566796835592E-11</v>
      </c>
      <c r="AD22" s="34" cm="1">
        <f t="array" ref="AD22">bdRatePareto(AP22:AP27,AQ22:AQ27,AR22:AR27,AS22:AS27)</f>
        <v>-1.4598322550796183E-11</v>
      </c>
      <c r="AE22" s="14" t="e">
        <f>bdRateExtend($D22:$D27,F22:F27,$M22:$M27,O22:O27)</f>
        <v>#VALUE!</v>
      </c>
      <c r="AF22" s="14" t="e">
        <f>bdRateExtend($D22:$D27,G22:G27,$M22:$M27,P22:P27)</f>
        <v>#VALUE!</v>
      </c>
      <c r="AG22" s="15" t="e">
        <f>bdRateExtend($D22:$D27,H22:H27,$M22:$M27,Q22:Q27)</f>
        <v>#VALUE!</v>
      </c>
      <c r="AH22" s="72">
        <f>bdPSNRExtend($D22:$D27,$E22:$E27,$M22:$M27,$N22:$N27)</f>
        <v>1.7368091563538372E-10</v>
      </c>
      <c r="AO22" s="240" t="s">
        <v>213</v>
      </c>
      <c r="AP22" s="240" cm="1">
        <f t="array" ref="AP22">pareto($D22:$D27,$E22:$E27,1,"rate",$AR$1,$AO23,$AO25)</f>
        <v>330.44948449999998</v>
      </c>
      <c r="AQ22" s="240" cm="1">
        <f t="array" ref="AQ22">pareto($D22:$D27,$E22:$E27,1,"dist",$AR$1,$AO23,$AO25)</f>
        <v>36.857796</v>
      </c>
      <c r="AR22" s="240" cm="1">
        <f t="array" ref="AR22">pareto($M22:$M27,$N22:$N27,1,"rate",$AR$1,$AO23,$AO25)</f>
        <v>330.44948453608202</v>
      </c>
      <c r="AS22" s="240" cm="1">
        <f t="array" ref="AS22">pareto($M22:$M27,$N22:$N27,1,"dist",$AR$1,$AO23,$AO25)</f>
        <v>36.857796</v>
      </c>
      <c r="AT22" s="240"/>
      <c r="AU22" s="240"/>
    </row>
    <row r="23" spans="1:47" ht="12" customHeight="1" x14ac:dyDescent="0.25">
      <c r="A23" s="74"/>
      <c r="B23" s="133"/>
      <c r="C23" s="107" t="s">
        <v>251</v>
      </c>
      <c r="D23" s="268">
        <v>223.9051546</v>
      </c>
      <c r="E23" s="268">
        <v>34.886374000000004</v>
      </c>
      <c r="F23" s="86"/>
      <c r="G23" s="86"/>
      <c r="H23" s="86"/>
      <c r="I23" s="86"/>
      <c r="J23" s="86"/>
      <c r="K23" s="86"/>
      <c r="L23" s="110"/>
      <c r="M23" s="267">
        <v>223.90515463917501</v>
      </c>
      <c r="N23" s="267">
        <v>34.886374000000004</v>
      </c>
      <c r="O23" s="86"/>
      <c r="P23" s="86"/>
      <c r="Q23" s="86"/>
      <c r="R23" s="86"/>
      <c r="S23" s="86"/>
      <c r="T23" s="86"/>
      <c r="U23" s="85" t="e">
        <f t="shared" si="0"/>
        <v>#DIV/0!</v>
      </c>
      <c r="V23" s="87" t="e">
        <f t="shared" si="0"/>
        <v>#DIV/0!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0">
        <v>43.472600999999997</v>
      </c>
      <c r="AP23" s="240" cm="1">
        <f t="array" ref="AP23">pareto($D22:$D27,$E22:$E27,2,"rate",$AR$1,$AO23,$AO25)</f>
        <v>223.9051546</v>
      </c>
      <c r="AQ23" s="240" cm="1">
        <f t="array" ref="AQ23">pareto($D22:$D27,$E22:$E27,2,"dist",$AR$1,$AO23,$AO25)</f>
        <v>34.886374000000004</v>
      </c>
      <c r="AR23" s="240" cm="1">
        <f t="array" ref="AR23">pareto($M22:$M27,$N22:$N27,2,"rate",$AR$1,$AO23,$AO25)</f>
        <v>223.90515463917501</v>
      </c>
      <c r="AS23" s="240" cm="1">
        <f t="array" ref="AS23">pareto($M22:$M27,$N22:$N27,2,"dist",$AR$1,$AO23,$AO25)</f>
        <v>34.886374000000004</v>
      </c>
      <c r="AT23" s="240"/>
      <c r="AU23" s="240"/>
    </row>
    <row r="24" spans="1:47" ht="12" customHeight="1" x14ac:dyDescent="0.25">
      <c r="A24" s="74"/>
      <c r="B24" s="133"/>
      <c r="C24" s="107" t="s">
        <v>252</v>
      </c>
      <c r="D24" s="268">
        <v>150.56907219999999</v>
      </c>
      <c r="E24" s="268">
        <v>29.413008999999999</v>
      </c>
      <c r="F24" s="86"/>
      <c r="G24" s="86"/>
      <c r="H24" s="86"/>
      <c r="I24" s="86"/>
      <c r="J24" s="86"/>
      <c r="K24" s="86"/>
      <c r="L24" s="110"/>
      <c r="M24" s="267">
        <v>150.56907216494801</v>
      </c>
      <c r="N24" s="267">
        <v>29.413008999999999</v>
      </c>
      <c r="O24" s="86"/>
      <c r="P24" s="86"/>
      <c r="Q24" s="86"/>
      <c r="R24" s="86"/>
      <c r="S24" s="86"/>
      <c r="T24" s="86"/>
      <c r="U24" s="85" t="e">
        <f t="shared" si="0"/>
        <v>#DIV/0!</v>
      </c>
      <c r="V24" s="87" t="e">
        <f t="shared" si="0"/>
        <v>#DIV/0!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0" t="s">
        <v>44</v>
      </c>
      <c r="AP24" s="240" cm="1">
        <f t="array" ref="AP24">pareto($D22:$D27,$E22:$E27,3,"rate",$AR$1,$AO23,$AO25)</f>
        <v>150.56907219999999</v>
      </c>
      <c r="AQ24" s="240" cm="1">
        <f t="array" ref="AQ24">pareto($D22:$D27,$E22:$E27,3,"dist",$AR$1,$AO23,$AO25)</f>
        <v>29.413008999999999</v>
      </c>
      <c r="AR24" s="240" cm="1">
        <f t="array" ref="AR24">pareto($M22:$M27,$N22:$N27,3,"rate",$AR$1,$AO23,$AO25)</f>
        <v>150.56907216494801</v>
      </c>
      <c r="AS24" s="240" cm="1">
        <f t="array" ref="AS24">pareto($M22:$M27,$N22:$N27,3,"dist",$AR$1,$AO23,$AO25)</f>
        <v>29.413008999999999</v>
      </c>
      <c r="AT24" s="240"/>
      <c r="AU24" s="240"/>
    </row>
    <row r="25" spans="1:47" ht="12" customHeight="1" x14ac:dyDescent="0.25">
      <c r="A25" s="74"/>
      <c r="B25" s="133"/>
      <c r="C25" s="107" t="s">
        <v>253</v>
      </c>
      <c r="D25" s="268">
        <v>99.843298970000006</v>
      </c>
      <c r="E25" s="268">
        <v>25.632173000000002</v>
      </c>
      <c r="F25" s="86"/>
      <c r="G25" s="86"/>
      <c r="H25" s="86"/>
      <c r="I25" s="86"/>
      <c r="J25" s="86"/>
      <c r="K25" s="86"/>
      <c r="L25" s="110"/>
      <c r="M25" s="267">
        <v>99.843298969072094</v>
      </c>
      <c r="N25" s="267">
        <v>25.632173000000002</v>
      </c>
      <c r="O25" s="86"/>
      <c r="P25" s="86"/>
      <c r="Q25" s="86"/>
      <c r="R25" s="86"/>
      <c r="S25" s="86"/>
      <c r="T25" s="86"/>
      <c r="U25" s="85" t="e">
        <f t="shared" si="0"/>
        <v>#DIV/0!</v>
      </c>
      <c r="V25" s="87" t="e">
        <f t="shared" si="0"/>
        <v>#DIV/0!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0">
        <v>20</v>
      </c>
      <c r="AP25" s="240" cm="1">
        <f t="array" ref="AP25">pareto($D22:$D27,$E22:$E27,4,"rate",$AR$1,$AO23,$AO25)</f>
        <v>99.843298970000006</v>
      </c>
      <c r="AQ25" s="240" cm="1">
        <f t="array" ref="AQ25">pareto($D22:$D27,$E22:$E27,4,"dist",$AR$1,$AO23,$AO25)</f>
        <v>25.632173000000002</v>
      </c>
      <c r="AR25" s="240" cm="1">
        <f t="array" ref="AR25">pareto($M22:$M27,$N22:$N27,4,"rate",$AR$1,$AO23,$AO25)</f>
        <v>99.843298969072094</v>
      </c>
      <c r="AS25" s="240" cm="1">
        <f t="array" ref="AS25">pareto($M22:$M27,$N22:$N27,4,"dist",$AR$1,$AO23,$AO25)</f>
        <v>25.632173000000002</v>
      </c>
      <c r="AT25" s="240"/>
      <c r="AU25" s="240"/>
    </row>
    <row r="26" spans="1:47" ht="12" customHeight="1" x14ac:dyDescent="0.25">
      <c r="A26" s="74"/>
      <c r="B26" s="133"/>
      <c r="C26" s="107" t="s">
        <v>254</v>
      </c>
      <c r="D26" s="268">
        <v>65.290721649999995</v>
      </c>
      <c r="E26" s="268">
        <v>12.527525000000001</v>
      </c>
      <c r="F26" s="86"/>
      <c r="G26" s="86"/>
      <c r="H26" s="86"/>
      <c r="I26" s="86"/>
      <c r="J26" s="86"/>
      <c r="K26" s="86"/>
      <c r="L26" s="110"/>
      <c r="M26" s="267">
        <v>65.290721649484496</v>
      </c>
      <c r="N26" s="267">
        <v>12.527525000000001</v>
      </c>
      <c r="O26" s="86"/>
      <c r="P26" s="86"/>
      <c r="Q26" s="86"/>
      <c r="R26" s="86"/>
      <c r="S26" s="86"/>
      <c r="T26" s="86"/>
      <c r="U26" s="85" t="e">
        <f t="shared" si="0"/>
        <v>#DIV/0!</v>
      </c>
      <c r="V26" s="87" t="e">
        <f t="shared" si="0"/>
        <v>#DIV/0!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0"/>
      <c r="AP26" s="240" cm="1">
        <f t="array" ref="AP26">pareto($D22:$D27,$E22:$E27,5,"rate",$AR$1,$AO23,$AO25)</f>
        <v>65.290721649999995</v>
      </c>
      <c r="AQ26" s="240" cm="1">
        <f t="array" ref="AQ26">pareto($D22:$D27,$E22:$E27,5,"dist",$AR$1,$AO23,$AO25)</f>
        <v>12.527525000000001</v>
      </c>
      <c r="AR26" s="240" cm="1">
        <f t="array" ref="AR26">pareto($M22:$M27,$N22:$N27,5,"rate",$AR$1,$AO23,$AO25)</f>
        <v>65.290721649484496</v>
      </c>
      <c r="AS26" s="240" cm="1">
        <f t="array" ref="AS26">pareto($M22:$M27,$N22:$N27,5,"dist",$AR$1,$AO23,$AO25)</f>
        <v>12.527525000000001</v>
      </c>
      <c r="AT26" s="240"/>
      <c r="AU26" s="240"/>
    </row>
    <row r="27" spans="1:47" ht="12" customHeight="1" thickBot="1" x14ac:dyDescent="0.3">
      <c r="A27" s="74"/>
      <c r="B27" s="134"/>
      <c r="C27" s="108" t="s">
        <v>255</v>
      </c>
      <c r="D27" s="268">
        <v>42.709278349999998</v>
      </c>
      <c r="E27" s="268">
        <v>7.1581130000000002</v>
      </c>
      <c r="F27" s="94"/>
      <c r="G27" s="94"/>
      <c r="H27" s="94"/>
      <c r="I27" s="94"/>
      <c r="J27" s="94"/>
      <c r="K27" s="94"/>
      <c r="L27" s="110"/>
      <c r="M27" s="267">
        <v>42.709278350515397</v>
      </c>
      <c r="N27" s="267">
        <v>7.1581130000000002</v>
      </c>
      <c r="O27" s="94"/>
      <c r="P27" s="94"/>
      <c r="Q27" s="94"/>
      <c r="R27" s="94"/>
      <c r="S27" s="94"/>
      <c r="T27" s="94"/>
      <c r="U27" s="85" t="e">
        <f t="shared" si="0"/>
        <v>#DIV/0!</v>
      </c>
      <c r="V27" s="87" t="e">
        <f t="shared" si="0"/>
        <v>#DIV/0!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0"/>
      <c r="AP27" s="240" cm="1">
        <f t="array" ref="AP27">pareto($D22:$D27,$E22:$E27,6,"rate",$AR$1,$AO23,$AO25)</f>
        <v>42.709278349999998</v>
      </c>
      <c r="AQ27" s="240" cm="1">
        <f t="array" ref="AQ27">pareto($D22:$D27,$E22:$E27,6,"dist",$AR$1,$AO23,$AO25)</f>
        <v>7.1581130000000002</v>
      </c>
      <c r="AR27" s="240" cm="1">
        <f t="array" ref="AR27">pareto($M22:$M27,$N22:$N27,6,"rate",$AR$1,$AO23,$AO25)</f>
        <v>42.709278350515397</v>
      </c>
      <c r="AS27" s="240" cm="1">
        <f t="array" ref="AS27">pareto($M22:$M27,$N22:$N27,6,"dist",$AR$1,$AO23,$AO25)</f>
        <v>7.1581130000000002</v>
      </c>
      <c r="AT27" s="240"/>
      <c r="AU27" s="240"/>
    </row>
    <row r="28" spans="1:47" ht="12" customHeight="1" x14ac:dyDescent="0.25">
      <c r="A28" s="74"/>
      <c r="B28" s="132" t="s">
        <v>64</v>
      </c>
      <c r="C28" s="106" t="s">
        <v>250</v>
      </c>
      <c r="D28" s="268">
        <v>209.73395350000001</v>
      </c>
      <c r="E28" s="268">
        <v>39.749301000000003</v>
      </c>
      <c r="F28" s="83"/>
      <c r="G28" s="83"/>
      <c r="H28" s="83"/>
      <c r="I28" s="83"/>
      <c r="J28" s="83"/>
      <c r="K28" s="83"/>
      <c r="L28" s="110"/>
      <c r="M28" s="267">
        <v>209.73395348837201</v>
      </c>
      <c r="N28" s="267">
        <v>39.749301000000003</v>
      </c>
      <c r="O28" s="83"/>
      <c r="P28" s="83"/>
      <c r="Q28" s="83"/>
      <c r="R28" s="83"/>
      <c r="S28" s="83"/>
      <c r="T28" s="83"/>
      <c r="U28" s="85" t="e">
        <f t="shared" si="0"/>
        <v>#DIV/0!</v>
      </c>
      <c r="V28" s="87" t="e">
        <f t="shared" si="0"/>
        <v>#DIV/0!</v>
      </c>
      <c r="W28" s="118"/>
      <c r="X28" s="122">
        <f>bdRateExtend($D28:$D33,$E28:$E33,$M28:$M33,$N28:$N33)</f>
        <v>1E+308</v>
      </c>
      <c r="Y28" s="14">
        <f t="shared" si="1"/>
        <v>1E+308</v>
      </c>
      <c r="Z28" s="14">
        <f t="shared" si="2"/>
        <v>-1.705546814889658E-11</v>
      </c>
      <c r="AA28" s="14">
        <f t="shared" si="3"/>
        <v>1E+308</v>
      </c>
      <c r="AB28" s="14">
        <f t="shared" si="4"/>
        <v>9.1884277964027206E-12</v>
      </c>
      <c r="AC28" s="14">
        <f t="shared" si="5"/>
        <v>-1.6798784585603244E-11</v>
      </c>
      <c r="AD28" s="34" cm="1">
        <f t="array" ref="AD28">bdRatePareto(AP28:AP33,AQ28:AQ33,AR28:AR33,AS28:AS33)</f>
        <v>-1.705546814889658E-11</v>
      </c>
      <c r="AE28" s="14" t="e">
        <f>bdRateExtend($D28:$D33,F28:F33,$M28:$M33,O28:O33)</f>
        <v>#VALUE!</v>
      </c>
      <c r="AF28" s="14" t="e">
        <f>bdRateExtend($D28:$D33,G28:G33,$M28:$M33,P28:P33)</f>
        <v>#VALUE!</v>
      </c>
      <c r="AG28" s="15" t="e">
        <f>bdRateExtend($D28:$D33,H28:H33,$M28:$M33,Q28:Q33)</f>
        <v>#VALUE!</v>
      </c>
      <c r="AH28" s="72">
        <f>bdPSNRExtend($D28:$D33,$E28:$E33,$M28:$M33,$N28:$N33)</f>
        <v>3.624557552050187E-10</v>
      </c>
      <c r="AO28" s="240" t="s">
        <v>213</v>
      </c>
      <c r="AP28" s="240" cm="1">
        <f t="array" ref="AP28">pareto($D28:$D33,$E28:$E33,1,"rate",$AR$1,$AO29,$AO31)</f>
        <v>141.76</v>
      </c>
      <c r="AQ28" s="240" cm="1">
        <f t="array" ref="AQ28">pareto($D28:$D33,$E28:$E33,1,"dist",$AR$1,$AO29,$AO31)</f>
        <v>40.102800999999999</v>
      </c>
      <c r="AR28" s="240" cm="1">
        <f t="array" ref="AR28">pareto($M28:$M33,$N28:$N33,1,"rate",$AR$1,$AO29,$AO31)</f>
        <v>141.76</v>
      </c>
      <c r="AS28" s="240" cm="1">
        <f t="array" ref="AS28">pareto($M28:$M33,$N28:$N33,1,"dist",$AR$1,$AO29,$AO31)</f>
        <v>40.102800999999999</v>
      </c>
      <c r="AT28" s="240"/>
      <c r="AU28" s="240"/>
    </row>
    <row r="29" spans="1:47" ht="12" customHeight="1" x14ac:dyDescent="0.25">
      <c r="A29" s="74"/>
      <c r="B29" s="133"/>
      <c r="C29" s="107" t="s">
        <v>251</v>
      </c>
      <c r="D29" s="268">
        <v>141.76</v>
      </c>
      <c r="E29" s="268">
        <v>40.102800999999999</v>
      </c>
      <c r="F29" s="86"/>
      <c r="G29" s="86"/>
      <c r="H29" s="86"/>
      <c r="I29" s="86"/>
      <c r="J29" s="86"/>
      <c r="K29" s="86"/>
      <c r="L29" s="110"/>
      <c r="M29" s="267">
        <v>141.76</v>
      </c>
      <c r="N29" s="267">
        <v>40.102800999999999</v>
      </c>
      <c r="O29" s="86"/>
      <c r="P29" s="86"/>
      <c r="Q29" s="86"/>
      <c r="R29" s="86"/>
      <c r="S29" s="86"/>
      <c r="T29" s="86"/>
      <c r="U29" s="85" t="e">
        <f t="shared" si="0"/>
        <v>#DIV/0!</v>
      </c>
      <c r="V29" s="87" t="e">
        <f t="shared" si="0"/>
        <v>#DIV/0!</v>
      </c>
      <c r="W29" s="118"/>
      <c r="X29" s="89"/>
      <c r="Y29" s="90"/>
      <c r="Z29" s="90"/>
      <c r="AA29" s="90"/>
      <c r="AB29" s="90"/>
      <c r="AC29" s="90"/>
      <c r="AD29" s="90"/>
      <c r="AE29" s="90"/>
      <c r="AF29" s="90"/>
      <c r="AG29" s="91"/>
      <c r="AH29" s="115"/>
      <c r="AO29" s="240">
        <v>41.49</v>
      </c>
      <c r="AP29" s="240" cm="1">
        <f t="array" ref="AP29">pareto($D28:$D33,$E28:$E33,2,"rate",$AR$1,$AO29,$AO31)</f>
        <v>81.101395350000004</v>
      </c>
      <c r="AQ29" s="240" cm="1">
        <f t="array" ref="AQ29">pareto($D28:$D33,$E28:$E33,2,"dist",$AR$1,$AO29,$AO31)</f>
        <v>36.976239999999997</v>
      </c>
      <c r="AR29" s="240" cm="1">
        <f t="array" ref="AR29">pareto($M28:$M33,$N28:$N33,2,"rate",$AR$1,$AO29,$AO31)</f>
        <v>81.101395348837201</v>
      </c>
      <c r="AS29" s="240" cm="1">
        <f t="array" ref="AS29">pareto($M28:$M33,$N28:$N33,2,"dist",$AR$1,$AO29,$AO31)</f>
        <v>36.976239999999997</v>
      </c>
      <c r="AT29" s="240"/>
      <c r="AU29" s="240"/>
    </row>
    <row r="30" spans="1:47" ht="12" customHeight="1" x14ac:dyDescent="0.25">
      <c r="A30" s="74"/>
      <c r="B30" s="133"/>
      <c r="C30" s="107" t="s">
        <v>252</v>
      </c>
      <c r="D30" s="268">
        <v>81.101395350000004</v>
      </c>
      <c r="E30" s="268">
        <v>36.976239999999997</v>
      </c>
      <c r="F30" s="86"/>
      <c r="G30" s="86"/>
      <c r="H30" s="86"/>
      <c r="I30" s="86"/>
      <c r="J30" s="86"/>
      <c r="K30" s="86"/>
      <c r="L30" s="110"/>
      <c r="M30" s="267">
        <v>81.101395348837201</v>
      </c>
      <c r="N30" s="267">
        <v>36.976239999999997</v>
      </c>
      <c r="O30" s="86"/>
      <c r="P30" s="86"/>
      <c r="Q30" s="86"/>
      <c r="R30" s="86"/>
      <c r="S30" s="86"/>
      <c r="T30" s="86"/>
      <c r="U30" s="85" t="e">
        <f t="shared" si="0"/>
        <v>#DIV/0!</v>
      </c>
      <c r="V30" s="87" t="e">
        <f t="shared" si="0"/>
        <v>#DIV/0!</v>
      </c>
      <c r="W30" s="118"/>
      <c r="X30" s="89"/>
      <c r="Y30" s="90"/>
      <c r="Z30" s="90"/>
      <c r="AA30" s="90"/>
      <c r="AB30" s="90"/>
      <c r="AC30" s="90"/>
      <c r="AD30" s="90"/>
      <c r="AE30" s="90"/>
      <c r="AF30" s="90"/>
      <c r="AG30" s="91"/>
      <c r="AH30" s="115"/>
      <c r="AO30" s="240" t="s">
        <v>44</v>
      </c>
      <c r="AP30" s="240" cm="1">
        <f t="array" ref="AP30">pareto($D28:$D33,$E28:$E33,3,"rate",$AR$1,$AO29,$AO31)</f>
        <v>61.179534879999999</v>
      </c>
      <c r="AQ30" s="240" cm="1">
        <f t="array" ref="AQ30">pareto($D28:$D33,$E28:$E33,3,"dist",$AR$1,$AO29,$AO31)</f>
        <v>32.154454000000001</v>
      </c>
      <c r="AR30" s="240" cm="1">
        <f t="array" ref="AR30">pareto($M28:$M33,$N28:$N33,3,"rate",$AR$1,$AO29,$AO31)</f>
        <v>61.179534883720898</v>
      </c>
      <c r="AS30" s="240" cm="1">
        <f t="array" ref="AS30">pareto($M28:$M33,$N28:$N33,3,"dist",$AR$1,$AO29,$AO31)</f>
        <v>32.154454000000001</v>
      </c>
      <c r="AT30" s="240"/>
      <c r="AU30" s="240"/>
    </row>
    <row r="31" spans="1:47" ht="12" customHeight="1" x14ac:dyDescent="0.25">
      <c r="A31" s="74"/>
      <c r="B31" s="133"/>
      <c r="C31" s="107" t="s">
        <v>253</v>
      </c>
      <c r="D31" s="268">
        <v>61.179534879999999</v>
      </c>
      <c r="E31" s="268">
        <v>32.154454000000001</v>
      </c>
      <c r="F31" s="86"/>
      <c r="G31" s="86"/>
      <c r="H31" s="86"/>
      <c r="I31" s="86"/>
      <c r="J31" s="86"/>
      <c r="K31" s="86"/>
      <c r="L31" s="110"/>
      <c r="M31" s="267">
        <v>61.179534883720898</v>
      </c>
      <c r="N31" s="267">
        <v>32.154454000000001</v>
      </c>
      <c r="O31" s="86"/>
      <c r="P31" s="86"/>
      <c r="Q31" s="86"/>
      <c r="R31" s="86"/>
      <c r="S31" s="86"/>
      <c r="T31" s="86"/>
      <c r="U31" s="85" t="e">
        <f t="shared" si="0"/>
        <v>#DIV/0!</v>
      </c>
      <c r="V31" s="87" t="e">
        <f t="shared" si="0"/>
        <v>#DIV/0!</v>
      </c>
      <c r="W31" s="118"/>
      <c r="X31" s="89"/>
      <c r="Y31" s="90"/>
      <c r="Z31" s="90"/>
      <c r="AA31" s="90"/>
      <c r="AB31" s="90"/>
      <c r="AC31" s="90"/>
      <c r="AD31" s="90"/>
      <c r="AE31" s="90"/>
      <c r="AF31" s="90"/>
      <c r="AG31" s="91"/>
      <c r="AH31" s="115"/>
      <c r="AO31" s="240">
        <v>20</v>
      </c>
      <c r="AP31" s="240" cm="1">
        <f t="array" ref="AP31">pareto($D28:$D33,$E28:$E33,4,"rate",$AR$1,$AO29,$AO31)</f>
        <v>39.769302330000002</v>
      </c>
      <c r="AQ31" s="240" cm="1">
        <f t="array" ref="AQ31">pareto($D28:$D33,$E28:$E33,4,"dist",$AR$1,$AO29,$AO31)</f>
        <v>19.522511000000002</v>
      </c>
      <c r="AR31" s="240" cm="1">
        <f t="array" ref="AR31">pareto($M28:$M33,$N28:$N33,4,"rate",$AR$1,$AO29,$AO31)</f>
        <v>39.7693023255814</v>
      </c>
      <c r="AS31" s="240" cm="1">
        <f t="array" ref="AS31">pareto($M28:$M33,$N28:$N33,4,"dist",$AR$1,$AO29,$AO31)</f>
        <v>19.522511000000002</v>
      </c>
      <c r="AT31" s="240"/>
      <c r="AU31" s="240"/>
    </row>
    <row r="32" spans="1:47" ht="12" customHeight="1" x14ac:dyDescent="0.25">
      <c r="A32" s="74"/>
      <c r="B32" s="133"/>
      <c r="C32" s="107" t="s">
        <v>254</v>
      </c>
      <c r="D32" s="268">
        <v>39.769302330000002</v>
      </c>
      <c r="E32" s="268">
        <v>19.522511000000002</v>
      </c>
      <c r="F32" s="86"/>
      <c r="G32" s="86"/>
      <c r="H32" s="86"/>
      <c r="I32" s="86"/>
      <c r="J32" s="86"/>
      <c r="K32" s="86"/>
      <c r="L32" s="110"/>
      <c r="M32" s="267">
        <v>39.7693023255814</v>
      </c>
      <c r="N32" s="267">
        <v>19.522511000000002</v>
      </c>
      <c r="O32" s="86"/>
      <c r="P32" s="86"/>
      <c r="Q32" s="86"/>
      <c r="R32" s="86"/>
      <c r="S32" s="86"/>
      <c r="T32" s="86"/>
      <c r="U32" s="85" t="e">
        <f t="shared" si="0"/>
        <v>#DIV/0!</v>
      </c>
      <c r="V32" s="87" t="e">
        <f t="shared" si="0"/>
        <v>#DIV/0!</v>
      </c>
      <c r="W32" s="118"/>
      <c r="X32" s="89"/>
      <c r="Y32" s="90"/>
      <c r="Z32" s="90"/>
      <c r="AA32" s="90"/>
      <c r="AB32" s="90"/>
      <c r="AC32" s="90"/>
      <c r="AD32" s="90"/>
      <c r="AE32" s="90"/>
      <c r="AF32" s="90"/>
      <c r="AG32" s="91"/>
      <c r="AH32" s="115"/>
      <c r="AO32" s="240"/>
      <c r="AP32" s="240" cm="1">
        <f t="array" ref="AP32">pareto($D28:$D33,$E28:$E33,5,"rate",$AR$1,$AO29,$AO31)</f>
        <v>24.989767440000001</v>
      </c>
      <c r="AQ32" s="240" cm="1">
        <f t="array" ref="AQ32">pareto($D28:$D33,$E28:$E33,5,"dist",$AR$1,$AO29,$AO31)</f>
        <v>13.66995</v>
      </c>
      <c r="AR32" s="240" cm="1">
        <f t="array" ref="AR32">pareto($M28:$M33,$N28:$N33,5,"rate",$AR$1,$AO29,$AO31)</f>
        <v>24.989767441860401</v>
      </c>
      <c r="AS32" s="240" cm="1">
        <f t="array" ref="AS32">pareto($M28:$M33,$N28:$N33,5,"dist",$AR$1,$AO29,$AO31)</f>
        <v>13.66995</v>
      </c>
      <c r="AT32" s="240"/>
      <c r="AU32" s="240"/>
    </row>
    <row r="33" spans="1:47" ht="12" customHeight="1" thickBot="1" x14ac:dyDescent="0.3">
      <c r="A33" s="92"/>
      <c r="B33" s="134"/>
      <c r="C33" s="108" t="s">
        <v>255</v>
      </c>
      <c r="D33" s="268">
        <v>24.989767440000001</v>
      </c>
      <c r="E33" s="268">
        <v>13.66995</v>
      </c>
      <c r="F33" s="94"/>
      <c r="G33" s="94"/>
      <c r="H33" s="94"/>
      <c r="I33" s="94"/>
      <c r="J33" s="94"/>
      <c r="K33" s="94"/>
      <c r="L33" s="111"/>
      <c r="M33" s="267">
        <v>24.989767441860401</v>
      </c>
      <c r="N33" s="267">
        <v>13.66995</v>
      </c>
      <c r="O33" s="94"/>
      <c r="P33" s="94"/>
      <c r="Q33" s="94"/>
      <c r="R33" s="94"/>
      <c r="S33" s="94"/>
      <c r="T33" s="94"/>
      <c r="U33" s="85" t="e">
        <f t="shared" si="0"/>
        <v>#DIV/0!</v>
      </c>
      <c r="V33" s="87" t="e">
        <f t="shared" si="0"/>
        <v>#DIV/0!</v>
      </c>
      <c r="W33" s="118"/>
      <c r="X33" s="95"/>
      <c r="Y33" s="96"/>
      <c r="Z33" s="96"/>
      <c r="AA33" s="96"/>
      <c r="AB33" s="96"/>
      <c r="AC33" s="96"/>
      <c r="AD33" s="96"/>
      <c r="AE33" s="96"/>
      <c r="AF33" s="96"/>
      <c r="AG33" s="97"/>
      <c r="AH33" s="116"/>
      <c r="AO33" s="240"/>
      <c r="AP33" s="240" t="e" cm="1">
        <f t="array" ref="AP33">pareto($D28:$D33,$E28:$E33,6,"rate",$AR$1,$AO29,$AO31)</f>
        <v>#N/A</v>
      </c>
      <c r="AQ33" s="240" t="e" cm="1">
        <f t="array" ref="AQ33">pareto($D28:$D33,$E28:$E33,6,"dist",$AR$1,$AO29,$AO31)</f>
        <v>#N/A</v>
      </c>
      <c r="AR33" s="240" t="e" cm="1">
        <f t="array" ref="AR33">pareto($M28:$M33,$N28:$N33,6,"rate",$AR$1,$AO29,$AO31)</f>
        <v>#N/A</v>
      </c>
      <c r="AS33" s="240" t="e" cm="1">
        <f t="array" ref="AS33">pareto($M28:$M33,$N28:$N33,6,"dist",$AR$1,$AO29,$AO31)</f>
        <v>#N/A</v>
      </c>
      <c r="AT33" s="240"/>
      <c r="AU33" s="240"/>
    </row>
    <row r="34" spans="1:47" ht="12" customHeight="1" x14ac:dyDescent="0.25">
      <c r="A34" s="81" t="s">
        <v>65</v>
      </c>
      <c r="B34" s="132" t="s">
        <v>66</v>
      </c>
      <c r="C34" s="106" t="s">
        <v>250</v>
      </c>
      <c r="D34" s="268">
        <v>541.38556700000004</v>
      </c>
      <c r="E34" s="268">
        <v>20.077542999999999</v>
      </c>
      <c r="F34" s="83"/>
      <c r="G34" s="83"/>
      <c r="H34" s="83"/>
      <c r="I34" s="83"/>
      <c r="J34" s="83"/>
      <c r="K34" s="83"/>
      <c r="L34" s="110"/>
      <c r="M34" s="267">
        <v>541.38556701030905</v>
      </c>
      <c r="N34" s="267">
        <v>20.077542999999999</v>
      </c>
      <c r="O34" s="83"/>
      <c r="P34" s="83"/>
      <c r="Q34" s="83"/>
      <c r="R34" s="83"/>
      <c r="S34" s="83"/>
      <c r="T34" s="83"/>
      <c r="U34" s="82" t="e">
        <f t="shared" si="0"/>
        <v>#DIV/0!</v>
      </c>
      <c r="V34" s="84" t="e">
        <f t="shared" si="0"/>
        <v>#DIV/0!</v>
      </c>
      <c r="W34" s="117"/>
      <c r="X34" s="122">
        <f>bdRateExtend($D34:$D39,$E34:$E39,$M34:$M39,$N34:$N39)</f>
        <v>-9.3466345774118054E-11</v>
      </c>
      <c r="Y34" s="14">
        <f t="shared" si="1"/>
        <v>-1.1117018416939572E-10</v>
      </c>
      <c r="Z34" s="14">
        <f t="shared" si="2"/>
        <v>-1.5153434063108762E-10</v>
      </c>
      <c r="AA34" s="14">
        <f t="shared" si="3"/>
        <v>-4.8355097703733918E-11</v>
      </c>
      <c r="AB34" s="14">
        <f t="shared" si="4"/>
        <v>-1.8953905112084612E-10</v>
      </c>
      <c r="AC34" s="14">
        <f t="shared" si="5"/>
        <v>-1.8273094148923974E-10</v>
      </c>
      <c r="AD34" s="34" cm="1">
        <f t="array" ref="AD34">bdRatePareto(AP34:AP39,AQ34:AQ39,AR34:AR39,AS34:AS39)</f>
        <v>-9.3466345774118054E-11</v>
      </c>
      <c r="AE34" s="14" t="e">
        <f>bdRateExtend($D34:$D39,F34:F39,$M34:$M39,O34:O39)</f>
        <v>#VALUE!</v>
      </c>
      <c r="AF34" s="14" t="e">
        <f>bdRateExtend($D34:$D39,G34:G39,$M34:$M39,P34:P39)</f>
        <v>#VALUE!</v>
      </c>
      <c r="AG34" s="15" t="e">
        <f>bdRateExtend($D34:$D39,H34:H39,$M34:$M39,Q34:Q39)</f>
        <v>#VALUE!</v>
      </c>
      <c r="AH34" s="72">
        <f>bdPSNRExtend($D34:$D39,$E34:$E39,$M34:$M39,$N34:$N39)</f>
        <v>6.1779015701214968E-10</v>
      </c>
      <c r="AO34" s="240" t="s">
        <v>213</v>
      </c>
      <c r="AP34" s="240" cm="1">
        <f t="array" ref="AP34">pareto($D34:$D39,$E34:$E39,1,"rate",$AR$1,$AO35,$AO37)</f>
        <v>541.38556700000004</v>
      </c>
      <c r="AQ34" s="240" cm="1">
        <f t="array" ref="AQ34">pareto($D34:$D39,$E34:$E39,1,"dist",$AR$1,$AO35,$AO37)</f>
        <v>20.077542999999999</v>
      </c>
      <c r="AR34" s="240" cm="1">
        <f t="array" ref="AR34">pareto($M34:$M39,$N34:$N39,1,"rate",$AR$1,$AO35,$AO37)</f>
        <v>541.38556701030905</v>
      </c>
      <c r="AS34" s="240" cm="1">
        <f t="array" ref="AS34">pareto($M34:$M39,$N34:$N39,1,"dist",$AR$1,$AO35,$AO37)</f>
        <v>20.077542999999999</v>
      </c>
      <c r="AT34" s="240"/>
      <c r="AU34" s="240"/>
    </row>
    <row r="35" spans="1:47" ht="12" customHeight="1" x14ac:dyDescent="0.25">
      <c r="A35" s="136"/>
      <c r="B35" s="133"/>
      <c r="C35" s="107" t="s">
        <v>251</v>
      </c>
      <c r="D35" s="268">
        <v>319.49690720000001</v>
      </c>
      <c r="E35" s="268">
        <v>15.667185999999999</v>
      </c>
      <c r="F35" s="86"/>
      <c r="G35" s="86"/>
      <c r="H35" s="86"/>
      <c r="I35" s="86"/>
      <c r="J35" s="86"/>
      <c r="K35" s="86"/>
      <c r="L35" s="110"/>
      <c r="M35" s="267">
        <v>319.49690721649398</v>
      </c>
      <c r="N35" s="267">
        <v>15.667185999999999</v>
      </c>
      <c r="O35" s="86"/>
      <c r="P35" s="86"/>
      <c r="Q35" s="86"/>
      <c r="R35" s="86"/>
      <c r="S35" s="86"/>
      <c r="T35" s="86"/>
      <c r="U35" s="85" t="e">
        <f t="shared" si="0"/>
        <v>#DIV/0!</v>
      </c>
      <c r="V35" s="87" t="e">
        <f t="shared" si="0"/>
        <v>#DIV/0!</v>
      </c>
      <c r="W35" s="118"/>
      <c r="X35" s="98"/>
      <c r="Y35" s="99"/>
      <c r="Z35" s="99"/>
      <c r="AA35" s="99"/>
      <c r="AB35" s="99"/>
      <c r="AC35" s="99"/>
      <c r="AD35" s="99"/>
      <c r="AE35" s="99"/>
      <c r="AF35" s="99"/>
      <c r="AG35" s="100"/>
      <c r="AH35" s="110"/>
      <c r="AO35" s="240">
        <v>27.288250999999999</v>
      </c>
      <c r="AP35" s="240" cm="1">
        <f t="array" ref="AP35">pareto($D34:$D39,$E34:$E39,2,"rate",$AR$1,$AO35,$AO37)</f>
        <v>319.49690720000001</v>
      </c>
      <c r="AQ35" s="240" cm="1">
        <f t="array" ref="AQ35">pareto($D34:$D39,$E34:$E39,2,"dist",$AR$1,$AO35,$AO37)</f>
        <v>15.667185999999999</v>
      </c>
      <c r="AR35" s="240" cm="1">
        <f t="array" ref="AR35">pareto($M34:$M39,$N34:$N39,2,"rate",$AR$1,$AO35,$AO37)</f>
        <v>319.49690721649398</v>
      </c>
      <c r="AS35" s="240" cm="1">
        <f t="array" ref="AS35">pareto($M34:$M39,$N34:$N39,2,"dist",$AR$1,$AO35,$AO37)</f>
        <v>15.667185999999999</v>
      </c>
      <c r="AT35" s="240"/>
      <c r="AU35" s="240"/>
    </row>
    <row r="36" spans="1:47" ht="12" customHeight="1" x14ac:dyDescent="0.25">
      <c r="A36" s="74"/>
      <c r="B36" s="133"/>
      <c r="C36" s="107" t="s">
        <v>252</v>
      </c>
      <c r="D36" s="268">
        <v>198.7175258</v>
      </c>
      <c r="E36" s="268">
        <v>13.090206</v>
      </c>
      <c r="F36" s="86"/>
      <c r="G36" s="86"/>
      <c r="H36" s="86"/>
      <c r="I36" s="86"/>
      <c r="J36" s="86"/>
      <c r="K36" s="86"/>
      <c r="L36" s="110"/>
      <c r="M36" s="267">
        <v>198.71752577319501</v>
      </c>
      <c r="N36" s="267">
        <v>13.090206</v>
      </c>
      <c r="O36" s="86"/>
      <c r="P36" s="86"/>
      <c r="Q36" s="86"/>
      <c r="R36" s="86"/>
      <c r="S36" s="86"/>
      <c r="T36" s="86"/>
      <c r="U36" s="85" t="e">
        <f t="shared" si="0"/>
        <v>#DIV/0!</v>
      </c>
      <c r="V36" s="87" t="e">
        <f t="shared" si="0"/>
        <v>#DIV/0!</v>
      </c>
      <c r="W36" s="118"/>
      <c r="X36" s="98"/>
      <c r="Y36" s="99"/>
      <c r="Z36" s="99"/>
      <c r="AA36" s="99"/>
      <c r="AB36" s="99"/>
      <c r="AC36" s="99"/>
      <c r="AD36" s="99"/>
      <c r="AE36" s="99"/>
      <c r="AF36" s="99"/>
      <c r="AG36" s="100"/>
      <c r="AH36" s="110"/>
      <c r="AO36" s="240" t="s">
        <v>44</v>
      </c>
      <c r="AP36" s="240" cm="1">
        <f t="array" ref="AP36">pareto($D34:$D39,$E34:$E39,3,"rate",$AR$1,$AO35,$AO37)</f>
        <v>198.7175258</v>
      </c>
      <c r="AQ36" s="240" cm="1">
        <f t="array" ref="AQ36">pareto($D34:$D39,$E34:$E39,3,"dist",$AR$1,$AO35,$AO37)</f>
        <v>13.090206</v>
      </c>
      <c r="AR36" s="240" cm="1">
        <f t="array" ref="AR36">pareto($M34:$M39,$N34:$N39,3,"rate",$AR$1,$AO35,$AO37)</f>
        <v>198.71752577319501</v>
      </c>
      <c r="AS36" s="240" cm="1">
        <f t="array" ref="AS36">pareto($M34:$M39,$N34:$N39,3,"dist",$AR$1,$AO35,$AO37)</f>
        <v>13.090206</v>
      </c>
      <c r="AT36" s="240"/>
      <c r="AU36" s="240"/>
    </row>
    <row r="37" spans="1:47" ht="12" customHeight="1" x14ac:dyDescent="0.25">
      <c r="A37" s="74"/>
      <c r="B37" s="133"/>
      <c r="C37" s="107" t="s">
        <v>253</v>
      </c>
      <c r="D37" s="268">
        <v>121.2948454</v>
      </c>
      <c r="E37" s="268">
        <v>10.139939</v>
      </c>
      <c r="F37" s="86"/>
      <c r="G37" s="86"/>
      <c r="H37" s="86"/>
      <c r="I37" s="86"/>
      <c r="J37" s="86"/>
      <c r="K37" s="86"/>
      <c r="L37" s="110"/>
      <c r="M37" s="267">
        <v>121.294845360824</v>
      </c>
      <c r="N37" s="267">
        <v>10.139939</v>
      </c>
      <c r="O37" s="86"/>
      <c r="P37" s="86"/>
      <c r="Q37" s="86"/>
      <c r="R37" s="86"/>
      <c r="S37" s="86"/>
      <c r="T37" s="86"/>
      <c r="U37" s="85" t="e">
        <f t="shared" si="0"/>
        <v>#DIV/0!</v>
      </c>
      <c r="V37" s="87" t="e">
        <f t="shared" si="0"/>
        <v>#DIV/0!</v>
      </c>
      <c r="W37" s="118"/>
      <c r="X37" s="98"/>
      <c r="Y37" s="99"/>
      <c r="Z37" s="99"/>
      <c r="AA37" s="99"/>
      <c r="AB37" s="99"/>
      <c r="AC37" s="99"/>
      <c r="AD37" s="99"/>
      <c r="AE37" s="99"/>
      <c r="AF37" s="99"/>
      <c r="AG37" s="100"/>
      <c r="AH37" s="110"/>
      <c r="AO37" s="240">
        <v>20</v>
      </c>
      <c r="AP37" s="240" cm="1">
        <f t="array" ref="AP37">pareto($D34:$D39,$E34:$E39,4,"rate",$AR$1,$AO35,$AO37)</f>
        <v>121.2948454</v>
      </c>
      <c r="AQ37" s="240" cm="1">
        <f t="array" ref="AQ37">pareto($D34:$D39,$E34:$E39,4,"dist",$AR$1,$AO35,$AO37)</f>
        <v>10.139939</v>
      </c>
      <c r="AR37" s="240" cm="1">
        <f t="array" ref="AR37">pareto($M34:$M39,$N34:$N39,4,"rate",$AR$1,$AO35,$AO37)</f>
        <v>121.294845360824</v>
      </c>
      <c r="AS37" s="240" cm="1">
        <f t="array" ref="AS37">pareto($M34:$M39,$N34:$N39,4,"dist",$AR$1,$AO35,$AO37)</f>
        <v>10.139939</v>
      </c>
      <c r="AT37" s="240"/>
      <c r="AU37" s="240"/>
    </row>
    <row r="38" spans="1:47" ht="12" customHeight="1" x14ac:dyDescent="0.25">
      <c r="A38" s="74"/>
      <c r="B38" s="133"/>
      <c r="C38" s="107" t="s">
        <v>254</v>
      </c>
      <c r="D38" s="268">
        <v>73.373195879999997</v>
      </c>
      <c r="E38" s="268">
        <v>5.4141579999999996</v>
      </c>
      <c r="F38" s="86"/>
      <c r="G38" s="86"/>
      <c r="H38" s="86"/>
      <c r="I38" s="86"/>
      <c r="J38" s="86"/>
      <c r="K38" s="86"/>
      <c r="L38" s="110"/>
      <c r="M38" s="267">
        <v>73.373195876288605</v>
      </c>
      <c r="N38" s="267">
        <v>5.4141579999999996</v>
      </c>
      <c r="O38" s="86"/>
      <c r="P38" s="86"/>
      <c r="Q38" s="86"/>
      <c r="R38" s="86"/>
      <c r="S38" s="86"/>
      <c r="T38" s="86"/>
      <c r="U38" s="85" t="e">
        <f t="shared" si="0"/>
        <v>#DIV/0!</v>
      </c>
      <c r="V38" s="87" t="e">
        <f t="shared" si="0"/>
        <v>#DIV/0!</v>
      </c>
      <c r="W38" s="118"/>
      <c r="X38" s="98"/>
      <c r="Y38" s="99"/>
      <c r="Z38" s="99"/>
      <c r="AA38" s="99"/>
      <c r="AB38" s="99"/>
      <c r="AC38" s="99"/>
      <c r="AD38" s="99"/>
      <c r="AE38" s="99"/>
      <c r="AF38" s="99"/>
      <c r="AG38" s="100"/>
      <c r="AH38" s="110"/>
      <c r="AO38" s="240"/>
      <c r="AP38" s="240" cm="1">
        <f t="array" ref="AP38">pareto($D34:$D39,$E34:$E39,5,"rate",$AR$1,$AO35,$AO37)</f>
        <v>73.373195879999997</v>
      </c>
      <c r="AQ38" s="240" cm="1">
        <f t="array" ref="AQ38">pareto($D34:$D39,$E34:$E39,5,"dist",$AR$1,$AO35,$AO37)</f>
        <v>5.4141579999999996</v>
      </c>
      <c r="AR38" s="240" cm="1">
        <f t="array" ref="AR38">pareto($M34:$M39,$N34:$N39,5,"rate",$AR$1,$AO35,$AO37)</f>
        <v>73.373195876288605</v>
      </c>
      <c r="AS38" s="240" cm="1">
        <f t="array" ref="AS38">pareto($M34:$M39,$N34:$N39,5,"dist",$AR$1,$AO35,$AO37)</f>
        <v>5.4141579999999996</v>
      </c>
      <c r="AT38" s="240"/>
      <c r="AU38" s="240"/>
    </row>
    <row r="39" spans="1:47" ht="12" customHeight="1" thickBot="1" x14ac:dyDescent="0.3">
      <c r="A39" s="74"/>
      <c r="B39" s="134"/>
      <c r="C39" s="108" t="s">
        <v>255</v>
      </c>
      <c r="D39" s="268">
        <v>43.00618557</v>
      </c>
      <c r="E39" s="268">
        <v>3.173953</v>
      </c>
      <c r="F39" s="94"/>
      <c r="G39" s="94"/>
      <c r="H39" s="94"/>
      <c r="I39" s="94"/>
      <c r="J39" s="94"/>
      <c r="K39" s="94"/>
      <c r="L39" s="110"/>
      <c r="M39" s="267">
        <v>43.006185567010299</v>
      </c>
      <c r="N39" s="267">
        <v>3.173953</v>
      </c>
      <c r="O39" s="94"/>
      <c r="P39" s="94"/>
      <c r="Q39" s="94"/>
      <c r="R39" s="94"/>
      <c r="S39" s="94"/>
      <c r="T39" s="94"/>
      <c r="U39" s="85" t="e">
        <f t="shared" si="0"/>
        <v>#DIV/0!</v>
      </c>
      <c r="V39" s="87" t="e">
        <f t="shared" si="0"/>
        <v>#DIV/0!</v>
      </c>
      <c r="W39" s="118"/>
      <c r="X39" s="101"/>
      <c r="Y39" s="102"/>
      <c r="Z39" s="102"/>
      <c r="AA39" s="102"/>
      <c r="AB39" s="102"/>
      <c r="AC39" s="102"/>
      <c r="AD39" s="102"/>
      <c r="AE39" s="102"/>
      <c r="AF39" s="102"/>
      <c r="AG39" s="103"/>
      <c r="AH39" s="111"/>
      <c r="AO39" s="240"/>
      <c r="AP39" s="240" cm="1">
        <f t="array" ref="AP39">pareto($D34:$D39,$E34:$E39,6,"rate",$AR$1,$AO35,$AO37)</f>
        <v>43.00618557</v>
      </c>
      <c r="AQ39" s="240" cm="1">
        <f t="array" ref="AQ39">pareto($D34:$D39,$E34:$E39,6,"dist",$AR$1,$AO35,$AO37)</f>
        <v>3.173953</v>
      </c>
      <c r="AR39" s="240" cm="1">
        <f t="array" ref="AR39">pareto($M34:$M39,$N34:$N39,6,"rate",$AR$1,$AO35,$AO37)</f>
        <v>43.006185567010299</v>
      </c>
      <c r="AS39" s="240" cm="1">
        <f t="array" ref="AS39">pareto($M34:$M39,$N34:$N39,6,"dist",$AR$1,$AO35,$AO37)</f>
        <v>3.173953</v>
      </c>
      <c r="AT39" s="240"/>
      <c r="AU39" s="240"/>
    </row>
    <row r="40" spans="1:47" ht="12" customHeight="1" x14ac:dyDescent="0.25">
      <c r="A40" s="74"/>
      <c r="B40" s="132" t="s">
        <v>67</v>
      </c>
      <c r="C40" s="106" t="s">
        <v>250</v>
      </c>
      <c r="D40" s="268">
        <v>833.41023259999997</v>
      </c>
      <c r="E40" s="268">
        <v>43.65916</v>
      </c>
      <c r="F40" s="83"/>
      <c r="G40" s="83"/>
      <c r="H40" s="83"/>
      <c r="I40" s="83"/>
      <c r="J40" s="83"/>
      <c r="K40" s="83"/>
      <c r="L40" s="110"/>
      <c r="M40" s="267">
        <v>833.410232558139</v>
      </c>
      <c r="N40" s="267">
        <v>43.65916</v>
      </c>
      <c r="O40" s="83"/>
      <c r="P40" s="83"/>
      <c r="Q40" s="83"/>
      <c r="R40" s="83"/>
      <c r="S40" s="83"/>
      <c r="T40" s="83"/>
      <c r="U40" s="85" t="e">
        <f t="shared" si="0"/>
        <v>#DIV/0!</v>
      </c>
      <c r="V40" s="87" t="e">
        <f t="shared" si="0"/>
        <v>#DIV/0!</v>
      </c>
      <c r="W40" s="118"/>
      <c r="X40" s="122">
        <f>bdRateExtend($D40:$D45,$E40:$E45,$M40:$M45,$N40:$N45)</f>
        <v>-8.2406081958197319E-11</v>
      </c>
      <c r="Y40" s="14">
        <f t="shared" si="1"/>
        <v>-1.2859824316535651E-10</v>
      </c>
      <c r="Z40" s="14">
        <f t="shared" si="2"/>
        <v>-9.0558005538809994E-11</v>
      </c>
      <c r="AA40" s="14">
        <f t="shared" si="3"/>
        <v>-6.0710325655577435E-11</v>
      </c>
      <c r="AB40" s="14">
        <f t="shared" si="4"/>
        <v>-1.4907208800707394E-10</v>
      </c>
      <c r="AC40" s="14">
        <f t="shared" si="5"/>
        <v>-1.0790524029857806E-10</v>
      </c>
      <c r="AD40" s="34" cm="1">
        <f t="array" ref="AD40">bdRatePareto(AP40:AP45,AQ40:AQ45,AR40:AR45,AS40:AS45)</f>
        <v>-8.2406081958197319E-11</v>
      </c>
      <c r="AE40" s="14" t="e">
        <f>bdRateExtend($D40:$D45,F40:F45,$M40:$M45,O40:O45)</f>
        <v>#VALUE!</v>
      </c>
      <c r="AF40" s="14" t="e">
        <f>bdRateExtend($D40:$D45,G40:G45,$M40:$M45,P40:P45)</f>
        <v>#VALUE!</v>
      </c>
      <c r="AG40" s="15" t="e">
        <f>bdRateExtend($D40:$D45,H40:H45,$M40:$M45,Q40:Q45)</f>
        <v>#VALUE!</v>
      </c>
      <c r="AH40" s="72">
        <f>bdPSNRExtend($D40:$D45,$E40:$E45,$M40:$M45,$N40:$N45)</f>
        <v>7.0894159231807242E-10</v>
      </c>
      <c r="AO40" s="240" t="s">
        <v>213</v>
      </c>
      <c r="AP40" s="240" cm="1">
        <f t="array" ref="AP40">pareto($D40:$D45,$E40:$E45,1,"rate",$AR$1,$AO41,$AO43)</f>
        <v>833.41023259999997</v>
      </c>
      <c r="AQ40" s="240" cm="1">
        <f t="array" ref="AQ40">pareto($D40:$D45,$E40:$E45,1,"dist",$AR$1,$AO41,$AO43)</f>
        <v>43.65916</v>
      </c>
      <c r="AR40" s="240" cm="1">
        <f t="array" ref="AR40">pareto($M40:$M45,$N40:$N45,1,"rate",$AR$1,$AO41,$AO43)</f>
        <v>833.410232558139</v>
      </c>
      <c r="AS40" s="240" cm="1">
        <f t="array" ref="AS40">pareto($M40:$M45,$N40:$N45,1,"dist",$AR$1,$AO41,$AO43)</f>
        <v>43.65916</v>
      </c>
      <c r="AT40" s="240"/>
      <c r="AU40" s="240"/>
    </row>
    <row r="41" spans="1:47" ht="12" customHeight="1" x14ac:dyDescent="0.25">
      <c r="A41" s="74"/>
      <c r="B41" s="133"/>
      <c r="C41" s="107" t="s">
        <v>251</v>
      </c>
      <c r="D41" s="268">
        <v>436.45767439999997</v>
      </c>
      <c r="E41" s="268">
        <v>41.473875999999997</v>
      </c>
      <c r="F41" s="86"/>
      <c r="G41" s="86"/>
      <c r="H41" s="86"/>
      <c r="I41" s="86"/>
      <c r="J41" s="86"/>
      <c r="K41" s="86"/>
      <c r="L41" s="110"/>
      <c r="M41" s="267">
        <v>436.45767441860397</v>
      </c>
      <c r="N41" s="267">
        <v>41.473875999999997</v>
      </c>
      <c r="O41" s="86"/>
      <c r="P41" s="86"/>
      <c r="Q41" s="86"/>
      <c r="R41" s="86"/>
      <c r="S41" s="86"/>
      <c r="T41" s="86"/>
      <c r="U41" s="85" t="e">
        <f t="shared" si="0"/>
        <v>#DIV/0!</v>
      </c>
      <c r="V41" s="87" t="e">
        <f t="shared" si="0"/>
        <v>#DIV/0!</v>
      </c>
      <c r="W41" s="118"/>
      <c r="X41" s="98"/>
      <c r="Y41" s="99"/>
      <c r="Z41" s="99"/>
      <c r="AA41" s="99"/>
      <c r="AB41" s="99"/>
      <c r="AC41" s="99"/>
      <c r="AD41" s="99"/>
      <c r="AE41" s="99"/>
      <c r="AF41" s="99"/>
      <c r="AG41" s="100"/>
      <c r="AH41" s="110"/>
      <c r="AO41" s="240">
        <v>45.630575</v>
      </c>
      <c r="AP41" s="240" cm="1">
        <f t="array" ref="AP41">pareto($D40:$D45,$E40:$E45,2,"rate",$AR$1,$AO41,$AO43)</f>
        <v>436.45767439999997</v>
      </c>
      <c r="AQ41" s="240" cm="1">
        <f t="array" ref="AQ41">pareto($D40:$D45,$E40:$E45,2,"dist",$AR$1,$AO41,$AO43)</f>
        <v>41.473875999999997</v>
      </c>
      <c r="AR41" s="240" cm="1">
        <f t="array" ref="AR41">pareto($M40:$M45,$N40:$N45,2,"rate",$AR$1,$AO41,$AO43)</f>
        <v>436.45767441860397</v>
      </c>
      <c r="AS41" s="240" cm="1">
        <f t="array" ref="AS41">pareto($M40:$M45,$N40:$N45,2,"dist",$AR$1,$AO41,$AO43)</f>
        <v>41.473875999999997</v>
      </c>
      <c r="AT41" s="240"/>
      <c r="AU41" s="240"/>
    </row>
    <row r="42" spans="1:47" ht="12" customHeight="1" x14ac:dyDescent="0.25">
      <c r="A42" s="74"/>
      <c r="B42" s="133"/>
      <c r="C42" s="107" t="s">
        <v>252</v>
      </c>
      <c r="D42" s="268">
        <v>234.77953489999999</v>
      </c>
      <c r="E42" s="268">
        <v>37.508572999999998</v>
      </c>
      <c r="F42" s="86"/>
      <c r="G42" s="86"/>
      <c r="H42" s="86"/>
      <c r="I42" s="86"/>
      <c r="J42" s="86"/>
      <c r="K42" s="86"/>
      <c r="L42" s="110"/>
      <c r="M42" s="267">
        <v>234.77953488372</v>
      </c>
      <c r="N42" s="267">
        <v>37.508572999999998</v>
      </c>
      <c r="O42" s="86"/>
      <c r="P42" s="86"/>
      <c r="Q42" s="86"/>
      <c r="R42" s="86"/>
      <c r="S42" s="86"/>
      <c r="T42" s="86"/>
      <c r="U42" s="85" t="e">
        <f t="shared" si="0"/>
        <v>#DIV/0!</v>
      </c>
      <c r="V42" s="87" t="e">
        <f t="shared" si="0"/>
        <v>#DIV/0!</v>
      </c>
      <c r="W42" s="118"/>
      <c r="X42" s="98"/>
      <c r="Y42" s="99"/>
      <c r="Z42" s="99"/>
      <c r="AA42" s="99"/>
      <c r="AB42" s="99"/>
      <c r="AC42" s="99"/>
      <c r="AD42" s="99"/>
      <c r="AE42" s="99"/>
      <c r="AF42" s="99"/>
      <c r="AG42" s="100"/>
      <c r="AH42" s="110"/>
      <c r="AO42" s="240" t="s">
        <v>44</v>
      </c>
      <c r="AP42" s="240" cm="1">
        <f t="array" ref="AP42">pareto($D40:$D45,$E40:$E45,3,"rate",$AR$1,$AO41,$AO43)</f>
        <v>234.77953489999999</v>
      </c>
      <c r="AQ42" s="240" cm="1">
        <f t="array" ref="AQ42">pareto($D40:$D45,$E40:$E45,3,"dist",$AR$1,$AO41,$AO43)</f>
        <v>37.508572999999998</v>
      </c>
      <c r="AR42" s="240" cm="1">
        <f t="array" ref="AR42">pareto($M40:$M45,$N40:$N45,3,"rate",$AR$1,$AO41,$AO43)</f>
        <v>234.77953488372</v>
      </c>
      <c r="AS42" s="240" cm="1">
        <f t="array" ref="AS42">pareto($M40:$M45,$N40:$N45,3,"dist",$AR$1,$AO41,$AO43)</f>
        <v>37.508572999999998</v>
      </c>
      <c r="AT42" s="240"/>
      <c r="AU42" s="240"/>
    </row>
    <row r="43" spans="1:47" ht="12" customHeight="1" x14ac:dyDescent="0.25">
      <c r="A43" s="74"/>
      <c r="B43" s="133"/>
      <c r="C43" s="107" t="s">
        <v>253</v>
      </c>
      <c r="D43" s="268">
        <v>124.2790698</v>
      </c>
      <c r="E43" s="268">
        <v>33.63588</v>
      </c>
      <c r="F43" s="86"/>
      <c r="G43" s="86"/>
      <c r="H43" s="86"/>
      <c r="I43" s="86"/>
      <c r="J43" s="86"/>
      <c r="K43" s="86"/>
      <c r="L43" s="110"/>
      <c r="M43" s="267">
        <v>124.279069767441</v>
      </c>
      <c r="N43" s="267">
        <v>33.63588</v>
      </c>
      <c r="O43" s="86"/>
      <c r="P43" s="86"/>
      <c r="Q43" s="86"/>
      <c r="R43" s="86"/>
      <c r="S43" s="86"/>
      <c r="T43" s="86"/>
      <c r="U43" s="85" t="e">
        <f t="shared" si="0"/>
        <v>#DIV/0!</v>
      </c>
      <c r="V43" s="87" t="e">
        <f t="shared" si="0"/>
        <v>#DIV/0!</v>
      </c>
      <c r="W43" s="118"/>
      <c r="X43" s="98"/>
      <c r="Y43" s="99"/>
      <c r="Z43" s="99"/>
      <c r="AA43" s="99"/>
      <c r="AB43" s="99"/>
      <c r="AC43" s="99"/>
      <c r="AD43" s="99"/>
      <c r="AE43" s="99"/>
      <c r="AF43" s="99"/>
      <c r="AG43" s="100"/>
      <c r="AH43" s="110"/>
      <c r="AO43" s="240">
        <v>20</v>
      </c>
      <c r="AP43" s="240" cm="1">
        <f t="array" ref="AP43">pareto($D40:$D45,$E40:$E45,4,"rate",$AR$1,$AO41,$AO43)</f>
        <v>124.2790698</v>
      </c>
      <c r="AQ43" s="240" cm="1">
        <f t="array" ref="AQ43">pareto($D40:$D45,$E40:$E45,4,"dist",$AR$1,$AO41,$AO43)</f>
        <v>33.63588</v>
      </c>
      <c r="AR43" s="240" cm="1">
        <f t="array" ref="AR43">pareto($M40:$M45,$N40:$N45,4,"rate",$AR$1,$AO41,$AO43)</f>
        <v>124.279069767441</v>
      </c>
      <c r="AS43" s="240" cm="1">
        <f t="array" ref="AS43">pareto($M40:$M45,$N40:$N45,4,"dist",$AR$1,$AO41,$AO43)</f>
        <v>33.63588</v>
      </c>
      <c r="AT43" s="240"/>
      <c r="AU43" s="240"/>
    </row>
    <row r="44" spans="1:47" ht="12" customHeight="1" x14ac:dyDescent="0.25">
      <c r="A44" s="74"/>
      <c r="B44" s="133"/>
      <c r="C44" s="107" t="s">
        <v>254</v>
      </c>
      <c r="D44" s="268">
        <v>62.969302329999998</v>
      </c>
      <c r="E44" s="268">
        <v>26.234352000000001</v>
      </c>
      <c r="F44" s="86"/>
      <c r="G44" s="86"/>
      <c r="H44" s="86"/>
      <c r="I44" s="86"/>
      <c r="J44" s="86"/>
      <c r="K44" s="86"/>
      <c r="L44" s="110"/>
      <c r="M44" s="267">
        <v>62.969302325581303</v>
      </c>
      <c r="N44" s="267">
        <v>26.234352000000001</v>
      </c>
      <c r="O44" s="86"/>
      <c r="P44" s="86"/>
      <c r="Q44" s="86"/>
      <c r="R44" s="86"/>
      <c r="S44" s="86"/>
      <c r="T44" s="86"/>
      <c r="U44" s="85" t="e">
        <f t="shared" si="0"/>
        <v>#DIV/0!</v>
      </c>
      <c r="V44" s="87" t="e">
        <f t="shared" si="0"/>
        <v>#DIV/0!</v>
      </c>
      <c r="W44" s="118"/>
      <c r="X44" s="98"/>
      <c r="Y44" s="99"/>
      <c r="Z44" s="99"/>
      <c r="AA44" s="99"/>
      <c r="AB44" s="99"/>
      <c r="AC44" s="99"/>
      <c r="AD44" s="99"/>
      <c r="AE44" s="99"/>
      <c r="AF44" s="99"/>
      <c r="AG44" s="100"/>
      <c r="AH44" s="110"/>
      <c r="AO44" s="240"/>
      <c r="AP44" s="240" cm="1">
        <f t="array" ref="AP44">pareto($D40:$D45,$E40:$E45,5,"rate",$AR$1,$AO41,$AO43)</f>
        <v>62.969302329999998</v>
      </c>
      <c r="AQ44" s="240" cm="1">
        <f t="array" ref="AQ44">pareto($D40:$D45,$E40:$E45,5,"dist",$AR$1,$AO41,$AO43)</f>
        <v>26.234352000000001</v>
      </c>
      <c r="AR44" s="240" cm="1">
        <f t="array" ref="AR44">pareto($M40:$M45,$N40:$N45,5,"rate",$AR$1,$AO41,$AO43)</f>
        <v>62.969302325581303</v>
      </c>
      <c r="AS44" s="240" cm="1">
        <f t="array" ref="AS44">pareto($M40:$M45,$N40:$N45,5,"dist",$AR$1,$AO41,$AO43)</f>
        <v>26.234352000000001</v>
      </c>
      <c r="AT44" s="240"/>
      <c r="AU44" s="240"/>
    </row>
    <row r="45" spans="1:47" ht="12" customHeight="1" thickBot="1" x14ac:dyDescent="0.3">
      <c r="A45" s="74"/>
      <c r="B45" s="134"/>
      <c r="C45" s="108" t="s">
        <v>255</v>
      </c>
      <c r="D45" s="268">
        <v>30.701395349999999</v>
      </c>
      <c r="E45" s="268">
        <v>15.582312</v>
      </c>
      <c r="F45" s="94"/>
      <c r="G45" s="94"/>
      <c r="H45" s="94"/>
      <c r="I45" s="94"/>
      <c r="J45" s="94"/>
      <c r="K45" s="94"/>
      <c r="L45" s="110"/>
      <c r="M45" s="267">
        <v>30.701395348837199</v>
      </c>
      <c r="N45" s="267">
        <v>15.582312</v>
      </c>
      <c r="O45" s="94"/>
      <c r="P45" s="94"/>
      <c r="Q45" s="94"/>
      <c r="R45" s="94"/>
      <c r="S45" s="94"/>
      <c r="T45" s="94"/>
      <c r="U45" s="85" t="e">
        <f t="shared" si="0"/>
        <v>#DIV/0!</v>
      </c>
      <c r="V45" s="87" t="e">
        <f t="shared" si="0"/>
        <v>#DIV/0!</v>
      </c>
      <c r="W45" s="118"/>
      <c r="X45" s="101"/>
      <c r="Y45" s="102"/>
      <c r="Z45" s="102"/>
      <c r="AA45" s="102"/>
      <c r="AB45" s="102"/>
      <c r="AC45" s="102"/>
      <c r="AD45" s="102"/>
      <c r="AE45" s="102"/>
      <c r="AF45" s="102"/>
      <c r="AG45" s="103"/>
      <c r="AH45" s="111"/>
      <c r="AO45" s="240"/>
      <c r="AP45" s="240" cm="1">
        <f t="array" ref="AP45">pareto($D40:$D45,$E40:$E45,6,"rate",$AR$1,$AO41,$AO43)</f>
        <v>30.701395349999999</v>
      </c>
      <c r="AQ45" s="240" cm="1">
        <f t="array" ref="AQ45">pareto($D40:$D45,$E40:$E45,6,"dist",$AR$1,$AO41,$AO43)</f>
        <v>15.582312</v>
      </c>
      <c r="AR45" s="240" cm="1">
        <f t="array" ref="AR45">pareto($M40:$M45,$N40:$N45,6,"rate",$AR$1,$AO41,$AO43)</f>
        <v>30.701395348837199</v>
      </c>
      <c r="AS45" s="240" cm="1">
        <f t="array" ref="AS45">pareto($M40:$M45,$N40:$N45,6,"dist",$AR$1,$AO41,$AO43)</f>
        <v>15.582312</v>
      </c>
      <c r="AT45" s="240"/>
      <c r="AU45" s="240"/>
    </row>
    <row r="46" spans="1:47" ht="12" customHeight="1" x14ac:dyDescent="0.25">
      <c r="A46" s="74"/>
      <c r="B46" s="132" t="s">
        <v>68</v>
      </c>
      <c r="C46" s="106" t="s">
        <v>250</v>
      </c>
      <c r="D46" s="268">
        <v>421.66597940000003</v>
      </c>
      <c r="E46" s="268">
        <v>65.719301000000002</v>
      </c>
      <c r="F46" s="83"/>
      <c r="G46" s="83"/>
      <c r="H46" s="83"/>
      <c r="I46" s="83"/>
      <c r="J46" s="83"/>
      <c r="K46" s="83"/>
      <c r="L46" s="110"/>
      <c r="M46" s="267">
        <v>421.66597938144298</v>
      </c>
      <c r="N46" s="267">
        <v>65.719301000000002</v>
      </c>
      <c r="O46" s="83"/>
      <c r="P46" s="83"/>
      <c r="Q46" s="83"/>
      <c r="R46" s="83"/>
      <c r="S46" s="83"/>
      <c r="T46" s="83"/>
      <c r="U46" s="85" t="e">
        <f t="shared" si="0"/>
        <v>#DIV/0!</v>
      </c>
      <c r="V46" s="87" t="e">
        <f t="shared" si="0"/>
        <v>#DIV/0!</v>
      </c>
      <c r="W46" s="118"/>
      <c r="X46" s="122">
        <f>bdRateExtend($D46:$D51,$E46:$E51,$M46:$M51,$N46:$N51)</f>
        <v>-1.3489209749195652E-12</v>
      </c>
      <c r="Y46" s="14">
        <f t="shared" si="1"/>
        <v>-2.8128610551902966E-12</v>
      </c>
      <c r="Z46" s="14">
        <f t="shared" si="2"/>
        <v>-2.7005064850982308E-12</v>
      </c>
      <c r="AA46" s="14">
        <f t="shared" si="3"/>
        <v>-2.2675417099549122E-11</v>
      </c>
      <c r="AB46" s="14">
        <f t="shared" si="4"/>
        <v>-4.5281556282361635E-12</v>
      </c>
      <c r="AC46" s="14">
        <f t="shared" si="5"/>
        <v>1.5891732374484491E-12</v>
      </c>
      <c r="AD46" s="34" cm="1">
        <f t="array" ref="AD46">bdRatePareto(AP46:AP51,AQ46:AQ51,AR46:AR51,AS46:AS51)</f>
        <v>-1.3489209749195652E-12</v>
      </c>
      <c r="AE46" s="14" t="e">
        <f>bdRateExtend($D46:$D51,F46:F51,$M46:$M51,O46:O51)</f>
        <v>#VALUE!</v>
      </c>
      <c r="AF46" s="14" t="e">
        <f>bdRateExtend($D46:$D51,G46:G51,$M46:$M51,P46:P51)</f>
        <v>#VALUE!</v>
      </c>
      <c r="AG46" s="15" t="e">
        <f>bdRateExtend($D46:$D51,H46:H51,$M46:$M51,Q46:Q51)</f>
        <v>#VALUE!</v>
      </c>
      <c r="AH46" s="72">
        <f>bdPSNRExtend($D46:$D51,$E46:$E51,$M46:$M51,$N46:$N51)</f>
        <v>5.4815577631897368E-11</v>
      </c>
      <c r="AO46" s="240" t="s">
        <v>213</v>
      </c>
      <c r="AP46" s="240" cm="1">
        <f t="array" ref="AP46">pareto($D46:$D51,$E46:$E51,1,"rate",$AR$1,$AO47,$AO49)</f>
        <v>421.66597940000003</v>
      </c>
      <c r="AQ46" s="240" cm="1">
        <f t="array" ref="AQ46">pareto($D46:$D51,$E46:$E51,1,"dist",$AR$1,$AO47,$AO49)</f>
        <v>65.719301000000002</v>
      </c>
      <c r="AR46" s="240" cm="1">
        <f t="array" ref="AR46">pareto($M46:$M51,$N46:$N51,1,"rate",$AR$1,$AO47,$AO49)</f>
        <v>421.66597938144298</v>
      </c>
      <c r="AS46" s="240" cm="1">
        <f t="array" ref="AS46">pareto($M46:$M51,$N46:$N51,1,"dist",$AR$1,$AO47,$AO49)</f>
        <v>65.719301000000002</v>
      </c>
      <c r="AT46" s="240"/>
      <c r="AU46" s="240"/>
    </row>
    <row r="47" spans="1:47" ht="12" customHeight="1" x14ac:dyDescent="0.25">
      <c r="A47" s="74"/>
      <c r="B47" s="133"/>
      <c r="C47" s="107" t="s">
        <v>251</v>
      </c>
      <c r="D47" s="268">
        <v>278.51958760000002</v>
      </c>
      <c r="E47" s="268">
        <v>62.50235</v>
      </c>
      <c r="F47" s="86"/>
      <c r="G47" s="86"/>
      <c r="H47" s="86"/>
      <c r="I47" s="86"/>
      <c r="J47" s="86"/>
      <c r="K47" s="86"/>
      <c r="L47" s="110"/>
      <c r="M47" s="267">
        <v>278.519587628865</v>
      </c>
      <c r="N47" s="267">
        <v>62.50235</v>
      </c>
      <c r="O47" s="86"/>
      <c r="P47" s="86"/>
      <c r="Q47" s="86"/>
      <c r="R47" s="86"/>
      <c r="S47" s="86"/>
      <c r="T47" s="86"/>
      <c r="U47" s="85" t="e">
        <f t="shared" si="0"/>
        <v>#DIV/0!</v>
      </c>
      <c r="V47" s="87" t="e">
        <f t="shared" si="0"/>
        <v>#DIV/0!</v>
      </c>
      <c r="W47" s="118"/>
      <c r="X47" s="98"/>
      <c r="Y47" s="99"/>
      <c r="Z47" s="99"/>
      <c r="AA47" s="99"/>
      <c r="AB47" s="99"/>
      <c r="AC47" s="99"/>
      <c r="AD47" s="99"/>
      <c r="AE47" s="99"/>
      <c r="AF47" s="99"/>
      <c r="AG47" s="100"/>
      <c r="AH47" s="110"/>
      <c r="AO47" s="240">
        <v>70.180002000000002</v>
      </c>
      <c r="AP47" s="240" cm="1">
        <f t="array" ref="AP47">pareto($D46:$D51,$E46:$E51,2,"rate",$AR$1,$AO47,$AO49)</f>
        <v>278.51958760000002</v>
      </c>
      <c r="AQ47" s="240" cm="1">
        <f t="array" ref="AQ47">pareto($D46:$D51,$E46:$E51,2,"dist",$AR$1,$AO47,$AO49)</f>
        <v>62.50235</v>
      </c>
      <c r="AR47" s="240" cm="1">
        <f t="array" ref="AR47">pareto($M46:$M51,$N46:$N51,2,"rate",$AR$1,$AO47,$AO49)</f>
        <v>278.519587628865</v>
      </c>
      <c r="AS47" s="240" cm="1">
        <f t="array" ref="AS47">pareto($M46:$M51,$N46:$N51,2,"dist",$AR$1,$AO47,$AO49)</f>
        <v>62.50235</v>
      </c>
      <c r="AT47" s="240"/>
      <c r="AU47" s="240"/>
    </row>
    <row r="48" spans="1:47" ht="12" customHeight="1" x14ac:dyDescent="0.25">
      <c r="A48" s="74"/>
      <c r="B48" s="133"/>
      <c r="C48" s="107" t="s">
        <v>252</v>
      </c>
      <c r="D48" s="268">
        <v>139.11752580000001</v>
      </c>
      <c r="E48" s="268">
        <v>51.439256</v>
      </c>
      <c r="F48" s="86"/>
      <c r="G48" s="86"/>
      <c r="H48" s="86"/>
      <c r="I48" s="86"/>
      <c r="J48" s="86"/>
      <c r="K48" s="86"/>
      <c r="L48" s="110"/>
      <c r="M48" s="267">
        <v>139.11752577319501</v>
      </c>
      <c r="N48" s="267">
        <v>51.439256</v>
      </c>
      <c r="O48" s="86"/>
      <c r="P48" s="86"/>
      <c r="Q48" s="86"/>
      <c r="R48" s="86"/>
      <c r="S48" s="86"/>
      <c r="T48" s="86"/>
      <c r="U48" s="85" t="e">
        <f t="shared" si="0"/>
        <v>#DIV/0!</v>
      </c>
      <c r="V48" s="87" t="e">
        <f t="shared" si="0"/>
        <v>#DIV/0!</v>
      </c>
      <c r="W48" s="118"/>
      <c r="X48" s="98"/>
      <c r="Y48" s="99"/>
      <c r="Z48" s="99"/>
      <c r="AA48" s="99"/>
      <c r="AB48" s="99"/>
      <c r="AC48" s="99"/>
      <c r="AD48" s="99"/>
      <c r="AE48" s="99"/>
      <c r="AF48" s="99"/>
      <c r="AG48" s="100"/>
      <c r="AH48" s="110"/>
      <c r="AO48" s="240" t="s">
        <v>44</v>
      </c>
      <c r="AP48" s="240" cm="1">
        <f t="array" ref="AP48">pareto($D46:$D51,$E46:$E51,3,"rate",$AR$1,$AO47,$AO49)</f>
        <v>139.11752580000001</v>
      </c>
      <c r="AQ48" s="240" cm="1">
        <f t="array" ref="AQ48">pareto($D46:$D51,$E46:$E51,3,"dist",$AR$1,$AO47,$AO49)</f>
        <v>51.439256</v>
      </c>
      <c r="AR48" s="240" cm="1">
        <f t="array" ref="AR48">pareto($M46:$M51,$N46:$N51,3,"rate",$AR$1,$AO47,$AO49)</f>
        <v>139.11752577319501</v>
      </c>
      <c r="AS48" s="240" cm="1">
        <f t="array" ref="AS48">pareto($M46:$M51,$N46:$N51,3,"dist",$AR$1,$AO47,$AO49)</f>
        <v>51.439256</v>
      </c>
      <c r="AT48" s="240"/>
      <c r="AU48" s="240"/>
    </row>
    <row r="49" spans="1:47" ht="12" customHeight="1" x14ac:dyDescent="0.25">
      <c r="A49" s="74"/>
      <c r="B49" s="133"/>
      <c r="C49" s="107" t="s">
        <v>253</v>
      </c>
      <c r="D49" s="268">
        <v>76.57319588</v>
      </c>
      <c r="E49" s="268">
        <v>49.519672</v>
      </c>
      <c r="F49" s="86"/>
      <c r="G49" s="86"/>
      <c r="H49" s="86"/>
      <c r="I49" s="86"/>
      <c r="J49" s="86"/>
      <c r="K49" s="86"/>
      <c r="L49" s="110"/>
      <c r="M49" s="267">
        <v>76.573195876288594</v>
      </c>
      <c r="N49" s="267">
        <v>49.519672</v>
      </c>
      <c r="O49" s="86"/>
      <c r="P49" s="86"/>
      <c r="Q49" s="86"/>
      <c r="R49" s="86"/>
      <c r="S49" s="86"/>
      <c r="T49" s="86"/>
      <c r="U49" s="85" t="e">
        <f t="shared" si="0"/>
        <v>#DIV/0!</v>
      </c>
      <c r="V49" s="87" t="e">
        <f t="shared" si="0"/>
        <v>#DIV/0!</v>
      </c>
      <c r="W49" s="118"/>
      <c r="X49" s="98"/>
      <c r="Y49" s="99"/>
      <c r="Z49" s="99"/>
      <c r="AA49" s="99"/>
      <c r="AB49" s="99"/>
      <c r="AC49" s="99"/>
      <c r="AD49" s="99"/>
      <c r="AE49" s="99"/>
      <c r="AF49" s="99"/>
      <c r="AG49" s="100"/>
      <c r="AH49" s="110"/>
      <c r="AO49" s="240">
        <v>20</v>
      </c>
      <c r="AP49" s="240" cm="1">
        <f t="array" ref="AP49">pareto($D46:$D51,$E46:$E51,4,"rate",$AR$1,$AO47,$AO49)</f>
        <v>76.57319588</v>
      </c>
      <c r="AQ49" s="240" cm="1">
        <f t="array" ref="AQ49">pareto($D46:$D51,$E46:$E51,4,"dist",$AR$1,$AO47,$AO49)</f>
        <v>49.519672</v>
      </c>
      <c r="AR49" s="240" cm="1">
        <f t="array" ref="AR49">pareto($M46:$M51,$N46:$N51,4,"rate",$AR$1,$AO47,$AO49)</f>
        <v>76.573195876288594</v>
      </c>
      <c r="AS49" s="240" cm="1">
        <f t="array" ref="AS49">pareto($M46:$M51,$N46:$N51,4,"dist",$AR$1,$AO47,$AO49)</f>
        <v>49.519672</v>
      </c>
      <c r="AT49" s="240"/>
      <c r="AU49" s="240"/>
    </row>
    <row r="50" spans="1:47" ht="12" customHeight="1" x14ac:dyDescent="0.25">
      <c r="A50" s="74"/>
      <c r="B50" s="133"/>
      <c r="C50" s="107" t="s">
        <v>254</v>
      </c>
      <c r="D50" s="268">
        <v>40.680412369999999</v>
      </c>
      <c r="E50" s="268">
        <v>20.619069</v>
      </c>
      <c r="F50" s="86"/>
      <c r="G50" s="86"/>
      <c r="H50" s="86"/>
      <c r="I50" s="86"/>
      <c r="J50" s="86"/>
      <c r="K50" s="86"/>
      <c r="L50" s="110"/>
      <c r="M50" s="267">
        <v>40.680412371133997</v>
      </c>
      <c r="N50" s="267">
        <v>20.619069</v>
      </c>
      <c r="O50" s="86"/>
      <c r="P50" s="86"/>
      <c r="Q50" s="86"/>
      <c r="R50" s="86"/>
      <c r="S50" s="86"/>
      <c r="T50" s="86"/>
      <c r="U50" s="85" t="e">
        <f t="shared" si="0"/>
        <v>#DIV/0!</v>
      </c>
      <c r="V50" s="87" t="e">
        <f t="shared" si="0"/>
        <v>#DIV/0!</v>
      </c>
      <c r="W50" s="118"/>
      <c r="X50" s="98"/>
      <c r="Y50" s="99"/>
      <c r="Z50" s="99"/>
      <c r="AA50" s="99"/>
      <c r="AB50" s="99"/>
      <c r="AC50" s="99"/>
      <c r="AD50" s="99"/>
      <c r="AE50" s="99"/>
      <c r="AF50" s="99"/>
      <c r="AG50" s="100"/>
      <c r="AH50" s="110"/>
      <c r="AO50" s="240"/>
      <c r="AP50" s="240" cm="1">
        <f t="array" ref="AP50">pareto($D46:$D51,$E46:$E51,5,"rate",$AR$1,$AO47,$AO49)</f>
        <v>40.680412369999999</v>
      </c>
      <c r="AQ50" s="240" cm="1">
        <f t="array" ref="AQ50">pareto($D46:$D51,$E46:$E51,5,"dist",$AR$1,$AO47,$AO49)</f>
        <v>20.619069</v>
      </c>
      <c r="AR50" s="240" cm="1">
        <f t="array" ref="AR50">pareto($M46:$M51,$N46:$N51,5,"rate",$AR$1,$AO47,$AO49)</f>
        <v>40.680412371133997</v>
      </c>
      <c r="AS50" s="240" cm="1">
        <f t="array" ref="AS50">pareto($M46:$M51,$N46:$N51,5,"dist",$AR$1,$AO47,$AO49)</f>
        <v>20.619069</v>
      </c>
      <c r="AT50" s="240"/>
      <c r="AU50" s="240"/>
    </row>
    <row r="51" spans="1:47" ht="12" customHeight="1" thickBot="1" x14ac:dyDescent="0.3">
      <c r="A51" s="74"/>
      <c r="B51" s="134"/>
      <c r="C51" s="108" t="s">
        <v>255</v>
      </c>
      <c r="D51" s="268">
        <v>17.880412369999998</v>
      </c>
      <c r="E51" s="268">
        <v>12.834391999999999</v>
      </c>
      <c r="F51" s="94"/>
      <c r="G51" s="94"/>
      <c r="H51" s="94"/>
      <c r="I51" s="94"/>
      <c r="J51" s="94"/>
      <c r="K51" s="94"/>
      <c r="L51" s="110"/>
      <c r="M51" s="267">
        <v>17.880412371134</v>
      </c>
      <c r="N51" s="267">
        <v>12.834391999999999</v>
      </c>
      <c r="O51" s="94"/>
      <c r="P51" s="94"/>
      <c r="Q51" s="94"/>
      <c r="R51" s="94"/>
      <c r="S51" s="94"/>
      <c r="T51" s="94"/>
      <c r="U51" s="85" t="e">
        <f t="shared" si="0"/>
        <v>#DIV/0!</v>
      </c>
      <c r="V51" s="87" t="e">
        <f t="shared" si="0"/>
        <v>#DIV/0!</v>
      </c>
      <c r="W51" s="118"/>
      <c r="X51" s="101"/>
      <c r="Y51" s="102"/>
      <c r="Z51" s="102"/>
      <c r="AA51" s="102"/>
      <c r="AB51" s="102"/>
      <c r="AC51" s="102"/>
      <c r="AD51" s="102"/>
      <c r="AE51" s="102"/>
      <c r="AF51" s="102"/>
      <c r="AG51" s="103"/>
      <c r="AH51" s="111"/>
      <c r="AP51" s="240" cm="1">
        <f t="array" ref="AP51">pareto($D46:$D51,$E46:$E51,6,"rate",$AR$1,$AO47,$AO49)</f>
        <v>17.880412369999998</v>
      </c>
      <c r="AQ51" s="240" cm="1">
        <f t="array" ref="AQ51">pareto($D46:$D51,$E46:$E51,6,"dist",$AR$1,$AO47,$AO49)</f>
        <v>12.834391999999999</v>
      </c>
      <c r="AR51" s="240" cm="1">
        <f t="array" ref="AR51">pareto($M46:$M51,$N46:$N51,6,"rate",$AR$1,$AO47,$AO49)</f>
        <v>17.880412371134</v>
      </c>
      <c r="AS51" s="240" cm="1">
        <f t="array" ref="AS51">pareto($M46:$M51,$N46:$N51,6,"dist",$AR$1,$AO47,$AO49)</f>
        <v>12.834391999999999</v>
      </c>
    </row>
    <row r="52" spans="1:47" ht="12" customHeight="1" x14ac:dyDescent="0.25">
      <c r="A52" s="74"/>
      <c r="B52" s="132" t="s">
        <v>69</v>
      </c>
      <c r="C52" s="106" t="s">
        <v>250</v>
      </c>
      <c r="D52" s="268">
        <v>485.06584620000001</v>
      </c>
      <c r="E52" s="268">
        <v>43.061196000000002</v>
      </c>
      <c r="F52" s="83"/>
      <c r="G52" s="83"/>
      <c r="H52" s="83"/>
      <c r="I52" s="83"/>
      <c r="J52" s="83"/>
      <c r="K52" s="83"/>
      <c r="L52" s="110"/>
      <c r="M52" s="267">
        <v>485.065846153846</v>
      </c>
      <c r="N52" s="267">
        <v>42.995204000000001</v>
      </c>
      <c r="O52" s="83"/>
      <c r="P52" s="83"/>
      <c r="Q52" s="83"/>
      <c r="R52" s="83"/>
      <c r="S52" s="83"/>
      <c r="T52" s="83"/>
      <c r="U52" s="85" t="e">
        <f t="shared" si="0"/>
        <v>#DIV/0!</v>
      </c>
      <c r="V52" s="87" t="e">
        <f t="shared" si="0"/>
        <v>#DIV/0!</v>
      </c>
      <c r="W52" s="118"/>
      <c r="X52" s="122">
        <f>bdRateExtend($D52:$D57,$E52:$E57,$M52:$M57,$N52:$N57)</f>
        <v>4.6461789215945792E-4</v>
      </c>
      <c r="Y52" s="14">
        <f t="shared" si="1"/>
        <v>8.8236740525382551E-4</v>
      </c>
      <c r="Z52" s="14">
        <f t="shared" si="2"/>
        <v>-9.0454088663705079E-11</v>
      </c>
      <c r="AA52" s="14">
        <f t="shared" si="3"/>
        <v>9.7040617793364703E-4</v>
      </c>
      <c r="AB52" s="14">
        <f t="shared" si="4"/>
        <v>-1.416913253393659E-10</v>
      </c>
      <c r="AC52" s="14">
        <f t="shared" si="5"/>
        <v>-8.6546991795444228E-11</v>
      </c>
      <c r="AD52" s="34" cm="1">
        <f t="array" ref="AD52">bdRatePareto(AP52:AP57,AQ52:AQ57,AR52:AR57,AS52:AS57)</f>
        <v>4.6461789215945792E-4</v>
      </c>
      <c r="AE52" s="14" t="e">
        <f>bdRateExtend($D52:$D57,F52:F57,$M52:$M57,O52:O57)</f>
        <v>#VALUE!</v>
      </c>
      <c r="AF52" s="14" t="e">
        <f>bdRateExtend($D52:$D57,G52:G57,$M52:$M57,P52:P57)</f>
        <v>#VALUE!</v>
      </c>
      <c r="AG52" s="15" t="e">
        <f>bdRateExtend($D52:$D57,H52:H57,$M52:$M57,Q52:Q57)</f>
        <v>#VALUE!</v>
      </c>
      <c r="AH52" s="72">
        <f>bdPSNRExtend($D52:$D57,$E52:$E57,$M52:$M57,$N52:$N57)</f>
        <v>-6.4313286799471637E-3</v>
      </c>
      <c r="AO52" s="240" t="s">
        <v>213</v>
      </c>
      <c r="AP52" s="240" cm="1">
        <f t="array" ref="AP52">pareto($D52:$D57,$E52:$E57,1,"rate",$AR$1,$AO53,$AO55)</f>
        <v>485.06584620000001</v>
      </c>
      <c r="AQ52" s="240" cm="1">
        <f t="array" ref="AQ52">pareto($D52:$D57,$E52:$E57,1,"dist",$AR$1,$AO53,$AO55)</f>
        <v>43.061196000000002</v>
      </c>
      <c r="AR52" s="240" cm="1">
        <f t="array" ref="AR52">pareto($M52:$M57,$N52:$N57,1,"rate",$AR$1,$AO53,$AO55)</f>
        <v>485.065846153846</v>
      </c>
      <c r="AS52" s="240" cm="1">
        <f t="array" ref="AS52">pareto($M52:$M57,$N52:$N57,1,"dist",$AR$1,$AO53,$AO55)</f>
        <v>42.995204000000001</v>
      </c>
    </row>
    <row r="53" spans="1:47" ht="12" customHeight="1" x14ac:dyDescent="0.25">
      <c r="A53" s="74"/>
      <c r="B53" s="133"/>
      <c r="C53" s="107" t="s">
        <v>251</v>
      </c>
      <c r="D53" s="268">
        <v>249.48553849999999</v>
      </c>
      <c r="E53" s="268">
        <v>38.831066999999997</v>
      </c>
      <c r="F53" s="86"/>
      <c r="G53" s="86"/>
      <c r="H53" s="86"/>
      <c r="I53" s="86"/>
      <c r="J53" s="86"/>
      <c r="K53" s="86"/>
      <c r="L53" s="110"/>
      <c r="M53" s="267">
        <v>249.485538461538</v>
      </c>
      <c r="N53" s="267">
        <v>38.831066999999997</v>
      </c>
      <c r="O53" s="86"/>
      <c r="P53" s="86"/>
      <c r="Q53" s="86"/>
      <c r="R53" s="86"/>
      <c r="S53" s="86"/>
      <c r="T53" s="86"/>
      <c r="U53" s="85" t="e">
        <f t="shared" si="0"/>
        <v>#DIV/0!</v>
      </c>
      <c r="V53" s="87" t="e">
        <f t="shared" si="0"/>
        <v>#DIV/0!</v>
      </c>
      <c r="W53" s="118"/>
      <c r="X53" s="98"/>
      <c r="Y53" s="99"/>
      <c r="Z53" s="99"/>
      <c r="AA53" s="99"/>
      <c r="AB53" s="99"/>
      <c r="AC53" s="99"/>
      <c r="AD53" s="99"/>
      <c r="AE53" s="99"/>
      <c r="AF53" s="99"/>
      <c r="AG53" s="100"/>
      <c r="AH53" s="110"/>
      <c r="AO53" s="240">
        <v>51.641207000000001</v>
      </c>
      <c r="AP53" s="240" cm="1">
        <f t="array" ref="AP53">pareto($D52:$D57,$E52:$E57,2,"rate",$AR$1,$AO53,$AO55)</f>
        <v>249.48553849999999</v>
      </c>
      <c r="AQ53" s="240" cm="1">
        <f t="array" ref="AQ53">pareto($D52:$D57,$E52:$E57,2,"dist",$AR$1,$AO53,$AO55)</f>
        <v>38.831066999999997</v>
      </c>
      <c r="AR53" s="240" cm="1">
        <f t="array" ref="AR53">pareto($M52:$M57,$N52:$N57,2,"rate",$AR$1,$AO53,$AO55)</f>
        <v>249.485538461538</v>
      </c>
      <c r="AS53" s="240" cm="1">
        <f t="array" ref="AS53">pareto($M52:$M57,$N52:$N57,2,"dist",$AR$1,$AO53,$AO55)</f>
        <v>38.831066999999997</v>
      </c>
    </row>
    <row r="54" spans="1:47" ht="12" customHeight="1" x14ac:dyDescent="0.25">
      <c r="A54" s="74"/>
      <c r="B54" s="133"/>
      <c r="C54" s="107" t="s">
        <v>252</v>
      </c>
      <c r="D54" s="268">
        <v>171.52984620000001</v>
      </c>
      <c r="E54" s="268">
        <v>37.325367</v>
      </c>
      <c r="F54" s="86"/>
      <c r="G54" s="86"/>
      <c r="H54" s="86"/>
      <c r="I54" s="86"/>
      <c r="J54" s="86"/>
      <c r="K54" s="86"/>
      <c r="L54" s="110"/>
      <c r="M54" s="267">
        <v>171.52984615384599</v>
      </c>
      <c r="N54" s="267">
        <v>37.325367</v>
      </c>
      <c r="O54" s="86"/>
      <c r="P54" s="86"/>
      <c r="Q54" s="86"/>
      <c r="R54" s="86"/>
      <c r="S54" s="86"/>
      <c r="T54" s="86"/>
      <c r="U54" s="85" t="e">
        <f t="shared" si="0"/>
        <v>#DIV/0!</v>
      </c>
      <c r="V54" s="87" t="e">
        <f t="shared" si="0"/>
        <v>#DIV/0!</v>
      </c>
      <c r="W54" s="118"/>
      <c r="X54" s="98"/>
      <c r="Y54" s="99"/>
      <c r="Z54" s="99"/>
      <c r="AA54" s="99"/>
      <c r="AB54" s="99"/>
      <c r="AC54" s="99"/>
      <c r="AD54" s="99"/>
      <c r="AE54" s="99"/>
      <c r="AF54" s="99"/>
      <c r="AG54" s="100"/>
      <c r="AH54" s="110"/>
      <c r="AO54" s="240" t="s">
        <v>44</v>
      </c>
      <c r="AP54" s="240" cm="1">
        <f t="array" ref="AP54">pareto($D52:$D57,$E52:$E57,3,"rate",$AR$1,$AO53,$AO55)</f>
        <v>171.52984620000001</v>
      </c>
      <c r="AQ54" s="240" cm="1">
        <f t="array" ref="AQ54">pareto($D52:$D57,$E52:$E57,3,"dist",$AR$1,$AO53,$AO55)</f>
        <v>37.325367</v>
      </c>
      <c r="AR54" s="240" cm="1">
        <f t="array" ref="AR54">pareto($M52:$M57,$N52:$N57,3,"rate",$AR$1,$AO53,$AO55)</f>
        <v>171.52984615384599</v>
      </c>
      <c r="AS54" s="240" cm="1">
        <f t="array" ref="AS54">pareto($M52:$M57,$N52:$N57,3,"dist",$AR$1,$AO53,$AO55)</f>
        <v>37.325367</v>
      </c>
    </row>
    <row r="55" spans="1:47" ht="12" customHeight="1" x14ac:dyDescent="0.25">
      <c r="A55" s="74"/>
      <c r="B55" s="133"/>
      <c r="C55" s="107" t="s">
        <v>253</v>
      </c>
      <c r="D55" s="268">
        <v>103.056</v>
      </c>
      <c r="E55" s="268">
        <v>30.621013000000001</v>
      </c>
      <c r="F55" s="86"/>
      <c r="G55" s="86"/>
      <c r="H55" s="86"/>
      <c r="I55" s="86"/>
      <c r="J55" s="86"/>
      <c r="K55" s="86"/>
      <c r="L55" s="110"/>
      <c r="M55" s="267">
        <v>103.056</v>
      </c>
      <c r="N55" s="267">
        <v>30.621013000000001</v>
      </c>
      <c r="O55" s="86"/>
      <c r="P55" s="86"/>
      <c r="Q55" s="86"/>
      <c r="R55" s="86"/>
      <c r="S55" s="86"/>
      <c r="T55" s="86"/>
      <c r="U55" s="85" t="e">
        <f t="shared" si="0"/>
        <v>#DIV/0!</v>
      </c>
      <c r="V55" s="87" t="e">
        <f t="shared" si="0"/>
        <v>#DIV/0!</v>
      </c>
      <c r="W55" s="118"/>
      <c r="X55" s="98"/>
      <c r="Y55" s="99"/>
      <c r="Z55" s="99"/>
      <c r="AA55" s="99"/>
      <c r="AB55" s="99"/>
      <c r="AC55" s="99"/>
      <c r="AD55" s="99"/>
      <c r="AE55" s="99"/>
      <c r="AF55" s="99"/>
      <c r="AG55" s="100"/>
      <c r="AH55" s="110"/>
      <c r="AO55" s="240">
        <v>20</v>
      </c>
      <c r="AP55" s="240" cm="1">
        <f t="array" ref="AP55">pareto($D52:$D57,$E52:$E57,4,"rate",$AR$1,$AO53,$AO55)</f>
        <v>103.056</v>
      </c>
      <c r="AQ55" s="240" cm="1">
        <f t="array" ref="AQ55">pareto($D52:$D57,$E52:$E57,4,"dist",$AR$1,$AO53,$AO55)</f>
        <v>30.621013000000001</v>
      </c>
      <c r="AR55" s="240" cm="1">
        <f t="array" ref="AR55">pareto($M52:$M57,$N52:$N57,4,"rate",$AR$1,$AO53,$AO55)</f>
        <v>103.056</v>
      </c>
      <c r="AS55" s="240" cm="1">
        <f t="array" ref="AS55">pareto($M52:$M57,$N52:$N57,4,"dist",$AR$1,$AO53,$AO55)</f>
        <v>30.621013000000001</v>
      </c>
    </row>
    <row r="56" spans="1:47" ht="12" customHeight="1" x14ac:dyDescent="0.25">
      <c r="A56" s="74"/>
      <c r="B56" s="133"/>
      <c r="C56" s="107" t="s">
        <v>254</v>
      </c>
      <c r="D56" s="268">
        <v>61.982769230000002</v>
      </c>
      <c r="E56" s="268">
        <v>29.386969000000001</v>
      </c>
      <c r="F56" s="86"/>
      <c r="G56" s="86"/>
      <c r="H56" s="86"/>
      <c r="I56" s="86"/>
      <c r="J56" s="86"/>
      <c r="K56" s="86"/>
      <c r="L56" s="110"/>
      <c r="M56" s="267">
        <v>61.9827692307692</v>
      </c>
      <c r="N56" s="267">
        <v>29.386969000000001</v>
      </c>
      <c r="O56" s="86"/>
      <c r="P56" s="86"/>
      <c r="Q56" s="86"/>
      <c r="R56" s="86"/>
      <c r="S56" s="86"/>
      <c r="T56" s="86"/>
      <c r="U56" s="85" t="e">
        <f t="shared" si="0"/>
        <v>#DIV/0!</v>
      </c>
      <c r="V56" s="87" t="e">
        <f t="shared" si="0"/>
        <v>#DIV/0!</v>
      </c>
      <c r="W56" s="118"/>
      <c r="X56" s="98"/>
      <c r="Y56" s="99"/>
      <c r="Z56" s="99"/>
      <c r="AA56" s="99"/>
      <c r="AB56" s="99"/>
      <c r="AC56" s="99"/>
      <c r="AD56" s="99"/>
      <c r="AE56" s="99"/>
      <c r="AF56" s="99"/>
      <c r="AG56" s="100"/>
      <c r="AH56" s="110"/>
      <c r="AP56" s="240" cm="1">
        <f t="array" ref="AP56">pareto($D52:$D57,$E52:$E57,5,"rate",$AR$1,$AO53,$AO55)</f>
        <v>61.982769230000002</v>
      </c>
      <c r="AQ56" s="240" cm="1">
        <f t="array" ref="AQ56">pareto($D52:$D57,$E52:$E57,5,"dist",$AR$1,$AO53,$AO55)</f>
        <v>29.386969000000001</v>
      </c>
      <c r="AR56" s="240" cm="1">
        <f t="array" ref="AR56">pareto($M52:$M57,$N52:$N57,5,"rate",$AR$1,$AO53,$AO55)</f>
        <v>61.9827692307692</v>
      </c>
      <c r="AS56" s="240" cm="1">
        <f t="array" ref="AS56">pareto($M52:$M57,$N52:$N57,5,"dist",$AR$1,$AO53,$AO55)</f>
        <v>29.386969000000001</v>
      </c>
    </row>
    <row r="57" spans="1:47" ht="12" customHeight="1" thickBot="1" x14ac:dyDescent="0.3">
      <c r="A57" s="92"/>
      <c r="B57" s="134"/>
      <c r="C57" s="108" t="s">
        <v>255</v>
      </c>
      <c r="D57" s="268">
        <v>36.708923079999998</v>
      </c>
      <c r="E57" s="268">
        <v>17.156862</v>
      </c>
      <c r="F57" s="94"/>
      <c r="G57" s="94"/>
      <c r="H57" s="94"/>
      <c r="I57" s="94"/>
      <c r="J57" s="94"/>
      <c r="K57" s="94"/>
      <c r="L57" s="111"/>
      <c r="M57" s="267">
        <v>36.708923076923</v>
      </c>
      <c r="N57" s="267">
        <v>17.156862</v>
      </c>
      <c r="O57" s="94"/>
      <c r="P57" s="94"/>
      <c r="Q57" s="94"/>
      <c r="R57" s="94"/>
      <c r="S57" s="94"/>
      <c r="T57" s="94"/>
      <c r="U57" s="85" t="e">
        <f t="shared" si="0"/>
        <v>#DIV/0!</v>
      </c>
      <c r="V57" s="87" t="e">
        <f t="shared" si="0"/>
        <v>#DIV/0!</v>
      </c>
      <c r="W57" s="118"/>
      <c r="X57" s="101"/>
      <c r="Y57" s="102"/>
      <c r="Z57" s="102"/>
      <c r="AA57" s="102"/>
      <c r="AB57" s="102"/>
      <c r="AC57" s="102"/>
      <c r="AD57" s="102"/>
      <c r="AE57" s="102"/>
      <c r="AF57" s="102"/>
      <c r="AG57" s="103"/>
      <c r="AH57" s="111"/>
      <c r="AP57" s="240" cm="1">
        <f t="array" ref="AP57">pareto($D52:$D57,$E52:$E57,6,"rate",$AR$1,$AO53,$AO55)</f>
        <v>36.708923079999998</v>
      </c>
      <c r="AQ57" s="240" cm="1">
        <f t="array" ref="AQ57">pareto($D52:$D57,$E52:$E57,6,"dist",$AR$1,$AO53,$AO55)</f>
        <v>17.156862</v>
      </c>
      <c r="AR57" s="240" cm="1">
        <f t="array" ref="AR57">pareto($M52:$M57,$N52:$N57,6,"rate",$AR$1,$AO53,$AO55)</f>
        <v>36.708923076923</v>
      </c>
      <c r="AS57" s="240" cm="1">
        <f t="array" ref="AS57">pareto($M52:$M57,$N52:$N57,6,"dist",$AR$1,$AO53,$AO55)</f>
        <v>17.156862</v>
      </c>
    </row>
    <row r="58" spans="1:47" ht="12" customHeight="1" x14ac:dyDescent="0.25">
      <c r="A58" s="81" t="s">
        <v>70</v>
      </c>
      <c r="B58" s="132" t="s">
        <v>71</v>
      </c>
      <c r="C58" s="106" t="s">
        <v>250</v>
      </c>
      <c r="D58" s="268">
        <v>473.97525769999999</v>
      </c>
      <c r="E58" s="268">
        <v>21.702840999999999</v>
      </c>
      <c r="F58" s="83"/>
      <c r="G58" s="83"/>
      <c r="H58" s="83"/>
      <c r="I58" s="83"/>
      <c r="J58" s="83"/>
      <c r="K58" s="83"/>
      <c r="L58" s="110"/>
      <c r="M58" s="267">
        <v>473.97525773195798</v>
      </c>
      <c r="N58" s="267">
        <v>21.702840999999999</v>
      </c>
      <c r="O58" s="83"/>
      <c r="P58" s="83"/>
      <c r="Q58" s="83"/>
      <c r="R58" s="83"/>
      <c r="S58" s="83"/>
      <c r="T58" s="83"/>
      <c r="U58" s="82" t="e">
        <f t="shared" si="0"/>
        <v>#DIV/0!</v>
      </c>
      <c r="V58" s="83" t="e">
        <f t="shared" si="0"/>
        <v>#DIV/0!</v>
      </c>
      <c r="W58" s="109"/>
      <c r="X58" s="122">
        <f>bdRateExtend($D58:$D63,$E58:$E63,$M58:$M63,$N58:$N63)</f>
        <v>4.0221381780725096E-11</v>
      </c>
      <c r="Y58" s="14">
        <f t="shared" si="1"/>
        <v>3.8363090482107509E-11</v>
      </c>
      <c r="Z58" s="14">
        <f t="shared" si="2"/>
        <v>4.8594905877052952E-11</v>
      </c>
      <c r="AA58" s="14">
        <f t="shared" si="3"/>
        <v>3.2986502418452801E-11</v>
      </c>
      <c r="AB58" s="14">
        <f t="shared" si="4"/>
        <v>4.907896311578952E-11</v>
      </c>
      <c r="AC58" s="14">
        <f t="shared" si="5"/>
        <v>4.9483084296753077E-11</v>
      </c>
      <c r="AD58" s="34" cm="1">
        <f t="array" ref="AD58">bdRatePareto(AP58:AP63,AQ58:AQ63,AR58:AR63,AS58:AS63)</f>
        <v>4.0221381780725096E-11</v>
      </c>
      <c r="AE58" s="14" t="e">
        <f>bdRateExtend($D58:$D63,F58:F63,$M58:$M63,O58:O63)</f>
        <v>#VALUE!</v>
      </c>
      <c r="AF58" s="14" t="e">
        <f>bdRateExtend($D58:$D63,G58:G63,$M58:$M63,P58:P63)</f>
        <v>#VALUE!</v>
      </c>
      <c r="AG58" s="15" t="e">
        <f>bdRateExtend($D58:$D63,H58:H63,$M58:$M63,Q58:Q63)</f>
        <v>#VALUE!</v>
      </c>
      <c r="AH58" s="72">
        <f>bdPSNRExtend($D58:$D63,$E58:$E63,$M58:$M63,$N58:$N63)</f>
        <v>-2.2054331341165162E-10</v>
      </c>
      <c r="AO58" s="240" t="s">
        <v>213</v>
      </c>
      <c r="AP58" s="240" cm="1">
        <f t="array" ref="AP58">pareto($D58:$D63,$E58:$E63,1,"rate",$AR$1,$AO59,$AO61)</f>
        <v>473.97525769999999</v>
      </c>
      <c r="AQ58" s="240" cm="1">
        <f t="array" ref="AQ58">pareto($D58:$D63,$E58:$E63,1,"dist",$AR$1,$AO59,$AO61)</f>
        <v>21.702840999999999</v>
      </c>
      <c r="AR58" s="240" cm="1">
        <f t="array" ref="AR58">pareto($M58:$M63,$N58:$N63,1,"rate",$AR$1,$AO59,$AO61)</f>
        <v>473.97525773195798</v>
      </c>
      <c r="AS58" s="240" cm="1">
        <f t="array" ref="AS58">pareto($M58:$M63,$N58:$N63,1,"dist",$AR$1,$AO59,$AO61)</f>
        <v>21.702840999999999</v>
      </c>
    </row>
    <row r="59" spans="1:47" ht="12" customHeight="1" x14ac:dyDescent="0.25">
      <c r="A59" s="136"/>
      <c r="B59" s="133"/>
      <c r="C59" s="107" t="s">
        <v>251</v>
      </c>
      <c r="D59" s="268">
        <v>277.1587629</v>
      </c>
      <c r="E59" s="268">
        <v>18.121452999999999</v>
      </c>
      <c r="F59" s="86"/>
      <c r="G59" s="86"/>
      <c r="H59" s="86"/>
      <c r="I59" s="86"/>
      <c r="J59" s="86"/>
      <c r="K59" s="86"/>
      <c r="L59" s="110"/>
      <c r="M59" s="267">
        <v>277.158762886597</v>
      </c>
      <c r="N59" s="267">
        <v>18.121452999999999</v>
      </c>
      <c r="O59" s="86"/>
      <c r="P59" s="86"/>
      <c r="Q59" s="86"/>
      <c r="R59" s="86"/>
      <c r="S59" s="86"/>
      <c r="T59" s="86"/>
      <c r="U59" s="85" t="e">
        <f t="shared" si="0"/>
        <v>#DIV/0!</v>
      </c>
      <c r="V59" s="86" t="e">
        <f t="shared" si="0"/>
        <v>#DIV/0!</v>
      </c>
      <c r="W59" s="110"/>
      <c r="X59" s="98"/>
      <c r="Y59" s="99"/>
      <c r="Z59" s="99"/>
      <c r="AA59" s="99"/>
      <c r="AB59" s="99"/>
      <c r="AC59" s="99"/>
      <c r="AD59" s="99"/>
      <c r="AE59" s="99"/>
      <c r="AF59" s="99"/>
      <c r="AG59" s="100"/>
      <c r="AH59" s="110"/>
      <c r="AO59" s="240">
        <v>34.423498000000002</v>
      </c>
      <c r="AP59" s="240" cm="1">
        <f t="array" ref="AP59">pareto($D58:$D63,$E58:$E63,2,"rate",$AR$1,$AO59,$AO61)</f>
        <v>277.1587629</v>
      </c>
      <c r="AQ59" s="240" cm="1">
        <f t="array" ref="AQ59">pareto($D58:$D63,$E58:$E63,2,"dist",$AR$1,$AO59,$AO61)</f>
        <v>18.121452999999999</v>
      </c>
      <c r="AR59" s="240" cm="1">
        <f t="array" ref="AR59">pareto($M58:$M63,$N58:$N63,2,"rate",$AR$1,$AO59,$AO61)</f>
        <v>277.158762886597</v>
      </c>
      <c r="AS59" s="240" cm="1">
        <f t="array" ref="AS59">pareto($M58:$M63,$N58:$N63,2,"dist",$AR$1,$AO59,$AO61)</f>
        <v>18.121452999999999</v>
      </c>
    </row>
    <row r="60" spans="1:47" ht="12" customHeight="1" x14ac:dyDescent="0.25">
      <c r="A60" s="74"/>
      <c r="B60" s="133"/>
      <c r="C60" s="107" t="s">
        <v>252</v>
      </c>
      <c r="D60" s="268">
        <v>162.3670103</v>
      </c>
      <c r="E60" s="268">
        <v>17.194559000000002</v>
      </c>
      <c r="F60" s="86"/>
      <c r="G60" s="86"/>
      <c r="H60" s="86"/>
      <c r="I60" s="86"/>
      <c r="J60" s="86"/>
      <c r="K60" s="86"/>
      <c r="L60" s="110"/>
      <c r="M60" s="267">
        <v>162.36701030927799</v>
      </c>
      <c r="N60" s="267">
        <v>17.194559000000002</v>
      </c>
      <c r="O60" s="86"/>
      <c r="P60" s="86"/>
      <c r="Q60" s="86"/>
      <c r="R60" s="86"/>
      <c r="S60" s="86"/>
      <c r="T60" s="86"/>
      <c r="U60" s="85" t="e">
        <f t="shared" si="0"/>
        <v>#DIV/0!</v>
      </c>
      <c r="V60" s="86" t="e">
        <f t="shared" si="0"/>
        <v>#DIV/0!</v>
      </c>
      <c r="W60" s="110"/>
      <c r="X60" s="98"/>
      <c r="Y60" s="99"/>
      <c r="Z60" s="99"/>
      <c r="AA60" s="99"/>
      <c r="AB60" s="99"/>
      <c r="AC60" s="99"/>
      <c r="AD60" s="99"/>
      <c r="AE60" s="99"/>
      <c r="AF60" s="99"/>
      <c r="AG60" s="100"/>
      <c r="AH60" s="110"/>
      <c r="AO60" s="240" t="s">
        <v>44</v>
      </c>
      <c r="AP60" s="240" cm="1">
        <f t="array" ref="AP60">pareto($D58:$D63,$E58:$E63,3,"rate",$AR$1,$AO59,$AO61)</f>
        <v>162.3670103</v>
      </c>
      <c r="AQ60" s="240" cm="1">
        <f t="array" ref="AQ60">pareto($D58:$D63,$E58:$E63,3,"dist",$AR$1,$AO59,$AO61)</f>
        <v>17.194559000000002</v>
      </c>
      <c r="AR60" s="240" cm="1">
        <f t="array" ref="AR60">pareto($M58:$M63,$N58:$N63,3,"rate",$AR$1,$AO59,$AO61)</f>
        <v>162.36701030927799</v>
      </c>
      <c r="AS60" s="240" cm="1">
        <f t="array" ref="AS60">pareto($M58:$M63,$N58:$N63,3,"dist",$AR$1,$AO59,$AO61)</f>
        <v>17.194559000000002</v>
      </c>
    </row>
    <row r="61" spans="1:47" ht="12" customHeight="1" x14ac:dyDescent="0.25">
      <c r="A61" s="74"/>
      <c r="B61" s="133"/>
      <c r="C61" s="107" t="s">
        <v>253</v>
      </c>
      <c r="D61" s="268">
        <v>98.259793810000005</v>
      </c>
      <c r="E61" s="268">
        <v>13.111616</v>
      </c>
      <c r="F61" s="86"/>
      <c r="G61" s="86"/>
      <c r="H61" s="86"/>
      <c r="I61" s="86"/>
      <c r="J61" s="86"/>
      <c r="K61" s="86"/>
      <c r="L61" s="110"/>
      <c r="M61" s="267">
        <v>98.259793814432996</v>
      </c>
      <c r="N61" s="267">
        <v>13.111616</v>
      </c>
      <c r="O61" s="86"/>
      <c r="P61" s="86"/>
      <c r="Q61" s="86"/>
      <c r="R61" s="86"/>
      <c r="S61" s="86"/>
      <c r="T61" s="86"/>
      <c r="U61" s="85" t="e">
        <f t="shared" si="0"/>
        <v>#DIV/0!</v>
      </c>
      <c r="V61" s="86" t="e">
        <f t="shared" si="0"/>
        <v>#DIV/0!</v>
      </c>
      <c r="W61" s="110"/>
      <c r="X61" s="98"/>
      <c r="Y61" s="99"/>
      <c r="Z61" s="99"/>
      <c r="AA61" s="99"/>
      <c r="AB61" s="99"/>
      <c r="AC61" s="99"/>
      <c r="AD61" s="99"/>
      <c r="AE61" s="99"/>
      <c r="AF61" s="99"/>
      <c r="AG61" s="100"/>
      <c r="AH61" s="110"/>
      <c r="AO61" s="240">
        <v>20</v>
      </c>
      <c r="AP61" s="240" cm="1">
        <f t="array" ref="AP61">pareto($D58:$D63,$E58:$E63,4,"rate",$AR$1,$AO59,$AO61)</f>
        <v>98.259793810000005</v>
      </c>
      <c r="AQ61" s="240" cm="1">
        <f t="array" ref="AQ61">pareto($D58:$D63,$E58:$E63,4,"dist",$AR$1,$AO59,$AO61)</f>
        <v>13.111616</v>
      </c>
      <c r="AR61" s="240" cm="1">
        <f t="array" ref="AR61">pareto($M58:$M63,$N58:$N63,4,"rate",$AR$1,$AO59,$AO61)</f>
        <v>98.259793814432996</v>
      </c>
      <c r="AS61" s="240" cm="1">
        <f t="array" ref="AS61">pareto($M58:$M63,$N58:$N63,4,"dist",$AR$1,$AO59,$AO61)</f>
        <v>13.111616</v>
      </c>
    </row>
    <row r="62" spans="1:47" ht="12" customHeight="1" x14ac:dyDescent="0.25">
      <c r="A62" s="74"/>
      <c r="B62" s="133"/>
      <c r="C62" s="107" t="s">
        <v>254</v>
      </c>
      <c r="D62" s="268">
        <v>59.6742268</v>
      </c>
      <c r="E62" s="268">
        <v>10.099366</v>
      </c>
      <c r="F62" s="86"/>
      <c r="G62" s="86"/>
      <c r="H62" s="86"/>
      <c r="I62" s="86"/>
      <c r="J62" s="86"/>
      <c r="K62" s="86"/>
      <c r="L62" s="110"/>
      <c r="M62" s="267">
        <v>59.674226804123698</v>
      </c>
      <c r="N62" s="267">
        <v>10.099366</v>
      </c>
      <c r="O62" s="86"/>
      <c r="P62" s="86"/>
      <c r="Q62" s="86"/>
      <c r="R62" s="86"/>
      <c r="S62" s="86"/>
      <c r="T62" s="86"/>
      <c r="U62" s="85" t="e">
        <f t="shared" ref="U62:V81" si="6">S62/J62</f>
        <v>#DIV/0!</v>
      </c>
      <c r="V62" s="86" t="e">
        <f t="shared" si="6"/>
        <v>#DIV/0!</v>
      </c>
      <c r="W62" s="110"/>
      <c r="X62" s="98"/>
      <c r="Y62" s="99"/>
      <c r="Z62" s="99"/>
      <c r="AA62" s="99"/>
      <c r="AB62" s="99"/>
      <c r="AC62" s="99"/>
      <c r="AD62" s="99"/>
      <c r="AE62" s="99"/>
      <c r="AF62" s="99"/>
      <c r="AG62" s="100"/>
      <c r="AH62" s="110"/>
      <c r="AP62" s="240" cm="1">
        <f t="array" ref="AP62">pareto($D58:$D63,$E58:$E63,5,"rate",$AR$1,$AO59,$AO61)</f>
        <v>59.6742268</v>
      </c>
      <c r="AQ62" s="240" cm="1">
        <f t="array" ref="AQ62">pareto($D58:$D63,$E58:$E63,5,"dist",$AR$1,$AO59,$AO61)</f>
        <v>10.099366</v>
      </c>
      <c r="AR62" s="240" cm="1">
        <f t="array" ref="AR62">pareto($M58:$M63,$N58:$N63,5,"rate",$AR$1,$AO59,$AO61)</f>
        <v>59.674226804123698</v>
      </c>
      <c r="AS62" s="240" cm="1">
        <f t="array" ref="AS62">pareto($M58:$M63,$N58:$N63,5,"dist",$AR$1,$AO59,$AO61)</f>
        <v>10.099366</v>
      </c>
    </row>
    <row r="63" spans="1:47" ht="12" customHeight="1" thickBot="1" x14ac:dyDescent="0.3">
      <c r="A63" s="74"/>
      <c r="B63" s="134"/>
      <c r="C63" s="108" t="s">
        <v>255</v>
      </c>
      <c r="D63" s="268">
        <v>35.6</v>
      </c>
      <c r="E63" s="268">
        <v>7.0605739999999999</v>
      </c>
      <c r="F63" s="94"/>
      <c r="G63" s="94"/>
      <c r="H63" s="94"/>
      <c r="I63" s="94"/>
      <c r="J63" s="94"/>
      <c r="K63" s="94"/>
      <c r="L63" s="110"/>
      <c r="M63" s="267">
        <v>35.6</v>
      </c>
      <c r="N63" s="267">
        <v>7.0605739999999999</v>
      </c>
      <c r="O63" s="94"/>
      <c r="P63" s="94"/>
      <c r="Q63" s="94"/>
      <c r="R63" s="94"/>
      <c r="S63" s="94"/>
      <c r="T63" s="94"/>
      <c r="U63" s="85" t="e">
        <f t="shared" si="6"/>
        <v>#DIV/0!</v>
      </c>
      <c r="V63" s="86" t="e">
        <f t="shared" si="6"/>
        <v>#DIV/0!</v>
      </c>
      <c r="W63" s="110"/>
      <c r="X63" s="101"/>
      <c r="Y63" s="102"/>
      <c r="Z63" s="102"/>
      <c r="AA63" s="102"/>
      <c r="AB63" s="102"/>
      <c r="AC63" s="102"/>
      <c r="AD63" s="102"/>
      <c r="AE63" s="102"/>
      <c r="AF63" s="102"/>
      <c r="AG63" s="103"/>
      <c r="AH63" s="111"/>
      <c r="AP63" s="240" cm="1">
        <f t="array" ref="AP63">pareto($D58:$D63,$E58:$E63,6,"rate",$AR$1,$AO59,$AO61)</f>
        <v>35.6</v>
      </c>
      <c r="AQ63" s="240" cm="1">
        <f t="array" ref="AQ63">pareto($D58:$D63,$E58:$E63,6,"dist",$AR$1,$AO59,$AO61)</f>
        <v>7.0605739999999999</v>
      </c>
      <c r="AR63" s="240" cm="1">
        <f t="array" ref="AR63">pareto($M58:$M63,$N58:$N63,6,"rate",$AR$1,$AO59,$AO61)</f>
        <v>35.6</v>
      </c>
      <c r="AS63" s="240" cm="1">
        <f t="array" ref="AS63">pareto($M58:$M63,$N58:$N63,6,"dist",$AR$1,$AO59,$AO61)</f>
        <v>7.0605739999999999</v>
      </c>
    </row>
    <row r="64" spans="1:47" ht="12" customHeight="1" x14ac:dyDescent="0.25">
      <c r="A64" s="74"/>
      <c r="B64" s="132" t="s">
        <v>72</v>
      </c>
      <c r="C64" s="106" t="s">
        <v>250</v>
      </c>
      <c r="D64" s="268">
        <v>471.9925581</v>
      </c>
      <c r="E64" s="268">
        <v>35.216191000000002</v>
      </c>
      <c r="F64" s="83"/>
      <c r="G64" s="83"/>
      <c r="H64" s="83"/>
      <c r="I64" s="83"/>
      <c r="J64" s="83"/>
      <c r="K64" s="83"/>
      <c r="L64" s="110"/>
      <c r="M64" s="267">
        <v>471.99255813953403</v>
      </c>
      <c r="N64" s="267">
        <v>35.216191000000002</v>
      </c>
      <c r="O64" s="83"/>
      <c r="P64" s="83"/>
      <c r="Q64" s="83"/>
      <c r="R64" s="83"/>
      <c r="S64" s="83"/>
      <c r="T64" s="83"/>
      <c r="U64" s="85" t="e">
        <f t="shared" si="6"/>
        <v>#DIV/0!</v>
      </c>
      <c r="V64" s="86" t="e">
        <f t="shared" si="6"/>
        <v>#DIV/0!</v>
      </c>
      <c r="W64" s="110"/>
      <c r="X64" s="122">
        <f>bdRateExtend($D64:$D69,$E64:$E69,$M64:$M69,$N64:$N69)</f>
        <v>-7.9876105729681512E-12</v>
      </c>
      <c r="Y64" s="14">
        <f t="shared" ref="Y64:Y76" si="7">bdRateExtend($D64:$D68,$E64:$E68,$M64:$M68,$N64:$N68)</f>
        <v>-1.0185186027911186E-12</v>
      </c>
      <c r="Z64" s="14">
        <f t="shared" ref="Z64:Z76" si="8">bdRateExtend($D65:$D69,$E65:$E69,$M65:$M69,$N65:$N69)</f>
        <v>-3.6396885505496357E-11</v>
      </c>
      <c r="AA64" s="14">
        <f t="shared" ref="AA64:AA70" si="9">bdRateExtend($D64:$D67,$E64:$E67,$M64:$M67,$N64:$N67)</f>
        <v>1.8476331575811855E-11</v>
      </c>
      <c r="AB64" s="14">
        <f t="shared" ref="AB64:AB70" si="10">bdRateExtend($D65:$D68,$E65:$E68,$M65:$M68,$N65:$N68)</f>
        <v>-5.6379123591909774E-11</v>
      </c>
      <c r="AC64" s="14">
        <f t="shared" ref="AC64:AC70" si="11">bdRateExtend($D66:$D69,$E66:$E69,$M66:$M69,$N66:$N69)</f>
        <v>-3.5223823857677417E-11</v>
      </c>
      <c r="AD64" s="34" cm="1">
        <f t="array" ref="AD64">bdRatePareto(AP64:AP69,AQ64:AQ69,AR64:AR69,AS64:AS69)</f>
        <v>-7.9876105729681512E-12</v>
      </c>
      <c r="AE64" s="14" t="e">
        <f>bdRateExtend($D64:$D69,F64:F69,$M64:$M69,O64:O69)</f>
        <v>#VALUE!</v>
      </c>
      <c r="AF64" s="14" t="e">
        <f>bdRateExtend($D64:$D69,G64:G69,$M64:$M69,P64:P69)</f>
        <v>#VALUE!</v>
      </c>
      <c r="AG64" s="15" t="e">
        <f>bdRateExtend($D64:$D69,H64:H69,$M64:$M69,Q64:Q69)</f>
        <v>#VALUE!</v>
      </c>
      <c r="AH64" s="72">
        <f>bdPSNRExtend($D64:$D69,$E64:$E69,$M64:$M69,$N64:$N69)</f>
        <v>8.5723262541242562E-11</v>
      </c>
      <c r="AO64" s="240" t="s">
        <v>213</v>
      </c>
      <c r="AP64" s="240" cm="1">
        <f t="array" ref="AP64">pareto($D64:$D69,$E64:$E69,1,"rate",$AR$1,$AO65,$AO67)</f>
        <v>471.9925581</v>
      </c>
      <c r="AQ64" s="240" cm="1">
        <f t="array" ref="AQ64">pareto($D64:$D69,$E64:$E69,1,"dist",$AR$1,$AO65,$AO67)</f>
        <v>35.216191000000002</v>
      </c>
      <c r="AR64" s="240" cm="1">
        <f t="array" ref="AR64">pareto($M64:$M69,$N64:$N69,1,"rate",$AR$1,$AO65,$AO67)</f>
        <v>471.99255813953403</v>
      </c>
      <c r="AS64" s="240" cm="1">
        <f t="array" ref="AS64">pareto($M64:$M69,$N64:$N69,1,"dist",$AR$1,$AO65,$AO67)</f>
        <v>35.216191000000002</v>
      </c>
    </row>
    <row r="65" spans="1:45" ht="12" customHeight="1" x14ac:dyDescent="0.25">
      <c r="A65" s="74"/>
      <c r="B65" s="133"/>
      <c r="C65" s="107" t="s">
        <v>251</v>
      </c>
      <c r="D65" s="268">
        <v>225.02697670000001</v>
      </c>
      <c r="E65" s="268">
        <v>33.371211000000002</v>
      </c>
      <c r="F65" s="86"/>
      <c r="G65" s="86"/>
      <c r="H65" s="86"/>
      <c r="I65" s="86"/>
      <c r="J65" s="86"/>
      <c r="K65" s="86"/>
      <c r="L65" s="110"/>
      <c r="M65" s="267">
        <v>225.02697674418599</v>
      </c>
      <c r="N65" s="267">
        <v>33.371211000000002</v>
      </c>
      <c r="O65" s="86"/>
      <c r="P65" s="86"/>
      <c r="Q65" s="86"/>
      <c r="R65" s="86"/>
      <c r="S65" s="86"/>
      <c r="T65" s="86"/>
      <c r="U65" s="85" t="e">
        <f t="shared" si="6"/>
        <v>#DIV/0!</v>
      </c>
      <c r="V65" s="86" t="e">
        <f t="shared" si="6"/>
        <v>#DIV/0!</v>
      </c>
      <c r="W65" s="110"/>
      <c r="X65" s="98"/>
      <c r="Y65" s="99"/>
      <c r="Z65" s="99"/>
      <c r="AA65" s="99"/>
      <c r="AB65" s="99"/>
      <c r="AC65" s="99"/>
      <c r="AD65" s="99"/>
      <c r="AE65" s="99"/>
      <c r="AF65" s="99"/>
      <c r="AG65" s="100"/>
      <c r="AH65" s="110"/>
      <c r="AO65" s="240">
        <v>37.037838999999998</v>
      </c>
      <c r="AP65" s="240" cm="1">
        <f t="array" ref="AP65">pareto($D64:$D69,$E64:$E69,2,"rate",$AR$1,$AO65,$AO67)</f>
        <v>225.02697670000001</v>
      </c>
      <c r="AQ65" s="240" cm="1">
        <f t="array" ref="AQ65">pareto($D64:$D69,$E64:$E69,2,"dist",$AR$1,$AO65,$AO67)</f>
        <v>33.371211000000002</v>
      </c>
      <c r="AR65" s="240" cm="1">
        <f t="array" ref="AR65">pareto($M64:$M69,$N64:$N69,2,"rate",$AR$1,$AO65,$AO67)</f>
        <v>225.02697674418599</v>
      </c>
      <c r="AS65" s="240" cm="1">
        <f t="array" ref="AS65">pareto($M64:$M69,$N64:$N69,2,"dist",$AR$1,$AO65,$AO67)</f>
        <v>33.371211000000002</v>
      </c>
    </row>
    <row r="66" spans="1:45" ht="12" customHeight="1" x14ac:dyDescent="0.25">
      <c r="A66" s="74"/>
      <c r="B66" s="133"/>
      <c r="C66" s="107" t="s">
        <v>252</v>
      </c>
      <c r="D66" s="268">
        <v>122.2623256</v>
      </c>
      <c r="E66" s="268">
        <v>32.559953</v>
      </c>
      <c r="F66" s="86"/>
      <c r="G66" s="86"/>
      <c r="H66" s="86"/>
      <c r="I66" s="86"/>
      <c r="J66" s="86"/>
      <c r="K66" s="86"/>
      <c r="L66" s="110"/>
      <c r="M66" s="267">
        <v>122.262325581395</v>
      </c>
      <c r="N66" s="267">
        <v>32.559953</v>
      </c>
      <c r="O66" s="86"/>
      <c r="P66" s="86"/>
      <c r="Q66" s="86"/>
      <c r="R66" s="86"/>
      <c r="S66" s="86"/>
      <c r="T66" s="86"/>
      <c r="U66" s="85" t="e">
        <f t="shared" si="6"/>
        <v>#DIV/0!</v>
      </c>
      <c r="V66" s="86" t="e">
        <f t="shared" si="6"/>
        <v>#DIV/0!</v>
      </c>
      <c r="W66" s="110"/>
      <c r="X66" s="98"/>
      <c r="Y66" s="99"/>
      <c r="Z66" s="99"/>
      <c r="AA66" s="99"/>
      <c r="AB66" s="99"/>
      <c r="AC66" s="99"/>
      <c r="AD66" s="99"/>
      <c r="AE66" s="99"/>
      <c r="AF66" s="99"/>
      <c r="AG66" s="100"/>
      <c r="AH66" s="110"/>
      <c r="AO66" s="240" t="s">
        <v>44</v>
      </c>
      <c r="AP66" s="240" cm="1">
        <f t="array" ref="AP66">pareto($D64:$D69,$E64:$E69,3,"rate",$AR$1,$AO65,$AO67)</f>
        <v>122.2623256</v>
      </c>
      <c r="AQ66" s="240" cm="1">
        <f t="array" ref="AQ66">pareto($D64:$D69,$E64:$E69,3,"dist",$AR$1,$AO65,$AO67)</f>
        <v>32.559953</v>
      </c>
      <c r="AR66" s="240" cm="1">
        <f t="array" ref="AR66">pareto($M64:$M69,$N64:$N69,3,"rate",$AR$1,$AO65,$AO67)</f>
        <v>122.262325581395</v>
      </c>
      <c r="AS66" s="240" cm="1">
        <f t="array" ref="AS66">pareto($M64:$M69,$N64:$N69,3,"dist",$AR$1,$AO65,$AO67)</f>
        <v>32.559953</v>
      </c>
    </row>
    <row r="67" spans="1:45" ht="12" customHeight="1" x14ac:dyDescent="0.25">
      <c r="A67" s="74"/>
      <c r="B67" s="133"/>
      <c r="C67" s="107" t="s">
        <v>253</v>
      </c>
      <c r="D67" s="268">
        <v>71.944186049999999</v>
      </c>
      <c r="E67" s="268">
        <v>29.538333999999999</v>
      </c>
      <c r="F67" s="86"/>
      <c r="G67" s="86"/>
      <c r="H67" s="86"/>
      <c r="I67" s="86"/>
      <c r="J67" s="86"/>
      <c r="K67" s="86"/>
      <c r="L67" s="110"/>
      <c r="M67" s="267">
        <v>71.944186046511604</v>
      </c>
      <c r="N67" s="267">
        <v>29.538333999999999</v>
      </c>
      <c r="O67" s="86"/>
      <c r="P67" s="86"/>
      <c r="Q67" s="86"/>
      <c r="R67" s="86"/>
      <c r="S67" s="86"/>
      <c r="T67" s="86"/>
      <c r="U67" s="85" t="e">
        <f t="shared" si="6"/>
        <v>#DIV/0!</v>
      </c>
      <c r="V67" s="86" t="e">
        <f t="shared" si="6"/>
        <v>#DIV/0!</v>
      </c>
      <c r="W67" s="110"/>
      <c r="X67" s="98"/>
      <c r="Y67" s="99"/>
      <c r="Z67" s="99"/>
      <c r="AA67" s="99"/>
      <c r="AB67" s="99"/>
      <c r="AC67" s="99"/>
      <c r="AD67" s="99"/>
      <c r="AE67" s="99"/>
      <c r="AF67" s="99"/>
      <c r="AG67" s="100"/>
      <c r="AH67" s="110"/>
      <c r="AO67" s="240">
        <v>20</v>
      </c>
      <c r="AP67" s="240" cm="1">
        <f t="array" ref="AP67">pareto($D64:$D69,$E64:$E69,4,"rate",$AR$1,$AO65,$AO67)</f>
        <v>71.944186049999999</v>
      </c>
      <c r="AQ67" s="240" cm="1">
        <f t="array" ref="AQ67">pareto($D64:$D69,$E64:$E69,4,"dist",$AR$1,$AO65,$AO67)</f>
        <v>29.538333999999999</v>
      </c>
      <c r="AR67" s="240" cm="1">
        <f t="array" ref="AR67">pareto($M64:$M69,$N64:$N69,4,"rate",$AR$1,$AO65,$AO67)</f>
        <v>71.944186046511604</v>
      </c>
      <c r="AS67" s="240" cm="1">
        <f t="array" ref="AS67">pareto($M64:$M69,$N64:$N69,4,"dist",$AR$1,$AO65,$AO67)</f>
        <v>29.538333999999999</v>
      </c>
    </row>
    <row r="68" spans="1:45" ht="12" customHeight="1" x14ac:dyDescent="0.25">
      <c r="A68" s="74"/>
      <c r="B68" s="133"/>
      <c r="C68" s="107" t="s">
        <v>254</v>
      </c>
      <c r="D68" s="268">
        <v>44.145116280000003</v>
      </c>
      <c r="E68" s="268">
        <v>25.763054</v>
      </c>
      <c r="F68" s="86"/>
      <c r="G68" s="86"/>
      <c r="H68" s="86"/>
      <c r="I68" s="86"/>
      <c r="J68" s="86"/>
      <c r="K68" s="86"/>
      <c r="L68" s="110"/>
      <c r="M68" s="267">
        <v>44.145116279069697</v>
      </c>
      <c r="N68" s="267">
        <v>25.763054</v>
      </c>
      <c r="O68" s="86"/>
      <c r="P68" s="86"/>
      <c r="Q68" s="86"/>
      <c r="R68" s="86"/>
      <c r="S68" s="86"/>
      <c r="T68" s="86"/>
      <c r="U68" s="85" t="e">
        <f t="shared" si="6"/>
        <v>#DIV/0!</v>
      </c>
      <c r="V68" s="86" t="e">
        <f t="shared" si="6"/>
        <v>#DIV/0!</v>
      </c>
      <c r="W68" s="110"/>
      <c r="X68" s="98"/>
      <c r="Y68" s="99"/>
      <c r="Z68" s="99"/>
      <c r="AA68" s="99"/>
      <c r="AB68" s="99"/>
      <c r="AC68" s="99"/>
      <c r="AD68" s="99"/>
      <c r="AE68" s="99"/>
      <c r="AF68" s="99"/>
      <c r="AG68" s="100"/>
      <c r="AH68" s="110"/>
      <c r="AP68" s="240" cm="1">
        <f t="array" ref="AP68">pareto($D64:$D69,$E64:$E69,5,"rate",$AR$1,$AO65,$AO67)</f>
        <v>44.145116280000003</v>
      </c>
      <c r="AQ68" s="240" cm="1">
        <f t="array" ref="AQ68">pareto($D64:$D69,$E64:$E69,5,"dist",$AR$1,$AO65,$AO67)</f>
        <v>25.763054</v>
      </c>
      <c r="AR68" s="240" cm="1">
        <f t="array" ref="AR68">pareto($M64:$M69,$N64:$N69,5,"rate",$AR$1,$AO65,$AO67)</f>
        <v>44.145116279069697</v>
      </c>
      <c r="AS68" s="240" cm="1">
        <f t="array" ref="AS68">pareto($M64:$M69,$N64:$N69,5,"dist",$AR$1,$AO65,$AO67)</f>
        <v>25.763054</v>
      </c>
    </row>
    <row r="69" spans="1:45" ht="12" customHeight="1" thickBot="1" x14ac:dyDescent="0.3">
      <c r="A69" s="74"/>
      <c r="B69" s="134"/>
      <c r="C69" s="108" t="s">
        <v>255</v>
      </c>
      <c r="D69" s="268">
        <v>27.352558139999999</v>
      </c>
      <c r="E69" s="268">
        <v>18.092714000000001</v>
      </c>
      <c r="F69" s="94"/>
      <c r="G69" s="94"/>
      <c r="H69" s="94"/>
      <c r="I69" s="94"/>
      <c r="J69" s="94"/>
      <c r="K69" s="94"/>
      <c r="L69" s="110"/>
      <c r="M69" s="267">
        <v>27.3525581395348</v>
      </c>
      <c r="N69" s="267">
        <v>18.092714000000001</v>
      </c>
      <c r="O69" s="94"/>
      <c r="P69" s="94"/>
      <c r="Q69" s="94"/>
      <c r="R69" s="94"/>
      <c r="S69" s="94"/>
      <c r="T69" s="94"/>
      <c r="U69" s="85" t="e">
        <f t="shared" si="6"/>
        <v>#DIV/0!</v>
      </c>
      <c r="V69" s="86" t="e">
        <f t="shared" si="6"/>
        <v>#DIV/0!</v>
      </c>
      <c r="W69" s="110"/>
      <c r="X69" s="101"/>
      <c r="Y69" s="102"/>
      <c r="Z69" s="102"/>
      <c r="AA69" s="102"/>
      <c r="AB69" s="102"/>
      <c r="AC69" s="102"/>
      <c r="AD69" s="102"/>
      <c r="AE69" s="102"/>
      <c r="AF69" s="102"/>
      <c r="AG69" s="103"/>
      <c r="AH69" s="111"/>
      <c r="AP69" s="240" cm="1">
        <f t="array" ref="AP69">pareto($D64:$D69,$E64:$E69,6,"rate",$AR$1,$AO65,$AO67)</f>
        <v>27.352558139999999</v>
      </c>
      <c r="AQ69" s="240" cm="1">
        <f t="array" ref="AQ69">pareto($D64:$D69,$E64:$E69,6,"dist",$AR$1,$AO65,$AO67)</f>
        <v>18.092714000000001</v>
      </c>
      <c r="AR69" s="240" cm="1">
        <f t="array" ref="AR69">pareto($M64:$M69,$N64:$N69,6,"rate",$AR$1,$AO65,$AO67)</f>
        <v>27.3525581395348</v>
      </c>
      <c r="AS69" s="240" cm="1">
        <f t="array" ref="AS69">pareto($M64:$M69,$N64:$N69,6,"dist",$AR$1,$AO65,$AO67)</f>
        <v>18.092714000000001</v>
      </c>
    </row>
    <row r="70" spans="1:45" ht="12" customHeight="1" x14ac:dyDescent="0.25">
      <c r="A70" s="74"/>
      <c r="B70" s="132" t="s">
        <v>73</v>
      </c>
      <c r="C70" s="106" t="s">
        <v>250</v>
      </c>
      <c r="D70" s="268">
        <v>373.75257729999998</v>
      </c>
      <c r="E70" s="268">
        <v>67.940392000000003</v>
      </c>
      <c r="F70" s="83"/>
      <c r="G70" s="83"/>
      <c r="H70" s="83"/>
      <c r="I70" s="83"/>
      <c r="J70" s="83"/>
      <c r="K70" s="83"/>
      <c r="L70" s="110"/>
      <c r="M70" s="267">
        <v>373.75257731958698</v>
      </c>
      <c r="N70" s="267">
        <v>67.940392000000003</v>
      </c>
      <c r="O70" s="83"/>
      <c r="P70" s="83"/>
      <c r="Q70" s="83"/>
      <c r="R70" s="83"/>
      <c r="S70" s="83"/>
      <c r="T70" s="83"/>
      <c r="U70" s="85" t="e">
        <f t="shared" si="6"/>
        <v>#DIV/0!</v>
      </c>
      <c r="V70" s="86" t="e">
        <f t="shared" si="6"/>
        <v>#DIV/0!</v>
      </c>
      <c r="W70" s="110"/>
      <c r="X70" s="122">
        <f>bdRateExtend($D70:$D75,$E70:$E75,$M70:$M75,$N70:$N75)</f>
        <v>1E+308</v>
      </c>
      <c r="Y70" s="14">
        <f t="shared" si="7"/>
        <v>5.1727289118730369E-11</v>
      </c>
      <c r="Z70" s="14">
        <f t="shared" si="8"/>
        <v>1E+308</v>
      </c>
      <c r="AA70" s="14">
        <f t="shared" si="9"/>
        <v>8.88327189585425E-11</v>
      </c>
      <c r="AB70" s="14">
        <f t="shared" si="10"/>
        <v>3.8377523381427636E-11</v>
      </c>
      <c r="AC70" s="14">
        <f t="shared" si="11"/>
        <v>1E+308</v>
      </c>
      <c r="AD70" s="34" cm="1">
        <f t="array" ref="AD70">bdRatePareto(AP70:AP75,AQ70:AQ75,AR70:AR75,AS70:AS75)</f>
        <v>5.0789372707527036E-11</v>
      </c>
      <c r="AE70" s="14" t="e">
        <f>bdRateExtend($D70:$D75,F70:F75,$M70:$M75,O70:O75)</f>
        <v>#VALUE!</v>
      </c>
      <c r="AF70" s="14" t="e">
        <f>bdRateExtend($D70:$D75,G70:G75,$M70:$M75,P70:P75)</f>
        <v>#VALUE!</v>
      </c>
      <c r="AG70" s="15" t="e">
        <f>bdRateExtend($D70:$D75,H70:H75,$M70:$M75,Q70:Q75)</f>
        <v>#VALUE!</v>
      </c>
      <c r="AH70" s="72">
        <f>bdPSNRExtend($D70:$D75,$E70:$E75,$M70:$M75,$N70:$N75)</f>
        <v>-9.1888317232213772E-10</v>
      </c>
      <c r="AO70" s="240" t="s">
        <v>213</v>
      </c>
      <c r="AP70" s="240" cm="1">
        <f t="array" ref="AP70">pareto($D70:$D75,$E70:$E75,1,"rate",$AR$1,$AO71,$AO73)</f>
        <v>373.75257729999998</v>
      </c>
      <c r="AQ70" s="240" cm="1">
        <f t="array" ref="AQ70">pareto($D70:$D75,$E70:$E75,1,"dist",$AR$1,$AO71,$AO73)</f>
        <v>67.940392000000003</v>
      </c>
      <c r="AR70" s="240" cm="1">
        <f t="array" ref="AR70">pareto($M70:$M75,$N70:$N75,1,"rate",$AR$1,$AO71,$AO73)</f>
        <v>373.75257731958698</v>
      </c>
      <c r="AS70" s="240" cm="1">
        <f t="array" ref="AS70">pareto($M70:$M75,$N70:$N75,1,"dist",$AR$1,$AO71,$AO73)</f>
        <v>67.940392000000003</v>
      </c>
    </row>
    <row r="71" spans="1:45" ht="12" customHeight="1" x14ac:dyDescent="0.25">
      <c r="A71" s="74"/>
      <c r="B71" s="133"/>
      <c r="C71" s="107" t="s">
        <v>251</v>
      </c>
      <c r="D71" s="268">
        <v>208.34226799999999</v>
      </c>
      <c r="E71" s="268">
        <v>63.455646000000002</v>
      </c>
      <c r="F71" s="86"/>
      <c r="G71" s="86"/>
      <c r="H71" s="86"/>
      <c r="I71" s="86"/>
      <c r="J71" s="86"/>
      <c r="K71" s="86"/>
      <c r="L71" s="110"/>
      <c r="M71" s="267">
        <v>208.34226804123699</v>
      </c>
      <c r="N71" s="267">
        <v>63.455646000000002</v>
      </c>
      <c r="O71" s="86"/>
      <c r="P71" s="86"/>
      <c r="Q71" s="86"/>
      <c r="R71" s="86"/>
      <c r="S71" s="86"/>
      <c r="T71" s="86"/>
      <c r="U71" s="85" t="e">
        <f t="shared" si="6"/>
        <v>#DIV/0!</v>
      </c>
      <c r="V71" s="86" t="e">
        <f t="shared" si="6"/>
        <v>#DIV/0!</v>
      </c>
      <c r="W71" s="110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0">
        <v>66.903647000000007</v>
      </c>
      <c r="AP71" s="240" cm="1">
        <f t="array" ref="AP71">pareto($D70:$D75,$E70:$E75,2,"rate",$AR$1,$AO71,$AO73)</f>
        <v>208.34226799999999</v>
      </c>
      <c r="AQ71" s="240" cm="1">
        <f t="array" ref="AQ71">pareto($D70:$D75,$E70:$E75,2,"dist",$AR$1,$AO71,$AO73)</f>
        <v>63.455646000000002</v>
      </c>
      <c r="AR71" s="240" cm="1">
        <f t="array" ref="AR71">pareto($M70:$M75,$N70:$N75,2,"rate",$AR$1,$AO71,$AO73)</f>
        <v>208.34226804123699</v>
      </c>
      <c r="AS71" s="240" cm="1">
        <f t="array" ref="AS71">pareto($M70:$M75,$N70:$N75,2,"dist",$AR$1,$AO71,$AO73)</f>
        <v>63.455646000000002</v>
      </c>
    </row>
    <row r="72" spans="1:45" ht="12" customHeight="1" x14ac:dyDescent="0.25">
      <c r="A72" s="74"/>
      <c r="B72" s="133"/>
      <c r="C72" s="107" t="s">
        <v>252</v>
      </c>
      <c r="D72" s="268">
        <v>136.985567</v>
      </c>
      <c r="E72" s="268">
        <v>53.532552000000003</v>
      </c>
      <c r="F72" s="86"/>
      <c r="G72" s="86"/>
      <c r="H72" s="86"/>
      <c r="I72" s="86"/>
      <c r="J72" s="86"/>
      <c r="K72" s="86"/>
      <c r="L72" s="110"/>
      <c r="M72" s="267">
        <v>136.98556701030901</v>
      </c>
      <c r="N72" s="267">
        <v>53.532552000000003</v>
      </c>
      <c r="O72" s="86"/>
      <c r="P72" s="86"/>
      <c r="Q72" s="86"/>
      <c r="R72" s="86"/>
      <c r="S72" s="86"/>
      <c r="T72" s="86"/>
      <c r="U72" s="85" t="e">
        <f t="shared" si="6"/>
        <v>#DIV/0!</v>
      </c>
      <c r="V72" s="86" t="e">
        <f t="shared" si="6"/>
        <v>#DIV/0!</v>
      </c>
      <c r="W72" s="110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0" t="s">
        <v>44</v>
      </c>
      <c r="AP72" s="240" cm="1">
        <f t="array" ref="AP72">pareto($D70:$D75,$E70:$E75,3,"rate",$AR$1,$AO71,$AO73)</f>
        <v>136.985567</v>
      </c>
      <c r="AQ72" s="240" cm="1">
        <f t="array" ref="AQ72">pareto($D70:$D75,$E70:$E75,3,"dist",$AR$1,$AO71,$AO73)</f>
        <v>53.532552000000003</v>
      </c>
      <c r="AR72" s="240" cm="1">
        <f t="array" ref="AR72">pareto($M70:$M75,$N70:$N75,3,"rate",$AR$1,$AO71,$AO73)</f>
        <v>136.98556701030901</v>
      </c>
      <c r="AS72" s="240" cm="1">
        <f t="array" ref="AS72">pareto($M70:$M75,$N70:$N75,3,"dist",$AR$1,$AO71,$AO73)</f>
        <v>53.532552000000003</v>
      </c>
    </row>
    <row r="73" spans="1:45" ht="12" customHeight="1" x14ac:dyDescent="0.25">
      <c r="A73" s="74"/>
      <c r="B73" s="133"/>
      <c r="C73" s="107" t="s">
        <v>253</v>
      </c>
      <c r="D73" s="268">
        <v>89.352577319999995</v>
      </c>
      <c r="E73" s="268">
        <v>41.255105999999998</v>
      </c>
      <c r="F73" s="86"/>
      <c r="G73" s="86"/>
      <c r="H73" s="86"/>
      <c r="I73" s="86"/>
      <c r="J73" s="86"/>
      <c r="K73" s="86"/>
      <c r="L73" s="110"/>
      <c r="M73" s="267">
        <v>89.352577319587596</v>
      </c>
      <c r="N73" s="267">
        <v>41.255105999999998</v>
      </c>
      <c r="O73" s="86"/>
      <c r="P73" s="86"/>
      <c r="Q73" s="86"/>
      <c r="R73" s="86"/>
      <c r="S73" s="86"/>
      <c r="T73" s="86"/>
      <c r="U73" s="85" t="e">
        <f t="shared" si="6"/>
        <v>#DIV/0!</v>
      </c>
      <c r="V73" s="86" t="e">
        <f t="shared" si="6"/>
        <v>#DIV/0!</v>
      </c>
      <c r="W73" s="110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0">
        <v>20</v>
      </c>
      <c r="AP73" s="240" cm="1">
        <f t="array" ref="AP73">pareto($D70:$D75,$E70:$E75,4,"rate",$AR$1,$AO71,$AO73)</f>
        <v>89.352577319999995</v>
      </c>
      <c r="AQ73" s="240" cm="1">
        <f t="array" ref="AQ73">pareto($D70:$D75,$E70:$E75,4,"dist",$AR$1,$AO71,$AO73)</f>
        <v>41.255105999999998</v>
      </c>
      <c r="AR73" s="240" cm="1">
        <f t="array" ref="AR73">pareto($M70:$M75,$N70:$N75,4,"rate",$AR$1,$AO71,$AO73)</f>
        <v>89.352577319587596</v>
      </c>
      <c r="AS73" s="240" cm="1">
        <f t="array" ref="AS73">pareto($M70:$M75,$N70:$N75,4,"dist",$AR$1,$AO71,$AO73)</f>
        <v>41.255105999999998</v>
      </c>
    </row>
    <row r="74" spans="1:45" ht="12" customHeight="1" x14ac:dyDescent="0.25">
      <c r="A74" s="74"/>
      <c r="B74" s="133"/>
      <c r="C74" s="107" t="s">
        <v>254</v>
      </c>
      <c r="D74" s="268">
        <v>55.962886599999997</v>
      </c>
      <c r="E74" s="268">
        <v>28.185815000000002</v>
      </c>
      <c r="F74" s="86"/>
      <c r="G74" s="86"/>
      <c r="H74" s="86"/>
      <c r="I74" s="86"/>
      <c r="J74" s="86"/>
      <c r="K74" s="86"/>
      <c r="L74" s="110"/>
      <c r="M74" s="267">
        <v>55.962886597938102</v>
      </c>
      <c r="N74" s="267">
        <v>28.185815000000002</v>
      </c>
      <c r="O74" s="86"/>
      <c r="P74" s="86"/>
      <c r="Q74" s="86"/>
      <c r="R74" s="86"/>
      <c r="S74" s="86"/>
      <c r="T74" s="86"/>
      <c r="U74" s="85" t="e">
        <f t="shared" si="6"/>
        <v>#DIV/0!</v>
      </c>
      <c r="V74" s="86" t="e">
        <f t="shared" si="6"/>
        <v>#DIV/0!</v>
      </c>
      <c r="W74" s="110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0" cm="1">
        <f t="array" ref="AP74">pareto($D70:$D75,$E70:$E75,5,"rate",$AR$1,$AO71,$AO73)</f>
        <v>34.486597940000003</v>
      </c>
      <c r="AQ74" s="240" cm="1">
        <f t="array" ref="AQ74">pareto($D70:$D75,$E70:$E75,5,"dist",$AR$1,$AO71,$AO73)</f>
        <v>28.698937000000001</v>
      </c>
      <c r="AR74" s="240" cm="1">
        <f t="array" ref="AR74">pareto($M70:$M75,$N70:$N75,5,"rate",$AR$1,$AO71,$AO73)</f>
        <v>34.4865979381443</v>
      </c>
      <c r="AS74" s="240" cm="1">
        <f t="array" ref="AS74">pareto($M70:$M75,$N70:$N75,5,"dist",$AR$1,$AO71,$AO73)</f>
        <v>28.698937000000001</v>
      </c>
    </row>
    <row r="75" spans="1:45" ht="12" customHeight="1" thickBot="1" x14ac:dyDescent="0.3">
      <c r="A75" s="74"/>
      <c r="B75" s="134"/>
      <c r="C75" s="108" t="s">
        <v>255</v>
      </c>
      <c r="D75" s="268">
        <v>34.486597940000003</v>
      </c>
      <c r="E75" s="268">
        <v>28.698937000000001</v>
      </c>
      <c r="F75" s="94"/>
      <c r="G75" s="94"/>
      <c r="H75" s="94"/>
      <c r="I75" s="94"/>
      <c r="J75" s="94"/>
      <c r="K75" s="94"/>
      <c r="L75" s="110"/>
      <c r="M75" s="267">
        <v>34.4865979381443</v>
      </c>
      <c r="N75" s="267">
        <v>28.698937000000001</v>
      </c>
      <c r="O75" s="94"/>
      <c r="P75" s="94"/>
      <c r="Q75" s="94"/>
      <c r="R75" s="94"/>
      <c r="S75" s="94"/>
      <c r="T75" s="94"/>
      <c r="U75" s="85" t="e">
        <f t="shared" si="6"/>
        <v>#DIV/0!</v>
      </c>
      <c r="V75" s="86" t="e">
        <f t="shared" si="6"/>
        <v>#DIV/0!</v>
      </c>
      <c r="W75" s="110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0" t="e" cm="1">
        <f t="array" ref="AP75">pareto($D70:$D75,$E70:$E75,6,"rate",$AR$1,$AO71,$AO73)</f>
        <v>#N/A</v>
      </c>
      <c r="AQ75" s="240" t="e" cm="1">
        <f t="array" ref="AQ75">pareto($D70:$D75,$E70:$E75,6,"dist",$AR$1,$AO71,$AO73)</f>
        <v>#N/A</v>
      </c>
      <c r="AR75" s="240" t="e" cm="1">
        <f t="array" ref="AR75">pareto($M70:$M75,$N70:$N75,6,"rate",$AR$1,$AO71,$AO73)</f>
        <v>#N/A</v>
      </c>
      <c r="AS75" s="240" t="e" cm="1">
        <f t="array" ref="AS75">pareto($M70:$M75,$N70:$N75,6,"dist",$AR$1,$AO71,$AO73)</f>
        <v>#N/A</v>
      </c>
    </row>
    <row r="76" spans="1:45" ht="12" customHeight="1" x14ac:dyDescent="0.25">
      <c r="A76" s="74"/>
      <c r="B76" s="132" t="s">
        <v>88</v>
      </c>
      <c r="C76" s="106" t="s">
        <v>250</v>
      </c>
      <c r="D76" s="268">
        <v>368.1046154</v>
      </c>
      <c r="E76" s="268">
        <v>41.835977</v>
      </c>
      <c r="F76" s="83"/>
      <c r="G76" s="83"/>
      <c r="H76" s="83"/>
      <c r="I76" s="83"/>
      <c r="J76" s="83"/>
      <c r="K76" s="83"/>
      <c r="L76" s="110"/>
      <c r="M76" s="267">
        <v>368.10461538461499</v>
      </c>
      <c r="N76" s="267">
        <v>41.835977</v>
      </c>
      <c r="O76" s="83"/>
      <c r="P76" s="83"/>
      <c r="Q76" s="83"/>
      <c r="R76" s="83"/>
      <c r="S76" s="83"/>
      <c r="T76" s="83"/>
      <c r="U76" s="85" t="e">
        <f t="shared" si="6"/>
        <v>#DIV/0!</v>
      </c>
      <c r="V76" s="86" t="e">
        <f t="shared" si="6"/>
        <v>#DIV/0!</v>
      </c>
      <c r="W76" s="110"/>
      <c r="X76" s="122">
        <f>bdRateExtend($D76:$D81,$E76:$E81,$M76:$M81,$N76:$N81)</f>
        <v>4.9179105232610709E-11</v>
      </c>
      <c r="Y76" s="14">
        <f t="shared" si="7"/>
        <v>5.0552895203281878E-12</v>
      </c>
      <c r="Z76" s="14">
        <f t="shared" si="8"/>
        <v>4.8845372191408387E-11</v>
      </c>
      <c r="AA76" s="14">
        <f>bdRateExtend($D76:$D79,$E76:$E79,$M76:$M79,$N76:$N79)</f>
        <v>2.9096280940166253E-11</v>
      </c>
      <c r="AB76" s="14">
        <f>bdRateExtend($D77:$D80,$E77:$E80,$M77:$M80,$N77:$N80)</f>
        <v>-4.5934367420841227E-12</v>
      </c>
      <c r="AC76" s="14">
        <f>bdRateExtend($D78:$D81,$E78:$E81,$M78:$M81,$N78:$N81)</f>
        <v>4.8174353395324943E-11</v>
      </c>
      <c r="AD76" s="34" cm="1">
        <f t="array" ref="AD76">bdRatePareto(AP76:AP81,AQ76:AQ81,AR76:AR81,AS76:AS81)</f>
        <v>4.9179105232610709E-11</v>
      </c>
      <c r="AE76" s="14" t="e">
        <f>bdRateExtend($D76:$D81,F76:F81,$M76:$M81,O76:O81)</f>
        <v>#VALUE!</v>
      </c>
      <c r="AF76" s="14" t="e">
        <f>bdRateExtend($D76:$D81,G76:G81,$M76:$M81,P76:P81)</f>
        <v>#VALUE!</v>
      </c>
      <c r="AG76" s="15" t="e">
        <f>bdRateExtend($D76:$D81,H76:H81,$M76:$M81,Q76:Q81)</f>
        <v>#VALUE!</v>
      </c>
      <c r="AH76" s="72">
        <f>bdPSNRExtend($D76:$D81,$E76:$E81,$M76:$M81,$N76:$N81)</f>
        <v>-4.53704863607317E-10</v>
      </c>
      <c r="AO76" s="240" t="s">
        <v>213</v>
      </c>
      <c r="AP76" s="240" cm="1">
        <f t="array" ref="AP76">pareto($D76:$D81,$E76:$E81,1,"rate",$AR$1,$AO77,$AO79)</f>
        <v>368.1046154</v>
      </c>
      <c r="AQ76" s="240" cm="1">
        <f t="array" ref="AQ76">pareto($D76:$D81,$E76:$E81,1,"dist",$AR$1,$AO77,$AO79)</f>
        <v>41.835977</v>
      </c>
      <c r="AR76" s="240" cm="1">
        <f t="array" ref="AR76">pareto($M76:$M81,$N76:$N81,1,"rate",$AR$1,$AO77,$AO79)</f>
        <v>368.10461538461499</v>
      </c>
      <c r="AS76" s="240" cm="1">
        <f t="array" ref="AS76">pareto($M76:$M81,$N76:$N81,1,"dist",$AR$1,$AO77,$AO79)</f>
        <v>41.835977</v>
      </c>
    </row>
    <row r="77" spans="1:45" ht="12" customHeight="1" x14ac:dyDescent="0.25">
      <c r="A77" s="74"/>
      <c r="B77" s="133"/>
      <c r="C77" s="107" t="s">
        <v>251</v>
      </c>
      <c r="D77" s="268">
        <v>223.21846149999999</v>
      </c>
      <c r="E77" s="268">
        <v>39.792687000000001</v>
      </c>
      <c r="F77" s="86"/>
      <c r="G77" s="86"/>
      <c r="H77" s="86"/>
      <c r="I77" s="86"/>
      <c r="J77" s="86"/>
      <c r="K77" s="86"/>
      <c r="L77" s="110"/>
      <c r="M77" s="267">
        <v>223.21846153846101</v>
      </c>
      <c r="N77" s="267">
        <v>39.792687000000001</v>
      </c>
      <c r="O77" s="86"/>
      <c r="P77" s="86"/>
      <c r="Q77" s="86"/>
      <c r="R77" s="86"/>
      <c r="S77" s="86"/>
      <c r="T77" s="86"/>
      <c r="U77" s="85" t="e">
        <f t="shared" si="6"/>
        <v>#DIV/0!</v>
      </c>
      <c r="V77" s="86" t="e">
        <f t="shared" si="6"/>
        <v>#DIV/0!</v>
      </c>
      <c r="W77" s="110"/>
      <c r="X77" s="89"/>
      <c r="Y77" s="90"/>
      <c r="Z77" s="90"/>
      <c r="AA77" s="90"/>
      <c r="AB77" s="90"/>
      <c r="AC77" s="90"/>
      <c r="AD77" s="90"/>
      <c r="AE77" s="90"/>
      <c r="AF77" s="90"/>
      <c r="AG77" s="91"/>
      <c r="AH77" s="110"/>
      <c r="AO77" s="240">
        <v>49.804110999999999</v>
      </c>
      <c r="AP77" s="240" cm="1">
        <f t="array" ref="AP77">pareto($D76:$D81,$E76:$E81,2,"rate",$AR$1,$AO77,$AO79)</f>
        <v>223.21846149999999</v>
      </c>
      <c r="AQ77" s="240" cm="1">
        <f t="array" ref="AQ77">pareto($D76:$D81,$E76:$E81,2,"dist",$AR$1,$AO77,$AO79)</f>
        <v>39.792687000000001</v>
      </c>
      <c r="AR77" s="240" cm="1">
        <f t="array" ref="AR77">pareto($M76:$M81,$N76:$N81,2,"rate",$AR$1,$AO77,$AO79)</f>
        <v>223.21846153846101</v>
      </c>
      <c r="AS77" s="240" cm="1">
        <f t="array" ref="AS77">pareto($M76:$M81,$N76:$N81,2,"dist",$AR$1,$AO77,$AO79)</f>
        <v>39.792687000000001</v>
      </c>
    </row>
    <row r="78" spans="1:45" ht="12" customHeight="1" x14ac:dyDescent="0.25">
      <c r="A78" s="74"/>
      <c r="B78" s="133"/>
      <c r="C78" s="107" t="s">
        <v>252</v>
      </c>
      <c r="D78" s="268">
        <v>129.84369229999999</v>
      </c>
      <c r="E78" s="268">
        <v>39.146438000000003</v>
      </c>
      <c r="F78" s="86"/>
      <c r="G78" s="86"/>
      <c r="H78" s="86"/>
      <c r="I78" s="86"/>
      <c r="J78" s="86"/>
      <c r="K78" s="86"/>
      <c r="L78" s="110"/>
      <c r="M78" s="267">
        <v>129.84369230769201</v>
      </c>
      <c r="N78" s="267">
        <v>39.146438000000003</v>
      </c>
      <c r="O78" s="86"/>
      <c r="P78" s="86"/>
      <c r="Q78" s="86"/>
      <c r="R78" s="86"/>
      <c r="S78" s="86"/>
      <c r="T78" s="86"/>
      <c r="U78" s="85" t="e">
        <f t="shared" si="6"/>
        <v>#DIV/0!</v>
      </c>
      <c r="V78" s="86" t="e">
        <f t="shared" si="6"/>
        <v>#DIV/0!</v>
      </c>
      <c r="W78" s="110"/>
      <c r="X78" s="89"/>
      <c r="Y78" s="90"/>
      <c r="Z78" s="90"/>
      <c r="AA78" s="90"/>
      <c r="AB78" s="90"/>
      <c r="AC78" s="90"/>
      <c r="AD78" s="90"/>
      <c r="AE78" s="90"/>
      <c r="AF78" s="90"/>
      <c r="AG78" s="91"/>
      <c r="AH78" s="110"/>
      <c r="AO78" s="240" t="s">
        <v>44</v>
      </c>
      <c r="AP78" s="240" cm="1">
        <f t="array" ref="AP78">pareto($D76:$D81,$E76:$E81,3,"rate",$AR$1,$AO77,$AO79)</f>
        <v>129.84369229999999</v>
      </c>
      <c r="AQ78" s="240" cm="1">
        <f t="array" ref="AQ78">pareto($D76:$D81,$E76:$E81,3,"dist",$AR$1,$AO77,$AO79)</f>
        <v>39.146438000000003</v>
      </c>
      <c r="AR78" s="240" cm="1">
        <f t="array" ref="AR78">pareto($M76:$M81,$N76:$N81,3,"rate",$AR$1,$AO77,$AO79)</f>
        <v>129.84369230769201</v>
      </c>
      <c r="AS78" s="240" cm="1">
        <f t="array" ref="AS78">pareto($M76:$M81,$N76:$N81,3,"dist",$AR$1,$AO77,$AO79)</f>
        <v>39.146438000000003</v>
      </c>
    </row>
    <row r="79" spans="1:45" ht="12" customHeight="1" x14ac:dyDescent="0.25">
      <c r="A79" s="74"/>
      <c r="B79" s="133"/>
      <c r="C79" s="107" t="s">
        <v>253</v>
      </c>
      <c r="D79" s="268">
        <v>77.442461539999996</v>
      </c>
      <c r="E79" s="268">
        <v>35.052520999999999</v>
      </c>
      <c r="F79" s="86"/>
      <c r="G79" s="86"/>
      <c r="H79" s="86"/>
      <c r="I79" s="86"/>
      <c r="J79" s="86"/>
      <c r="K79" s="86"/>
      <c r="L79" s="110"/>
      <c r="M79" s="267">
        <v>77.442461538461501</v>
      </c>
      <c r="N79" s="267">
        <v>35.052520999999999</v>
      </c>
      <c r="O79" s="86"/>
      <c r="P79" s="86"/>
      <c r="Q79" s="86"/>
      <c r="R79" s="86"/>
      <c r="S79" s="86"/>
      <c r="T79" s="86"/>
      <c r="U79" s="85" t="e">
        <f t="shared" si="6"/>
        <v>#DIV/0!</v>
      </c>
      <c r="V79" s="86" t="e">
        <f t="shared" si="6"/>
        <v>#DIV/0!</v>
      </c>
      <c r="W79" s="110"/>
      <c r="X79" s="89"/>
      <c r="Y79" s="90"/>
      <c r="Z79" s="90"/>
      <c r="AA79" s="90"/>
      <c r="AB79" s="90"/>
      <c r="AC79" s="90"/>
      <c r="AD79" s="90"/>
      <c r="AE79" s="90"/>
      <c r="AF79" s="90"/>
      <c r="AG79" s="91"/>
      <c r="AH79" s="110"/>
      <c r="AO79" s="240">
        <v>20</v>
      </c>
      <c r="AP79" s="240" cm="1">
        <f t="array" ref="AP79">pareto($D76:$D81,$E76:$E81,4,"rate",$AR$1,$AO77,$AO79)</f>
        <v>77.442461539999996</v>
      </c>
      <c r="AQ79" s="240" cm="1">
        <f t="array" ref="AQ79">pareto($D76:$D81,$E76:$E81,4,"dist",$AR$1,$AO77,$AO79)</f>
        <v>35.052520999999999</v>
      </c>
      <c r="AR79" s="240" cm="1">
        <f t="array" ref="AR79">pareto($M76:$M81,$N76:$N81,4,"rate",$AR$1,$AO77,$AO79)</f>
        <v>77.442461538461501</v>
      </c>
      <c r="AS79" s="240" cm="1">
        <f t="array" ref="AS79">pareto($M76:$M81,$N76:$N81,4,"dist",$AR$1,$AO77,$AO79)</f>
        <v>35.052520999999999</v>
      </c>
    </row>
    <row r="80" spans="1:45" ht="12" customHeight="1" x14ac:dyDescent="0.25">
      <c r="A80" s="74"/>
      <c r="B80" s="133"/>
      <c r="C80" s="107" t="s">
        <v>254</v>
      </c>
      <c r="D80" s="268">
        <v>46.785230769999998</v>
      </c>
      <c r="E80" s="268">
        <v>29.618590000000001</v>
      </c>
      <c r="F80" s="86"/>
      <c r="G80" s="86"/>
      <c r="H80" s="86"/>
      <c r="I80" s="86"/>
      <c r="J80" s="86"/>
      <c r="K80" s="86"/>
      <c r="L80" s="110"/>
      <c r="M80" s="267">
        <v>46.785230769230701</v>
      </c>
      <c r="N80" s="267">
        <v>29.618590000000001</v>
      </c>
      <c r="O80" s="86"/>
      <c r="P80" s="86"/>
      <c r="Q80" s="86"/>
      <c r="R80" s="86"/>
      <c r="S80" s="86"/>
      <c r="T80" s="86"/>
      <c r="U80" s="85" t="e">
        <f t="shared" si="6"/>
        <v>#DIV/0!</v>
      </c>
      <c r="V80" s="86" t="e">
        <f t="shared" si="6"/>
        <v>#DIV/0!</v>
      </c>
      <c r="W80" s="110"/>
      <c r="X80" s="89"/>
      <c r="Y80" s="90"/>
      <c r="Z80" s="90"/>
      <c r="AA80" s="90"/>
      <c r="AB80" s="90"/>
      <c r="AC80" s="90"/>
      <c r="AD80" s="90"/>
      <c r="AE80" s="90"/>
      <c r="AF80" s="90"/>
      <c r="AG80" s="91"/>
      <c r="AH80" s="110"/>
      <c r="AP80" s="240" cm="1">
        <f t="array" ref="AP80">pareto($D76:$D81,$E76:$E81,5,"rate",$AR$1,$AO77,$AO79)</f>
        <v>46.785230769999998</v>
      </c>
      <c r="AQ80" s="240" cm="1">
        <f t="array" ref="AQ80">pareto($D76:$D81,$E76:$E81,5,"dist",$AR$1,$AO77,$AO79)</f>
        <v>29.618590000000001</v>
      </c>
      <c r="AR80" s="240" cm="1">
        <f t="array" ref="AR80">pareto($M76:$M81,$N76:$N81,5,"rate",$AR$1,$AO77,$AO79)</f>
        <v>46.785230769230701</v>
      </c>
      <c r="AS80" s="240" cm="1">
        <f t="array" ref="AS80">pareto($M76:$M81,$N76:$N81,5,"dist",$AR$1,$AO77,$AO79)</f>
        <v>29.618590000000001</v>
      </c>
    </row>
    <row r="81" spans="1:47" ht="12" customHeight="1" thickBot="1" x14ac:dyDescent="0.3">
      <c r="A81" s="92"/>
      <c r="B81" s="134"/>
      <c r="C81" s="108" t="s">
        <v>255</v>
      </c>
      <c r="D81" s="268">
        <v>28.31261538</v>
      </c>
      <c r="E81" s="268">
        <v>15.820852</v>
      </c>
      <c r="F81" s="94"/>
      <c r="G81" s="94"/>
      <c r="H81" s="94"/>
      <c r="I81" s="94"/>
      <c r="J81" s="94"/>
      <c r="K81" s="94"/>
      <c r="L81" s="111"/>
      <c r="M81" s="267">
        <v>28.312615384615299</v>
      </c>
      <c r="N81" s="267">
        <v>15.820852</v>
      </c>
      <c r="O81" s="94"/>
      <c r="P81" s="94"/>
      <c r="Q81" s="94"/>
      <c r="R81" s="94"/>
      <c r="S81" s="94"/>
      <c r="T81" s="94"/>
      <c r="U81" s="93" t="e">
        <f t="shared" si="6"/>
        <v>#DIV/0!</v>
      </c>
      <c r="V81" s="94" t="e">
        <f t="shared" si="6"/>
        <v>#DIV/0!</v>
      </c>
      <c r="W81" s="111"/>
      <c r="X81" s="95"/>
      <c r="Y81" s="96"/>
      <c r="Z81" s="96"/>
      <c r="AA81" s="96"/>
      <c r="AB81" s="96"/>
      <c r="AC81" s="96"/>
      <c r="AD81" s="96"/>
      <c r="AE81" s="96"/>
      <c r="AF81" s="96"/>
      <c r="AG81" s="97"/>
      <c r="AH81" s="111"/>
      <c r="AP81" s="240" cm="1">
        <f t="array" ref="AP81">pareto($D76:$D81,$E76:$E81,6,"rate",$AR$1,$AO77,$AO79)</f>
        <v>28.31261538</v>
      </c>
      <c r="AQ81" s="240" cm="1">
        <f t="array" ref="AQ81">pareto($D76:$D81,$E76:$E81,6,"dist",$AR$1,$AO77,$AO79)</f>
        <v>15.820852</v>
      </c>
      <c r="AR81" s="240" cm="1">
        <f t="array" ref="AR81">pareto($M76:$M81,$N76:$N81,6,"rate",$AR$1,$AO77,$AO79)</f>
        <v>28.312615384615299</v>
      </c>
      <c r="AS81" s="240" cm="1">
        <f t="array" ref="AS81">pareto($M76:$M81,$N76:$N81,6,"dist",$AR$1,$AO77,$AO79)</f>
        <v>15.820852</v>
      </c>
    </row>
    <row r="82" spans="1:47" ht="12" customHeight="1" x14ac:dyDescent="0.25">
      <c r="A82" s="81" t="s">
        <v>222</v>
      </c>
      <c r="B82" s="132" t="s">
        <v>223</v>
      </c>
      <c r="C82" s="106" t="s">
        <v>250</v>
      </c>
      <c r="D82" s="82"/>
      <c r="E82" s="137"/>
      <c r="F82" s="83"/>
      <c r="G82" s="83"/>
      <c r="H82" s="83"/>
      <c r="I82" s="83"/>
      <c r="J82" s="83"/>
      <c r="K82" s="83"/>
      <c r="L82" s="110"/>
      <c r="M82" s="82"/>
      <c r="N82" s="137"/>
      <c r="O82" s="83"/>
      <c r="P82" s="83"/>
      <c r="Q82" s="83"/>
      <c r="R82" s="83"/>
      <c r="S82" s="83"/>
      <c r="T82" s="83"/>
      <c r="U82" s="82" t="e">
        <f t="shared" ref="U82:U87" si="12">S82/J82</f>
        <v>#DIV/0!</v>
      </c>
      <c r="V82" s="84" t="e">
        <f t="shared" ref="V82:V87" si="13">T82/K82</f>
        <v>#DIV/0!</v>
      </c>
      <c r="W82" s="127"/>
      <c r="X82" s="122" t="e">
        <f>bdRateExtend($D82:$D87,$E82:$E87,$M82:$M87,$N82:$N87)</f>
        <v>#VALUE!</v>
      </c>
      <c r="Y82" s="14" t="e">
        <f>bdRateExtend($D82:$D86,$E82:$E86,$M82:$M86,$N82:$N86)</f>
        <v>#VALUE!</v>
      </c>
      <c r="Z82" s="14" t="e">
        <f>bdRateExtend($D83:$D87,$E83:$E87,$M83:$M87,$N83:$N87)</f>
        <v>#VALUE!</v>
      </c>
      <c r="AA82" s="14" t="e">
        <f>bdRateExtend($D82:$D85,$E82:$E85,$M82:$M85,$N82:$N85)</f>
        <v>#VALUE!</v>
      </c>
      <c r="AB82" s="14" t="e">
        <f>bdRateExtend($D83:$D86,$E83:$E86,$M83:$M86,$N83:$N86)</f>
        <v>#VALUE!</v>
      </c>
      <c r="AC82" s="14" t="e">
        <f>bdRateExtend($D84:$D87,$E84:$E87,$M84:$M87,$N84:$N87)</f>
        <v>#VALUE!</v>
      </c>
      <c r="AD82" s="34" t="e" cm="1">
        <f t="array" ref="AD82">bdRatePareto(AP82:AP87,AQ82:AQ87,AR82:AR87,AS82:AS87)</f>
        <v>#VALUE!</v>
      </c>
      <c r="AE82" s="14" t="e">
        <f>bdRateExtend($D82:$D87,F82:F87,$M82:$M87,O82:O87)</f>
        <v>#VALUE!</v>
      </c>
      <c r="AF82" s="14" t="e">
        <f>bdRateExtend($D82:$D87,G82:G87,$M82:$M87,P82:P87)</f>
        <v>#VALUE!</v>
      </c>
      <c r="AG82" s="15" t="e">
        <f>bdRateExtend($D82:$D87,H82:H87,$M82:$M87,Q82:Q87)</f>
        <v>#VALUE!</v>
      </c>
      <c r="AH82" s="129" t="e">
        <f>bdPSNRExtend($D82:$D87,$E82:$E87,$M82:$M87,$N82:$N87)</f>
        <v>#VALUE!</v>
      </c>
      <c r="AO82" s="240" t="s">
        <v>213</v>
      </c>
      <c r="AP82" s="240" t="e" cm="1">
        <f t="array" ref="AP82">pareto($D82:$D87,$E82:$E87,1,"rate",$AR$1,$AO83,$AO85)</f>
        <v>#N/A</v>
      </c>
      <c r="AQ82" s="240" t="e" cm="1">
        <f t="array" ref="AQ82">pareto($D82:$D87,$E82:$E87,1,"dist",$AR$1,$AO83,$AO85)</f>
        <v>#N/A</v>
      </c>
      <c r="AR82" s="240" t="e" cm="1">
        <f t="array" ref="AR82">pareto($M82:$M87,$N82:$N87,1,"rate",$AR$1,$AO83,$AO85)</f>
        <v>#N/A</v>
      </c>
      <c r="AS82" s="240" t="e" cm="1">
        <f t="array" ref="AS82">pareto($M82:$M87,$N82:$N87,1,"dist",$AR$1,$AO83,$AO85)</f>
        <v>#N/A</v>
      </c>
      <c r="AT82" s="1"/>
      <c r="AU82" s="243"/>
    </row>
    <row r="83" spans="1:47" ht="12" customHeight="1" x14ac:dyDescent="0.25">
      <c r="A83" s="136"/>
      <c r="B83" s="133"/>
      <c r="C83" s="107" t="s">
        <v>251</v>
      </c>
      <c r="D83" s="85"/>
      <c r="E83" s="138"/>
      <c r="F83" s="86"/>
      <c r="G83" s="86"/>
      <c r="H83" s="86"/>
      <c r="I83" s="86"/>
      <c r="J83" s="86"/>
      <c r="K83" s="86"/>
      <c r="L83" s="110"/>
      <c r="M83" s="85"/>
      <c r="N83" s="138"/>
      <c r="O83" s="86"/>
      <c r="P83" s="86"/>
      <c r="Q83" s="86"/>
      <c r="R83" s="86"/>
      <c r="S83" s="86"/>
      <c r="T83" s="86"/>
      <c r="U83" s="85" t="e">
        <f t="shared" si="12"/>
        <v>#DIV/0!</v>
      </c>
      <c r="V83" s="87" t="e">
        <f t="shared" si="13"/>
        <v>#DIV/0!</v>
      </c>
      <c r="W83" s="128"/>
      <c r="X83" s="89"/>
      <c r="Y83" s="90"/>
      <c r="Z83" s="90"/>
      <c r="AA83" s="90"/>
      <c r="AB83" s="90"/>
      <c r="AC83" s="90"/>
      <c r="AD83" s="90"/>
      <c r="AE83" s="90"/>
      <c r="AF83" s="90"/>
      <c r="AG83" s="91"/>
      <c r="AH83" s="130"/>
      <c r="AO83" s="240">
        <v>77.041349999999994</v>
      </c>
      <c r="AP83" s="240" t="e" cm="1">
        <f t="array" ref="AP83">pareto($D82:$D87,$E82:$E87,2,"rate",$AR$1,$AO83,$AO85)</f>
        <v>#N/A</v>
      </c>
      <c r="AQ83" s="240" t="e" cm="1">
        <f t="array" ref="AQ83">pareto($D82:$D87,$E82:$E87,2,"dist",$AR$1,$AO83,$AO85)</f>
        <v>#N/A</v>
      </c>
      <c r="AR83" s="240" t="e" cm="1">
        <f t="array" ref="AR83">pareto($M82:$M87,$N82:$N87,2,"rate",$AR$1,$AO83,$AO85)</f>
        <v>#N/A</v>
      </c>
      <c r="AS83" s="240" t="e" cm="1">
        <f t="array" ref="AS83">pareto($M82:$M87,$N82:$N87,2,"dist",$AR$1,$AO83,$AO85)</f>
        <v>#N/A</v>
      </c>
      <c r="AT83" s="1"/>
      <c r="AU83" s="244"/>
    </row>
    <row r="84" spans="1:47" ht="12" customHeight="1" x14ac:dyDescent="0.25">
      <c r="A84" s="74"/>
      <c r="B84" s="133"/>
      <c r="C84" s="107" t="s">
        <v>252</v>
      </c>
      <c r="D84" s="85"/>
      <c r="E84" s="138"/>
      <c r="F84" s="86"/>
      <c r="G84" s="86"/>
      <c r="H84" s="86"/>
      <c r="I84" s="86"/>
      <c r="J84" s="86"/>
      <c r="K84" s="86"/>
      <c r="L84" s="110"/>
      <c r="M84" s="85"/>
      <c r="N84" s="138"/>
      <c r="O84" s="86"/>
      <c r="P84" s="86"/>
      <c r="Q84" s="86"/>
      <c r="R84" s="86"/>
      <c r="S84" s="86"/>
      <c r="T84" s="86"/>
      <c r="U84" s="85" t="e">
        <f t="shared" si="12"/>
        <v>#DIV/0!</v>
      </c>
      <c r="V84" s="87" t="e">
        <f t="shared" si="13"/>
        <v>#DIV/0!</v>
      </c>
      <c r="W84" s="128"/>
      <c r="X84" s="89"/>
      <c r="Y84" s="90"/>
      <c r="Z84" s="90"/>
      <c r="AA84" s="90"/>
      <c r="AB84" s="90"/>
      <c r="AC84" s="90"/>
      <c r="AD84" s="90"/>
      <c r="AE84" s="90"/>
      <c r="AF84" s="90"/>
      <c r="AG84" s="91"/>
      <c r="AH84" s="130"/>
      <c r="AO84" s="240" t="s">
        <v>44</v>
      </c>
      <c r="AP84" s="240" t="e" cm="1">
        <f t="array" ref="AP84">pareto($D82:$D87,$E82:$E87,3,"rate",$AR$1,$AO83,$AO85)</f>
        <v>#N/A</v>
      </c>
      <c r="AQ84" s="240" t="e" cm="1">
        <f t="array" ref="AQ84">pareto($D82:$D87,$E82:$E87,3,"dist",$AR$1,$AO83,$AO85)</f>
        <v>#N/A</v>
      </c>
      <c r="AR84" s="240" t="e" cm="1">
        <f t="array" ref="AR84">pareto($M82:$M87,$N82:$N87,3,"rate",$AR$1,$AO83,$AO85)</f>
        <v>#N/A</v>
      </c>
      <c r="AS84" s="240" t="e" cm="1">
        <f t="array" ref="AS84">pareto($M82:$M87,$N82:$N87,3,"dist",$AR$1,$AO83,$AO85)</f>
        <v>#N/A</v>
      </c>
      <c r="AT84" s="1"/>
      <c r="AU84" s="244"/>
    </row>
    <row r="85" spans="1:47" ht="12" customHeight="1" x14ac:dyDescent="0.25">
      <c r="A85" s="74"/>
      <c r="B85" s="133"/>
      <c r="C85" s="107" t="s">
        <v>253</v>
      </c>
      <c r="D85" s="85"/>
      <c r="E85" s="138"/>
      <c r="F85" s="86"/>
      <c r="G85" s="86"/>
      <c r="H85" s="86"/>
      <c r="I85" s="86"/>
      <c r="J85" s="86"/>
      <c r="K85" s="86"/>
      <c r="L85" s="110"/>
      <c r="M85" s="85"/>
      <c r="N85" s="138"/>
      <c r="O85" s="86"/>
      <c r="P85" s="86"/>
      <c r="Q85" s="86"/>
      <c r="R85" s="86"/>
      <c r="S85" s="86"/>
      <c r="T85" s="86"/>
      <c r="U85" s="85" t="e">
        <f t="shared" si="12"/>
        <v>#DIV/0!</v>
      </c>
      <c r="V85" s="87" t="e">
        <f t="shared" si="13"/>
        <v>#DIV/0!</v>
      </c>
      <c r="W85" s="128"/>
      <c r="X85" s="89"/>
      <c r="Y85" s="90"/>
      <c r="Z85" s="90"/>
      <c r="AA85" s="90"/>
      <c r="AB85" s="90"/>
      <c r="AC85" s="90"/>
      <c r="AD85" s="90"/>
      <c r="AE85" s="90"/>
      <c r="AF85" s="90"/>
      <c r="AG85" s="91"/>
      <c r="AH85" s="130"/>
      <c r="AO85" s="240">
        <v>20</v>
      </c>
      <c r="AP85" s="240" t="e" cm="1">
        <f t="array" ref="AP85">pareto($D82:$D87,$E82:$E87,4,"rate",$AR$1,$AO83,$AO85)</f>
        <v>#N/A</v>
      </c>
      <c r="AQ85" s="240" t="e" cm="1">
        <f t="array" ref="AQ85">pareto($D82:$D87,$E82:$E87,4,"dist",$AR$1,$AO83,$AO85)</f>
        <v>#N/A</v>
      </c>
      <c r="AR85" s="240" t="e" cm="1">
        <f t="array" ref="AR85">pareto($M82:$M87,$N82:$N87,4,"rate",$AR$1,$AO83,$AO85)</f>
        <v>#N/A</v>
      </c>
      <c r="AS85" s="240" t="e" cm="1">
        <f t="array" ref="AS85">pareto($M82:$M87,$N82:$N87,4,"dist",$AR$1,$AO83,$AO85)</f>
        <v>#N/A</v>
      </c>
      <c r="AT85" s="1"/>
      <c r="AU85" s="244"/>
    </row>
    <row r="86" spans="1:47" ht="12" customHeight="1" x14ac:dyDescent="0.25">
      <c r="A86" s="74"/>
      <c r="B86" s="133"/>
      <c r="C86" s="107" t="s">
        <v>254</v>
      </c>
      <c r="D86" s="85"/>
      <c r="E86" s="138"/>
      <c r="F86" s="86"/>
      <c r="G86" s="86"/>
      <c r="H86" s="86"/>
      <c r="I86" s="86"/>
      <c r="J86" s="86"/>
      <c r="K86" s="86"/>
      <c r="L86" s="110"/>
      <c r="M86" s="85"/>
      <c r="N86" s="138"/>
      <c r="O86" s="86"/>
      <c r="P86" s="86"/>
      <c r="Q86" s="86"/>
      <c r="R86" s="86"/>
      <c r="S86" s="86"/>
      <c r="T86" s="86"/>
      <c r="U86" s="85" t="e">
        <f t="shared" si="12"/>
        <v>#DIV/0!</v>
      </c>
      <c r="V86" s="87" t="e">
        <f t="shared" si="13"/>
        <v>#DIV/0!</v>
      </c>
      <c r="W86" s="128"/>
      <c r="X86" s="89"/>
      <c r="Y86" s="90"/>
      <c r="Z86" s="90"/>
      <c r="AA86" s="90"/>
      <c r="AB86" s="90"/>
      <c r="AC86" s="90"/>
      <c r="AD86" s="90"/>
      <c r="AE86" s="90"/>
      <c r="AF86" s="90"/>
      <c r="AG86" s="91"/>
      <c r="AH86" s="130"/>
      <c r="AO86" s="240"/>
      <c r="AP86" s="240" t="e" cm="1">
        <f t="array" ref="AP86">pareto($D82:$D87,$E82:$E87,5,"rate",$AR$1,$AO83,$AO85)</f>
        <v>#N/A</v>
      </c>
      <c r="AQ86" s="240" t="e" cm="1">
        <f t="array" ref="AQ86">pareto($D82:$D87,$E82:$E87,5,"dist",$AR$1,$AO83,$AO85)</f>
        <v>#N/A</v>
      </c>
      <c r="AR86" s="240" t="e" cm="1">
        <f t="array" ref="AR86">pareto($M82:$M87,$N82:$N87,5,"rate",$AR$1,$AO83,$AO85)</f>
        <v>#N/A</v>
      </c>
      <c r="AS86" s="240" t="e" cm="1">
        <f t="array" ref="AS86">pareto($M82:$M87,$N82:$N87,5,"dist",$AR$1,$AO83,$AO85)</f>
        <v>#N/A</v>
      </c>
      <c r="AT86" s="240"/>
      <c r="AU86" s="240"/>
    </row>
    <row r="87" spans="1:47" ht="12" customHeight="1" thickBot="1" x14ac:dyDescent="0.3">
      <c r="A87" s="92"/>
      <c r="B87" s="134"/>
      <c r="C87" s="108" t="s">
        <v>255</v>
      </c>
      <c r="D87" s="93"/>
      <c r="E87" s="269"/>
      <c r="F87" s="94"/>
      <c r="G87" s="94"/>
      <c r="H87" s="94"/>
      <c r="I87" s="94"/>
      <c r="J87" s="94"/>
      <c r="K87" s="94"/>
      <c r="L87" s="111"/>
      <c r="M87" s="93"/>
      <c r="N87" s="269"/>
      <c r="O87" s="94"/>
      <c r="P87" s="94"/>
      <c r="Q87" s="94"/>
      <c r="R87" s="94"/>
      <c r="S87" s="94"/>
      <c r="T87" s="94"/>
      <c r="U87" s="93" t="e">
        <f t="shared" si="12"/>
        <v>#DIV/0!</v>
      </c>
      <c r="V87" s="252" t="e">
        <f t="shared" si="13"/>
        <v>#DIV/0!</v>
      </c>
      <c r="W87" s="128"/>
      <c r="X87" s="95"/>
      <c r="Y87" s="96"/>
      <c r="Z87" s="96"/>
      <c r="AA87" s="96"/>
      <c r="AB87" s="96"/>
      <c r="AC87" s="96"/>
      <c r="AD87" s="96"/>
      <c r="AE87" s="96"/>
      <c r="AF87" s="96"/>
      <c r="AG87" s="97"/>
      <c r="AH87" s="131"/>
      <c r="AO87" s="240"/>
      <c r="AP87" s="240" t="e" cm="1">
        <f t="array" ref="AP87">pareto($D82:$D87,$E82:$E87,6,"rate",$AR$1,$AO83,$AO85)</f>
        <v>#N/A</v>
      </c>
      <c r="AQ87" s="240" t="e" cm="1">
        <f t="array" ref="AQ87">pareto($D82:$D87,$E82:$E87,6,"dist",$AR$1,$AO83,$AO85)</f>
        <v>#N/A</v>
      </c>
      <c r="AR87" s="240" t="e" cm="1">
        <f t="array" ref="AR87">pareto($M82:$M87,$N82:$N87,6,"rate",$AR$1,$AO83,$AO85)</f>
        <v>#N/A</v>
      </c>
      <c r="AS87" s="240" t="e" cm="1">
        <f t="array" ref="AS87">pareto($M82:$M87,$N82:$N87,6,"dist",$AR$1,$AO83,$AO85)</f>
        <v>#N/A</v>
      </c>
      <c r="AT87" s="240"/>
      <c r="AU87" s="240"/>
    </row>
    <row r="88" spans="1:47" ht="12" customHeight="1" x14ac:dyDescent="0.25">
      <c r="A88" s="81" t="s">
        <v>256</v>
      </c>
      <c r="B88" s="132"/>
      <c r="C88" s="106" t="s">
        <v>250</v>
      </c>
      <c r="D88" s="82">
        <f t="shared" ref="D88:E90" si="14">AVERAGE(D4,D10,D16,D22,D28,D34,D40,D46,D52,D58,D64,D70,D76)</f>
        <v>400.28086083076926</v>
      </c>
      <c r="E88" s="270">
        <f t="shared" si="14"/>
        <v>42.904735769230761</v>
      </c>
      <c r="F88" s="83"/>
      <c r="G88" s="83"/>
      <c r="H88" s="83"/>
      <c r="I88" s="83"/>
      <c r="J88" s="83"/>
      <c r="K88" s="83"/>
      <c r="L88" s="110"/>
      <c r="M88" s="82">
        <f>AVERAGE(M4,M10,M16,M22,M28,M34,M40,M46,M52,M58,M64,M70,M76)</f>
        <v>400.28086082532212</v>
      </c>
      <c r="N88" s="270">
        <f>AVERAGE(N4,N10,N16,N22,N28,N34,N40,N46,N52,N58,N64,N70,N76)</f>
        <v>42.899659461538448</v>
      </c>
      <c r="O88" s="83"/>
      <c r="P88" s="83"/>
      <c r="Q88" s="83"/>
      <c r="R88" s="83"/>
      <c r="S88" s="83"/>
      <c r="T88" s="83"/>
      <c r="U88" s="82" t="e">
        <f t="shared" ref="U88:U93" si="15">S88/J88</f>
        <v>#DIV/0!</v>
      </c>
      <c r="V88" s="84" t="e">
        <f t="shared" ref="V88:V93" si="16">T88/K88</f>
        <v>#DIV/0!</v>
      </c>
      <c r="W88" s="127"/>
      <c r="X88" s="122">
        <f>bdRateExtend($D88:$D93,$E88:$E93,$M88:$M93,$N88:$N93)</f>
        <v>3.6135773880285882E-5</v>
      </c>
      <c r="Y88" s="14">
        <f>bdRateExtend($D88:$D92,$E88:$E92,$M88:$M92,$N88:$N92)</f>
        <v>4.5293227239007194E-5</v>
      </c>
      <c r="Z88" s="14">
        <f>bdRateExtend($D89:$D93,$E89:$E93,$M89:$M93,$N89:$N93)</f>
        <v>-3.648747970430577E-11</v>
      </c>
      <c r="AA88" s="14">
        <f>bdRateExtend($D88:$D91,$E88:$E91,$M88:$M91,$N88:$N91)</f>
        <v>7.5909044233934964E-5</v>
      </c>
      <c r="AB88" s="14">
        <f>bdRateExtend($D89:$D92,$E89:$E92,$M89:$M92,$N89:$N92)</f>
        <v>-4.138356324290271E-11</v>
      </c>
      <c r="AC88" s="14">
        <f>bdRateExtend($D90:$D93,$E90:$E93,$M90:$M93,$N90:$N93)</f>
        <v>-3.2891911416754738E-11</v>
      </c>
      <c r="AD88" s="34" cm="1">
        <f t="array" ref="AD88">bdRatePareto(AP88:AP93,AQ88:AQ93,AR88:AR93,AS88:AS93)</f>
        <v>3.6135773880285882E-5</v>
      </c>
      <c r="AE88" s="14" t="e">
        <f>bdRateExtend($D88:$D93,F88:F93,$M88:$M93,O88:O93)</f>
        <v>#VALUE!</v>
      </c>
      <c r="AF88" s="14" t="e">
        <f>bdRateExtend($D88:$D93,G88:G93,$M88:$M93,P88:P93)</f>
        <v>#VALUE!</v>
      </c>
      <c r="AG88" s="15" t="e">
        <f>bdRateExtend($D88:$D93,H88:H93,$M88:$M93,Q88:Q93)</f>
        <v>#VALUE!</v>
      </c>
      <c r="AH88" s="129">
        <f>bdPSNRExtend($D88:$D93,$E88:$E93,$M88:$M93,$N88:$N93)</f>
        <v>-3.8353505221444138E-4</v>
      </c>
      <c r="AO88" s="240" t="s">
        <v>213</v>
      </c>
      <c r="AP88" s="240" cm="1">
        <f t="array" ref="AP88">pareto($D88:$D93,$E88:$E93,1,"rate",$AR$1,$AO89,$AO91)</f>
        <v>400.28086083076926</v>
      </c>
      <c r="AQ88" s="240" cm="1">
        <f t="array" ref="AQ88">pareto($D88:$D93,$E88:$E93,1,"dist",$AR$1,$AO89,$AO91)</f>
        <v>42.904735769230761</v>
      </c>
      <c r="AR88" s="240" cm="1">
        <f t="array" ref="AR88">pareto($M88:$M93,$N88:$N93,1,"rate",$AR$1,$AO89,$AO91)</f>
        <v>400.28086082532212</v>
      </c>
      <c r="AS88" s="240" cm="1">
        <f t="array" ref="AS88">pareto($M88:$M93,$N88:$N93,1,"dist",$AR$1,$AO89,$AO91)</f>
        <v>42.899659461538448</v>
      </c>
      <c r="AT88" s="1"/>
      <c r="AU88" s="243"/>
    </row>
    <row r="89" spans="1:47" ht="12" customHeight="1" x14ac:dyDescent="0.25">
      <c r="A89" s="136"/>
      <c r="B89" s="133"/>
      <c r="C89" s="107" t="s">
        <v>251</v>
      </c>
      <c r="D89" s="85">
        <f t="shared" si="14"/>
        <v>237.8597299830769</v>
      </c>
      <c r="E89" s="271">
        <f t="shared" si="14"/>
        <v>40.104317076923067</v>
      </c>
      <c r="F89" s="86"/>
      <c r="G89" s="86"/>
      <c r="H89" s="86"/>
      <c r="I89" s="86"/>
      <c r="J89" s="86"/>
      <c r="K89" s="86"/>
      <c r="L89" s="110"/>
      <c r="M89" s="85">
        <f>AVERAGE(M5,M11,M17,M23,M29,M35,M41,M47,M53,M59,M65,M71,M77)</f>
        <v>237.85972999716608</v>
      </c>
      <c r="N89" s="271">
        <f>AVERAGE(N5,N11,N17,N23,N29,N35,N41,N47,N53,N59,N65,N71,N77)</f>
        <v>40.104317076923067</v>
      </c>
      <c r="O89" s="86"/>
      <c r="P89" s="86"/>
      <c r="Q89" s="86"/>
      <c r="R89" s="86"/>
      <c r="S89" s="86"/>
      <c r="T89" s="86"/>
      <c r="U89" s="85" t="e">
        <f t="shared" si="15"/>
        <v>#DIV/0!</v>
      </c>
      <c r="V89" s="87" t="e">
        <f t="shared" si="16"/>
        <v>#DIV/0!</v>
      </c>
      <c r="W89" s="128"/>
      <c r="X89" s="89"/>
      <c r="Y89" s="90"/>
      <c r="Z89" s="90"/>
      <c r="AA89" s="90"/>
      <c r="AB89" s="90"/>
      <c r="AC89" s="90"/>
      <c r="AD89" s="90"/>
      <c r="AE89" s="90"/>
      <c r="AF89" s="90"/>
      <c r="AG89" s="91"/>
      <c r="AH89" s="130"/>
      <c r="AO89" s="240">
        <v>77.041349999999994</v>
      </c>
      <c r="AP89" s="240" cm="1">
        <f t="array" ref="AP89">pareto($D88:$D93,$E88:$E93,2,"rate",$AR$1,$AO89,$AO91)</f>
        <v>237.8597299830769</v>
      </c>
      <c r="AQ89" s="240" cm="1">
        <f t="array" ref="AQ89">pareto($D88:$D93,$E88:$E93,2,"dist",$AR$1,$AO89,$AO91)</f>
        <v>40.104317076923067</v>
      </c>
      <c r="AR89" s="240" cm="1">
        <f t="array" ref="AR89">pareto($M88:$M93,$N88:$N93,2,"rate",$AR$1,$AO89,$AO91)</f>
        <v>237.85972999716608</v>
      </c>
      <c r="AS89" s="240" cm="1">
        <f t="array" ref="AS89">pareto($M88:$M93,$N88:$N93,2,"dist",$AR$1,$AO89,$AO91)</f>
        <v>40.104317076923067</v>
      </c>
      <c r="AT89" s="1"/>
      <c r="AU89" s="244"/>
    </row>
    <row r="90" spans="1:47" ht="12" customHeight="1" x14ac:dyDescent="0.25">
      <c r="A90" s="74"/>
      <c r="B90" s="133"/>
      <c r="C90" s="107" t="s">
        <v>252</v>
      </c>
      <c r="D90" s="85">
        <f t="shared" si="14"/>
        <v>138.81816305153845</v>
      </c>
      <c r="E90" s="271">
        <f t="shared" si="14"/>
        <v>35.682612153846158</v>
      </c>
      <c r="F90" s="86"/>
      <c r="G90" s="86"/>
      <c r="H90" s="86"/>
      <c r="I90" s="86"/>
      <c r="J90" s="86"/>
      <c r="K90" s="86"/>
      <c r="L90" s="110"/>
      <c r="M90" s="85">
        <f t="shared" ref="M90:M93" si="17">AVERAGE(M6,M12,M18,M24,M30,M36,M42,M48,M54,M60,M66,M72,M78)</f>
        <v>138.81816303741221</v>
      </c>
      <c r="N90" s="271">
        <f>AVERAGE(N6,N12,N18,N24,N30,N36,N42,N48,N54,N60,N66,N72,N78)</f>
        <v>35.682612153846158</v>
      </c>
      <c r="O90" s="86"/>
      <c r="P90" s="86"/>
      <c r="Q90" s="86"/>
      <c r="R90" s="86"/>
      <c r="S90" s="86"/>
      <c r="T90" s="86"/>
      <c r="U90" s="85" t="e">
        <f t="shared" si="15"/>
        <v>#DIV/0!</v>
      </c>
      <c r="V90" s="87" t="e">
        <f t="shared" si="16"/>
        <v>#DIV/0!</v>
      </c>
      <c r="W90" s="128"/>
      <c r="X90" s="89"/>
      <c r="Y90" s="90"/>
      <c r="Z90" s="90"/>
      <c r="AA90" s="90"/>
      <c r="AB90" s="90"/>
      <c r="AC90" s="90"/>
      <c r="AD90" s="90"/>
      <c r="AE90" s="90"/>
      <c r="AF90" s="90"/>
      <c r="AG90" s="91"/>
      <c r="AH90" s="130"/>
      <c r="AO90" s="240" t="s">
        <v>44</v>
      </c>
      <c r="AP90" s="240" cm="1">
        <f t="array" ref="AP90">pareto($D88:$D93,$E88:$E93,3,"rate",$AR$1,$AO89,$AO91)</f>
        <v>138.81816305153845</v>
      </c>
      <c r="AQ90" s="240" cm="1">
        <f t="array" ref="AQ90">pareto($D88:$D93,$E88:$E93,3,"dist",$AR$1,$AO89,$AO91)</f>
        <v>35.682612153846158</v>
      </c>
      <c r="AR90" s="240" cm="1">
        <f t="array" ref="AR90">pareto($M88:$M93,$N88:$N93,3,"rate",$AR$1,$AO89,$AO91)</f>
        <v>138.81816303741221</v>
      </c>
      <c r="AS90" s="240" cm="1">
        <f t="array" ref="AS90">pareto($M88:$M93,$N88:$N93,3,"dist",$AR$1,$AO89,$AO91)</f>
        <v>35.682612153846158</v>
      </c>
      <c r="AT90" s="1"/>
      <c r="AU90" s="244"/>
    </row>
    <row r="91" spans="1:47" ht="12" customHeight="1" x14ac:dyDescent="0.25">
      <c r="A91" s="74"/>
      <c r="B91" s="133"/>
      <c r="C91" s="107" t="s">
        <v>253</v>
      </c>
      <c r="D91" s="85">
        <f t="shared" ref="D91:D93" si="18">AVERAGE(D7,D13,D19,D25,D31,D37,D43,D49,D55,D61,D67,D73,D79)</f>
        <v>86.633763980769245</v>
      </c>
      <c r="E91" s="271">
        <f>AVERAGE(E7,E13,E19,E25,E31,E37,E43,E49,E55,E61,E67,E73,E79)</f>
        <v>29.030382076923086</v>
      </c>
      <c r="F91" s="86"/>
      <c r="G91" s="86"/>
      <c r="H91" s="86"/>
      <c r="I91" s="86"/>
      <c r="J91" s="86"/>
      <c r="K91" s="86"/>
      <c r="L91" s="110"/>
      <c r="M91" s="85">
        <f t="shared" si="17"/>
        <v>86.633763977792114</v>
      </c>
      <c r="N91" s="271">
        <f>AVERAGE(N7,N13,N19,N25,N31,N37,N43,N49,N55,N61,N67,N73,N79)</f>
        <v>29.030382076923086</v>
      </c>
      <c r="O91" s="86"/>
      <c r="P91" s="86"/>
      <c r="Q91" s="86"/>
      <c r="R91" s="86"/>
      <c r="S91" s="86"/>
      <c r="T91" s="86"/>
      <c r="U91" s="85" t="e">
        <f t="shared" si="15"/>
        <v>#DIV/0!</v>
      </c>
      <c r="V91" s="87" t="e">
        <f t="shared" si="16"/>
        <v>#DIV/0!</v>
      </c>
      <c r="W91" s="128"/>
      <c r="X91" s="89"/>
      <c r="Y91" s="90"/>
      <c r="Z91" s="90"/>
      <c r="AA91" s="90"/>
      <c r="AB91" s="90"/>
      <c r="AC91" s="90"/>
      <c r="AD91" s="90"/>
      <c r="AE91" s="90"/>
      <c r="AF91" s="90"/>
      <c r="AG91" s="91"/>
      <c r="AH91" s="130"/>
      <c r="AO91" s="240">
        <v>20</v>
      </c>
      <c r="AP91" s="240" cm="1">
        <f t="array" ref="AP91">pareto($D88:$D93,$E88:$E93,4,"rate",$AR$1,$AO89,$AO91)</f>
        <v>86.633763980769245</v>
      </c>
      <c r="AQ91" s="240" cm="1">
        <f t="array" ref="AQ91">pareto($D88:$D93,$E88:$E93,4,"dist",$AR$1,$AO89,$AO91)</f>
        <v>29.030382076923086</v>
      </c>
      <c r="AR91" s="240" cm="1">
        <f t="array" ref="AR91">pareto($M88:$M93,$N88:$N93,4,"rate",$AR$1,$AO89,$AO91)</f>
        <v>86.633763977792114</v>
      </c>
      <c r="AS91" s="240" cm="1">
        <f t="array" ref="AS91">pareto($M88:$M93,$N88:$N93,4,"dist",$AR$1,$AO89,$AO91)</f>
        <v>29.030382076923086</v>
      </c>
      <c r="AT91" s="1"/>
      <c r="AU91" s="244"/>
    </row>
    <row r="92" spans="1:47" ht="12" customHeight="1" x14ac:dyDescent="0.25">
      <c r="A92" s="74"/>
      <c r="B92" s="133"/>
      <c r="C92" s="107" t="s">
        <v>254</v>
      </c>
      <c r="D92" s="85">
        <f t="shared" si="18"/>
        <v>50.702790155384619</v>
      </c>
      <c r="E92" s="271">
        <f>AVERAGE(E8,E14,E20,E26,E32,E38,E44,E50,E56,E62,E68,E74,E80)</f>
        <v>19.655844076923078</v>
      </c>
      <c r="F92" s="86"/>
      <c r="G92" s="86"/>
      <c r="H92" s="86"/>
      <c r="I92" s="86"/>
      <c r="J92" s="86"/>
      <c r="K92" s="86"/>
      <c r="L92" s="110"/>
      <c r="M92" s="85">
        <f t="shared" si="17"/>
        <v>50.702790154463088</v>
      </c>
      <c r="N92" s="271">
        <f>AVERAGE(N8,N14,N20,N26,N32,N38,N44,N50,N56,N62,N68,N74,N80)</f>
        <v>19.655844076923078</v>
      </c>
      <c r="O92" s="86"/>
      <c r="P92" s="86"/>
      <c r="Q92" s="86"/>
      <c r="R92" s="86"/>
      <c r="S92" s="86"/>
      <c r="T92" s="86"/>
      <c r="U92" s="85" t="e">
        <f t="shared" si="15"/>
        <v>#DIV/0!</v>
      </c>
      <c r="V92" s="87" t="e">
        <f t="shared" si="16"/>
        <v>#DIV/0!</v>
      </c>
      <c r="W92" s="128"/>
      <c r="X92" s="89"/>
      <c r="Y92" s="90"/>
      <c r="Z92" s="90"/>
      <c r="AA92" s="90"/>
      <c r="AB92" s="90"/>
      <c r="AC92" s="90"/>
      <c r="AD92" s="90"/>
      <c r="AE92" s="90"/>
      <c r="AF92" s="90"/>
      <c r="AG92" s="91"/>
      <c r="AH92" s="130"/>
      <c r="AO92" s="240"/>
      <c r="AP92" s="240" cm="1">
        <f t="array" ref="AP92">pareto($D88:$D93,$E88:$E93,5,"rate",$AR$1,$AO89,$AO91)</f>
        <v>50.702790155384619</v>
      </c>
      <c r="AQ92" s="240" cm="1">
        <f t="array" ref="AQ92">pareto($D88:$D93,$E88:$E93,5,"dist",$AR$1,$AO89,$AO91)</f>
        <v>19.655844076923078</v>
      </c>
      <c r="AR92" s="240" cm="1">
        <f t="array" ref="AR92">pareto($M88:$M93,$N88:$N93,5,"rate",$AR$1,$AO89,$AO91)</f>
        <v>50.702790154463088</v>
      </c>
      <c r="AS92" s="240" cm="1">
        <f t="array" ref="AS92">pareto($M88:$M93,$N88:$N93,5,"dist",$AR$1,$AO89,$AO91)</f>
        <v>19.655844076923078</v>
      </c>
      <c r="AT92" s="240"/>
      <c r="AU92" s="240"/>
    </row>
    <row r="93" spans="1:47" ht="12" customHeight="1" thickBot="1" x14ac:dyDescent="0.3">
      <c r="A93" s="92"/>
      <c r="B93" s="134"/>
      <c r="C93" s="108" t="s">
        <v>255</v>
      </c>
      <c r="D93" s="93">
        <f t="shared" si="18"/>
        <v>30.987687100769229</v>
      </c>
      <c r="E93" s="272">
        <f>AVERAGE(E9,E15,E21,E27,E33,E39,E45,E51,E57,E63,E69,E75,E81)</f>
        <v>13.765580846153846</v>
      </c>
      <c r="F93" s="94"/>
      <c r="G93" s="94"/>
      <c r="H93" s="94"/>
      <c r="I93" s="94"/>
      <c r="J93" s="94"/>
      <c r="K93" s="94"/>
      <c r="L93" s="111"/>
      <c r="M93" s="93">
        <f t="shared" si="17"/>
        <v>30.987687100498817</v>
      </c>
      <c r="N93" s="272">
        <f>AVERAGE(N9,N15,N21,N27,N33,N39,N45,N51,N57,N63,N69,N75,N81)</f>
        <v>13.765580846153846</v>
      </c>
      <c r="O93" s="94"/>
      <c r="P93" s="94"/>
      <c r="Q93" s="94"/>
      <c r="R93" s="94"/>
      <c r="S93" s="94"/>
      <c r="T93" s="94"/>
      <c r="U93" s="93" t="e">
        <f t="shared" si="15"/>
        <v>#DIV/0!</v>
      </c>
      <c r="V93" s="252" t="e">
        <f t="shared" si="16"/>
        <v>#DIV/0!</v>
      </c>
      <c r="W93" s="128"/>
      <c r="X93" s="95"/>
      <c r="Y93" s="96"/>
      <c r="Z93" s="96"/>
      <c r="AA93" s="96"/>
      <c r="AB93" s="96"/>
      <c r="AC93" s="96"/>
      <c r="AD93" s="96"/>
      <c r="AE93" s="96"/>
      <c r="AF93" s="96"/>
      <c r="AG93" s="97"/>
      <c r="AH93" s="131"/>
      <c r="AO93" s="240"/>
      <c r="AP93" s="240" cm="1">
        <f t="array" ref="AP93">pareto($D88:$D93,$E88:$E93,6,"rate",$AR$1,$AO89,$AO91)</f>
        <v>30.987687100769229</v>
      </c>
      <c r="AQ93" s="240" cm="1">
        <f t="array" ref="AQ93">pareto($D88:$D93,$E88:$E93,6,"dist",$AR$1,$AO89,$AO91)</f>
        <v>13.765580846153846</v>
      </c>
      <c r="AR93" s="240" cm="1">
        <f t="array" ref="AR93">pareto($M88:$M93,$N88:$N93,6,"rate",$AR$1,$AO89,$AO91)</f>
        <v>30.987687100498817</v>
      </c>
      <c r="AS93" s="240" cm="1">
        <f t="array" ref="AS93">pareto($M88:$M93,$N88:$N93,6,"dist",$AR$1,$AO89,$AO91)</f>
        <v>13.765580846153846</v>
      </c>
      <c r="AT93" s="240"/>
      <c r="AU93" s="240"/>
    </row>
    <row r="94" spans="1:47" ht="12" customHeight="1" x14ac:dyDescent="0.25">
      <c r="A94" s="73"/>
      <c r="B94" s="73" t="s">
        <v>57</v>
      </c>
      <c r="C94" s="73"/>
      <c r="D94" s="73"/>
      <c r="E94" s="73"/>
      <c r="F94" s="73"/>
      <c r="G94" s="73"/>
      <c r="H94" s="73"/>
      <c r="I94" s="73"/>
      <c r="J94" s="73" t="e">
        <f>GEOMEAN(J4:J9)</f>
        <v>#NUM!</v>
      </c>
      <c r="K94" s="73" t="e">
        <f>GEOMEAN(K4:K9)</f>
        <v>#NUM!</v>
      </c>
      <c r="L94" s="88"/>
      <c r="M94" s="88"/>
      <c r="N94" s="73"/>
      <c r="O94" s="73"/>
      <c r="P94" s="73"/>
      <c r="Q94" s="73"/>
      <c r="R94" s="73"/>
      <c r="S94" s="73" t="e">
        <f>GEOMEAN(S4:S9)</f>
        <v>#NUM!</v>
      </c>
      <c r="T94" s="73" t="e">
        <f>GEOMEAN(T4:T9)</f>
        <v>#NUM!</v>
      </c>
      <c r="U94" s="73" t="e">
        <f>GEOMEAN(U4:U9)</f>
        <v>#DIV/0!</v>
      </c>
      <c r="V94" s="73" t="e">
        <f>GEOMEAN(V4:V9)</f>
        <v>#DIV/0!</v>
      </c>
      <c r="W94" s="88"/>
      <c r="X94" s="4">
        <f>AVERAGE(X4:X9)</f>
        <v>1E+308</v>
      </c>
      <c r="Y94" s="4">
        <f t="shared" ref="Y94:AH94" si="19">AVERAGE(Y4:Y9)</f>
        <v>1E+308</v>
      </c>
      <c r="Z94" s="4">
        <f t="shared" si="19"/>
        <v>1E+308</v>
      </c>
      <c r="AA94" s="4">
        <f t="shared" si="19"/>
        <v>1E+308</v>
      </c>
      <c r="AB94" s="4">
        <f t="shared" si="19"/>
        <v>1E+308</v>
      </c>
      <c r="AC94" s="4">
        <f t="shared" si="19"/>
        <v>1.074771383002826E-10</v>
      </c>
      <c r="AD94" s="4">
        <f t="shared" si="19"/>
        <v>1.0000777983520948E-10</v>
      </c>
      <c r="AE94" s="4" t="e">
        <f t="shared" si="19"/>
        <v>#VALUE!</v>
      </c>
      <c r="AF94" s="4" t="e">
        <f t="shared" si="19"/>
        <v>#VALUE!</v>
      </c>
      <c r="AG94" s="4" t="e">
        <f t="shared" si="19"/>
        <v>#VALUE!</v>
      </c>
      <c r="AH94" s="4">
        <f t="shared" si="19"/>
        <v>-1.0031643351400748E-9</v>
      </c>
    </row>
    <row r="95" spans="1:47" ht="12" customHeight="1" x14ac:dyDescent="0.25">
      <c r="A95" s="73"/>
      <c r="B95" s="73" t="s">
        <v>59</v>
      </c>
      <c r="C95" s="73"/>
      <c r="D95" s="73"/>
      <c r="E95" s="73"/>
      <c r="F95" s="73"/>
      <c r="G95" s="73"/>
      <c r="H95" s="73"/>
      <c r="I95" s="73"/>
      <c r="J95" s="73" t="e">
        <f>GEOMEAN(J10:J33)</f>
        <v>#NUM!</v>
      </c>
      <c r="K95" s="73" t="e">
        <f>GEOMEAN(K10:K33)</f>
        <v>#NUM!</v>
      </c>
      <c r="L95" s="88"/>
      <c r="M95" s="88"/>
      <c r="N95" s="73"/>
      <c r="O95" s="73"/>
      <c r="P95" s="73"/>
      <c r="Q95" s="73"/>
      <c r="R95" s="73"/>
      <c r="S95" s="73" t="e">
        <f>GEOMEAN(S10:S33)</f>
        <v>#NUM!</v>
      </c>
      <c r="T95" s="73" t="e">
        <f>GEOMEAN(T10:T33)</f>
        <v>#NUM!</v>
      </c>
      <c r="U95" s="73" t="e">
        <f>GEOMEAN(U10:U33)</f>
        <v>#DIV/0!</v>
      </c>
      <c r="V95" s="73" t="e">
        <f>GEOMEAN(V10:V33)</f>
        <v>#DIV/0!</v>
      </c>
      <c r="W95" s="88"/>
      <c r="X95" s="4" t="e">
        <f t="shared" ref="X95:AH95" si="20">AVERAGE(X10:X33)</f>
        <v>#NUM!</v>
      </c>
      <c r="Y95" s="4">
        <f t="shared" si="20"/>
        <v>2.5E+307</v>
      </c>
      <c r="Z95" s="4" t="e">
        <f t="shared" si="20"/>
        <v>#NUM!</v>
      </c>
      <c r="AA95" s="4">
        <f t="shared" si="20"/>
        <v>2.5E+307</v>
      </c>
      <c r="AB95" s="4">
        <f t="shared" si="20"/>
        <v>-2.2527868459576439E-11</v>
      </c>
      <c r="AC95" s="4" t="e">
        <f t="shared" si="20"/>
        <v>#NUM!</v>
      </c>
      <c r="AD95" s="4">
        <f t="shared" si="20"/>
        <v>-2.5311253093462938E-11</v>
      </c>
      <c r="AE95" s="4" t="e">
        <f t="shared" si="20"/>
        <v>#VALUE!</v>
      </c>
      <c r="AF95" s="4" t="e">
        <f t="shared" si="20"/>
        <v>#VALUE!</v>
      </c>
      <c r="AG95" s="4" t="e">
        <f t="shared" si="20"/>
        <v>#VALUE!</v>
      </c>
      <c r="AH95" s="4">
        <f t="shared" si="20"/>
        <v>5.2559597874114671E-10</v>
      </c>
    </row>
    <row r="96" spans="1:47" ht="12" customHeight="1" x14ac:dyDescent="0.25">
      <c r="A96" s="73"/>
      <c r="B96" s="73" t="s">
        <v>65</v>
      </c>
      <c r="C96" s="73"/>
      <c r="D96" s="73"/>
      <c r="E96" s="73"/>
      <c r="F96" s="73"/>
      <c r="G96" s="73"/>
      <c r="H96" s="73"/>
      <c r="I96" s="73"/>
      <c r="J96" s="73" t="e">
        <f>GEOMEAN(J34:J57)</f>
        <v>#NUM!</v>
      </c>
      <c r="K96" s="73" t="e">
        <f>GEOMEAN(K34:K57)</f>
        <v>#NUM!</v>
      </c>
      <c r="L96" s="88"/>
      <c r="M96" s="88"/>
      <c r="N96" s="73"/>
      <c r="O96" s="73"/>
      <c r="P96" s="73"/>
      <c r="Q96" s="73"/>
      <c r="R96" s="73"/>
      <c r="S96" s="73" t="e">
        <f>GEOMEAN(S34:S57)</f>
        <v>#NUM!</v>
      </c>
      <c r="T96" s="73" t="e">
        <f>GEOMEAN(T34:T57)</f>
        <v>#NUM!</v>
      </c>
      <c r="U96" s="73" t="e">
        <f>GEOMEAN(U34:U57)</f>
        <v>#DIV/0!</v>
      </c>
      <c r="V96" s="73" t="e">
        <f>GEOMEAN(V34:V57)</f>
        <v>#DIV/0!</v>
      </c>
      <c r="W96" s="88"/>
      <c r="X96" s="4">
        <f t="shared" ref="X96:AH96" si="21">AVERAGE(X34:X57)</f>
        <v>1.161544287345273E-4</v>
      </c>
      <c r="Y96" s="4">
        <f t="shared" si="21"/>
        <v>2.2059179066813428E-4</v>
      </c>
      <c r="Z96" s="4">
        <f t="shared" si="21"/>
        <v>-8.381173532967523E-11</v>
      </c>
      <c r="AA96" s="4">
        <f t="shared" si="21"/>
        <v>2.4260151154820164E-4</v>
      </c>
      <c r="AB96" s="4">
        <f t="shared" si="21"/>
        <v>-1.2120765502388053E-10</v>
      </c>
      <c r="AC96" s="4">
        <f t="shared" si="21"/>
        <v>-9.3898500086453396E-11</v>
      </c>
      <c r="AD96" s="4">
        <f t="shared" si="21"/>
        <v>1.161544287345273E-4</v>
      </c>
      <c r="AE96" s="4" t="e">
        <f t="shared" si="21"/>
        <v>#VALUE!</v>
      </c>
      <c r="AF96" s="4" t="e">
        <f t="shared" si="21"/>
        <v>#VALUE!</v>
      </c>
      <c r="AG96" s="4" t="e">
        <f t="shared" si="21"/>
        <v>#VALUE!</v>
      </c>
      <c r="AH96" s="4">
        <f t="shared" si="21"/>
        <v>-1.6078318245999592E-3</v>
      </c>
    </row>
    <row r="97" spans="1:34" ht="12" customHeight="1" x14ac:dyDescent="0.25">
      <c r="A97" s="73"/>
      <c r="B97" s="73" t="s">
        <v>70</v>
      </c>
      <c r="C97" s="73"/>
      <c r="D97" s="73"/>
      <c r="E97" s="73"/>
      <c r="F97" s="73"/>
      <c r="G97" s="73"/>
      <c r="H97" s="73"/>
      <c r="I97" s="73"/>
      <c r="J97" s="73" t="e">
        <f>GEOMEAN(J58:J81)</f>
        <v>#NUM!</v>
      </c>
      <c r="K97" s="73" t="e">
        <f>GEOMEAN(K58:K81)</f>
        <v>#NUM!</v>
      </c>
      <c r="L97" s="88"/>
      <c r="M97" s="88"/>
      <c r="N97" s="73"/>
      <c r="O97" s="73"/>
      <c r="P97" s="73"/>
      <c r="Q97" s="73"/>
      <c r="R97" s="73"/>
      <c r="S97" s="73" t="e">
        <f>GEOMEAN(S58:S81)</f>
        <v>#NUM!</v>
      </c>
      <c r="T97" s="73" t="e">
        <f>GEOMEAN(T58:T81)</f>
        <v>#NUM!</v>
      </c>
      <c r="U97" s="73" t="e">
        <f>GEOMEAN(U58:U81)</f>
        <v>#DIV/0!</v>
      </c>
      <c r="V97" s="73" t="e">
        <f>GEOMEAN(V58:V81)</f>
        <v>#DIV/0!</v>
      </c>
      <c r="W97" s="88"/>
      <c r="X97" s="4">
        <f t="shared" ref="X97:AH97" si="22">AVERAGE(X58:X81)</f>
        <v>2.5E+307</v>
      </c>
      <c r="Y97" s="4">
        <f t="shared" si="22"/>
        <v>2.3531787629593737E-11</v>
      </c>
      <c r="Z97" s="4">
        <f t="shared" si="22"/>
        <v>2.5E+307</v>
      </c>
      <c r="AA97" s="4">
        <f t="shared" si="22"/>
        <v>4.2347958473243352E-11</v>
      </c>
      <c r="AB97" s="4">
        <f t="shared" si="22"/>
        <v>6.6209815408058148E-12</v>
      </c>
      <c r="AC97" s="4">
        <f t="shared" si="22"/>
        <v>2.5E+307</v>
      </c>
      <c r="AD97" s="4">
        <f t="shared" si="22"/>
        <v>3.3050562286973673E-11</v>
      </c>
      <c r="AE97" s="4" t="e">
        <f t="shared" si="22"/>
        <v>#VALUE!</v>
      </c>
      <c r="AF97" s="4" t="e">
        <f t="shared" si="22"/>
        <v>#VALUE!</v>
      </c>
      <c r="AG97" s="4" t="e">
        <f t="shared" si="22"/>
        <v>#VALUE!</v>
      </c>
      <c r="AH97" s="4">
        <f t="shared" si="22"/>
        <v>-3.7685202169996591E-10</v>
      </c>
    </row>
    <row r="98" spans="1:34" ht="12" customHeight="1" x14ac:dyDescent="0.25">
      <c r="A98" s="73"/>
      <c r="B98" s="73" t="s">
        <v>101</v>
      </c>
      <c r="C98" s="73"/>
      <c r="D98" s="73"/>
      <c r="E98" s="73"/>
      <c r="F98" s="73"/>
      <c r="G98" s="73"/>
      <c r="H98" s="73"/>
      <c r="I98" s="73"/>
      <c r="J98" s="73" t="e">
        <f>GEOMEAN(J4:J81)</f>
        <v>#NUM!</v>
      </c>
      <c r="K98" s="73" t="e">
        <f>GEOMEAN(K4:K81)</f>
        <v>#NUM!</v>
      </c>
      <c r="L98" s="88"/>
      <c r="M98" s="88"/>
      <c r="N98" s="73"/>
      <c r="O98" s="73"/>
      <c r="P98" s="73"/>
      <c r="Q98" s="73"/>
      <c r="R98" s="73"/>
      <c r="S98" s="73" t="e">
        <f>GEOMEAN(S4:S81)</f>
        <v>#NUM!</v>
      </c>
      <c r="T98" s="73" t="e">
        <f>GEOMEAN(T4:T81)</f>
        <v>#NUM!</v>
      </c>
      <c r="U98" s="73" t="e">
        <f>GEOMEAN(U4:U81)</f>
        <v>#DIV/0!</v>
      </c>
      <c r="V98" s="73" t="e">
        <f>GEOMEAN(V4:V81)</f>
        <v>#DIV/0!</v>
      </c>
      <c r="W98" s="88"/>
      <c r="X98" s="4" t="e">
        <f>AVERAGE(X4:X81)</f>
        <v>#NUM!</v>
      </c>
      <c r="Y98" s="227" t="e">
        <f t="shared" ref="Y98:AG98" si="23">AVERAGE(Y4:Y81)</f>
        <v>#NUM!</v>
      </c>
      <c r="Z98" s="227" t="e">
        <f t="shared" si="23"/>
        <v>#NUM!</v>
      </c>
      <c r="AA98" s="227" t="e">
        <f>AVERAGE(AA4:AA81)</f>
        <v>#NUM!</v>
      </c>
      <c r="AB98" s="227">
        <f t="shared" si="23"/>
        <v>7.692307692307693E+306</v>
      </c>
      <c r="AC98" s="227" t="e">
        <f t="shared" si="23"/>
        <v>#NUM!</v>
      </c>
      <c r="AD98" s="265">
        <f>AVERAGE(AD4:AD81)</f>
        <v>3.573983430024045E-5</v>
      </c>
      <c r="AE98" s="4" t="e">
        <f t="shared" si="23"/>
        <v>#VALUE!</v>
      </c>
      <c r="AF98" s="4" t="e">
        <f t="shared" si="23"/>
        <v>#VALUE!</v>
      </c>
      <c r="AG98" s="4" t="e">
        <f t="shared" si="23"/>
        <v>#VALUE!</v>
      </c>
      <c r="AH98" s="4">
        <f>AVERAGE(AH4:AH81)</f>
        <v>-4.9471751589141107E-4</v>
      </c>
    </row>
    <row r="99" spans="1:34" s="264" customFormat="1" ht="12.75" customHeight="1" x14ac:dyDescent="0.2">
      <c r="A99" s="264" t="s">
        <v>224</v>
      </c>
      <c r="B99" s="73" t="s">
        <v>222</v>
      </c>
      <c r="J99" s="264" t="e">
        <f>GEOMEAN(J82:J87)</f>
        <v>#NUM!</v>
      </c>
      <c r="K99" s="264" t="e">
        <f>GEOMEAN(K82:K87)</f>
        <v>#NUM!</v>
      </c>
      <c r="S99" s="73" t="e">
        <f>GEOMEAN(S82:S87)</f>
        <v>#NUM!</v>
      </c>
      <c r="T99" s="73" t="e">
        <f>GEOMEAN(T82:T87)</f>
        <v>#NUM!</v>
      </c>
      <c r="U99" s="73" t="e">
        <f>GEOMEAN(U82:U87)</f>
        <v>#DIV/0!</v>
      </c>
      <c r="V99" s="73" t="e">
        <f>GEOMEAN(V82:V87)</f>
        <v>#DIV/0!</v>
      </c>
      <c r="X99" s="263" t="e">
        <f t="shared" ref="X99:AD99" si="24">AVERAGE(X82:X87)</f>
        <v>#VALUE!</v>
      </c>
      <c r="Y99" s="263" t="e">
        <f t="shared" si="24"/>
        <v>#VALUE!</v>
      </c>
      <c r="Z99" s="263" t="e">
        <f t="shared" si="24"/>
        <v>#VALUE!</v>
      </c>
      <c r="AA99" s="263" t="e">
        <f t="shared" si="24"/>
        <v>#VALUE!</v>
      </c>
      <c r="AB99" s="263" t="e">
        <f t="shared" si="24"/>
        <v>#VALUE!</v>
      </c>
      <c r="AC99" s="263" t="e">
        <f t="shared" si="24"/>
        <v>#VALUE!</v>
      </c>
      <c r="AD99" s="263" t="e">
        <f t="shared" si="24"/>
        <v>#VALUE!</v>
      </c>
      <c r="AE99" s="263" t="e">
        <f t="shared" ref="AE99:AG99" si="25">AVERAGE(AE82:AE87)</f>
        <v>#VALUE!</v>
      </c>
      <c r="AF99" s="263" t="e">
        <f t="shared" si="25"/>
        <v>#VALUE!</v>
      </c>
      <c r="AG99" s="263" t="e">
        <f t="shared" si="25"/>
        <v>#VALUE!</v>
      </c>
      <c r="AH99" s="263" t="e">
        <f>AVERAGE(AH82:AH87)</f>
        <v>#VALUE!</v>
      </c>
    </row>
    <row r="100" spans="1:34" x14ac:dyDescent="0.25">
      <c r="B100" s="73" t="s">
        <v>256</v>
      </c>
      <c r="J100" s="264" t="e">
        <f>GEOMEAN(J88:J93)</f>
        <v>#NUM!</v>
      </c>
      <c r="K100" s="264" t="e">
        <f>GEOMEAN(K88:K93)</f>
        <v>#NUM!</v>
      </c>
      <c r="S100" s="73" t="e">
        <f>GEOMEAN(S88:S93)</f>
        <v>#NUM!</v>
      </c>
      <c r="T100" s="73" t="e">
        <f>GEOMEAN(T88:T93)</f>
        <v>#NUM!</v>
      </c>
      <c r="U100" s="73" t="e">
        <f>GEOMEAN(U88:U93)</f>
        <v>#DIV/0!</v>
      </c>
      <c r="V100" s="73" t="e">
        <f>GEOMEAN(V88:V93)</f>
        <v>#DIV/0!</v>
      </c>
      <c r="W100" s="264"/>
      <c r="X100" s="263">
        <f>X88</f>
        <v>3.6135773880285882E-5</v>
      </c>
      <c r="Y100" s="263">
        <f t="shared" ref="Y100:AH100" si="26">Y88</f>
        <v>4.5293227239007194E-5</v>
      </c>
      <c r="Z100" s="263">
        <f t="shared" si="26"/>
        <v>-3.648747970430577E-11</v>
      </c>
      <c r="AA100" s="263">
        <f t="shared" si="26"/>
        <v>7.5909044233934964E-5</v>
      </c>
      <c r="AB100" s="263">
        <f t="shared" si="26"/>
        <v>-4.138356324290271E-11</v>
      </c>
      <c r="AC100" s="263">
        <f t="shared" si="26"/>
        <v>-3.2891911416754738E-11</v>
      </c>
      <c r="AD100" s="263">
        <f t="shared" si="26"/>
        <v>3.6135773880285882E-5</v>
      </c>
      <c r="AE100" s="263" t="e">
        <f t="shared" si="26"/>
        <v>#VALUE!</v>
      </c>
      <c r="AF100" s="263" t="e">
        <f t="shared" si="26"/>
        <v>#VALUE!</v>
      </c>
      <c r="AG100" s="263" t="e">
        <f t="shared" si="26"/>
        <v>#VALUE!</v>
      </c>
      <c r="AH100" s="263">
        <f t="shared" si="26"/>
        <v>-3.8353505221444138E-4</v>
      </c>
    </row>
  </sheetData>
  <mergeCells count="4">
    <mergeCell ref="D2:K2"/>
    <mergeCell ref="M2:T2"/>
    <mergeCell ref="X2:AG2"/>
    <mergeCell ref="A1:AH1"/>
  </mergeCells>
  <phoneticPr fontId="8" type="noConversion"/>
  <conditionalFormatting sqref="AD5:AD9 AD11:AD15 AD17:AD21 AD23:AD27 AD29:AD33 AD35:AD39 AD41:AD45 AD47:AD51 AD53:AD57 AD59:AD63 AD65:AD69 AD71:AD75 AD77:AD81">
    <cfRule type="cellIs" dxfId="295" priority="99" operator="greaterThan">
      <formula>0.03</formula>
    </cfRule>
    <cfRule type="cellIs" dxfId="294" priority="100" stopIfTrue="1" operator="lessThan">
      <formula>-0.03</formula>
    </cfRule>
  </conditionalFormatting>
  <conditionalFormatting sqref="AE11:AH15 AE17:AH21">
    <cfRule type="cellIs" dxfId="293" priority="95" operator="greaterThan">
      <formula>0.03</formula>
    </cfRule>
    <cfRule type="cellIs" dxfId="292" priority="96" stopIfTrue="1" operator="lessThan">
      <formula>-0.03</formula>
    </cfRule>
  </conditionalFormatting>
  <conditionalFormatting sqref="AE23:AH27 AE29:AH33">
    <cfRule type="cellIs" dxfId="291" priority="93" operator="greaterThan">
      <formula>0.03</formula>
    </cfRule>
    <cfRule type="cellIs" dxfId="290" priority="94" stopIfTrue="1" operator="lessThan">
      <formula>-0.03</formula>
    </cfRule>
  </conditionalFormatting>
  <conditionalFormatting sqref="AE35:AH39 AE41:AH45 AE47:AH51 AE53:AH57">
    <cfRule type="cellIs" dxfId="289" priority="91" operator="greaterThan">
      <formula>0.03</formula>
    </cfRule>
    <cfRule type="cellIs" dxfId="288" priority="92" stopIfTrue="1" operator="lessThan">
      <formula>-0.03</formula>
    </cfRule>
  </conditionalFormatting>
  <conditionalFormatting sqref="AE59:AH63 AE65:AH69 AE71:AH75 AE77:AH81">
    <cfRule type="cellIs" dxfId="287" priority="89" operator="greaterThan">
      <formula>0.03</formula>
    </cfRule>
    <cfRule type="cellIs" dxfId="286" priority="90" stopIfTrue="1" operator="lessThan">
      <formula>-0.03</formula>
    </cfRule>
  </conditionalFormatting>
  <conditionalFormatting sqref="AE5:AH9">
    <cfRule type="cellIs" dxfId="285" priority="101" operator="greaterThan">
      <formula>0.03</formula>
    </cfRule>
    <cfRule type="cellIs" dxfId="284" priority="102" stopIfTrue="1" operator="lessThan">
      <formula>-0.03</formula>
    </cfRule>
  </conditionalFormatting>
  <conditionalFormatting sqref="X11:AC15 X17:AC21">
    <cfRule type="cellIs" dxfId="283" priority="81" operator="greaterThan">
      <formula>0.03</formula>
    </cfRule>
    <cfRule type="cellIs" dxfId="282" priority="82" stopIfTrue="1" operator="lessThan">
      <formula>-0.03</formula>
    </cfRule>
  </conditionalFormatting>
  <conditionalFormatting sqref="X23:AC27 X29:AC33">
    <cfRule type="cellIs" dxfId="281" priority="79" operator="greaterThan">
      <formula>0.03</formula>
    </cfRule>
    <cfRule type="cellIs" dxfId="280" priority="80" stopIfTrue="1" operator="lessThan">
      <formula>-0.03</formula>
    </cfRule>
  </conditionalFormatting>
  <conditionalFormatting sqref="X35:AC39 X41:AC45 X47:AC51 X53:AC57">
    <cfRule type="cellIs" dxfId="279" priority="77" operator="greaterThan">
      <formula>0.03</formula>
    </cfRule>
    <cfRule type="cellIs" dxfId="278" priority="78" stopIfTrue="1" operator="lessThan">
      <formula>-0.03</formula>
    </cfRule>
  </conditionalFormatting>
  <conditionalFormatting sqref="X59:AC63 X65:AC69 X71:AC75 X77:AC81">
    <cfRule type="cellIs" dxfId="277" priority="75" operator="greaterThan">
      <formula>0.03</formula>
    </cfRule>
    <cfRule type="cellIs" dxfId="276" priority="76" stopIfTrue="1" operator="lessThan">
      <formula>-0.03</formula>
    </cfRule>
  </conditionalFormatting>
  <conditionalFormatting sqref="X5:AC9">
    <cfRule type="cellIs" dxfId="275" priority="85" operator="greaterThan">
      <formula>0.03</formula>
    </cfRule>
    <cfRule type="cellIs" dxfId="274" priority="86" stopIfTrue="1" operator="lessThan">
      <formula>-0.03</formula>
    </cfRule>
  </conditionalFormatting>
  <conditionalFormatting sqref="AD83:AD87">
    <cfRule type="cellIs" dxfId="273" priority="9" operator="greaterThan">
      <formula>0.03</formula>
    </cfRule>
    <cfRule type="cellIs" dxfId="272" priority="10" stopIfTrue="1" operator="lessThan">
      <formula>-0.03</formula>
    </cfRule>
  </conditionalFormatting>
  <conditionalFormatting sqref="AE83:AH87">
    <cfRule type="cellIs" dxfId="271" priority="11" operator="greaterThan">
      <formula>0.03</formula>
    </cfRule>
    <cfRule type="cellIs" dxfId="270" priority="12" stopIfTrue="1" operator="lessThan">
      <formula>-0.03</formula>
    </cfRule>
  </conditionalFormatting>
  <conditionalFormatting sqref="X83:AC87">
    <cfRule type="cellIs" dxfId="269" priority="7" operator="greaterThan">
      <formula>0.03</formula>
    </cfRule>
    <cfRule type="cellIs" dxfId="268" priority="8" stopIfTrue="1" operator="lessThan">
      <formula>-0.03</formula>
    </cfRule>
  </conditionalFormatting>
  <conditionalFormatting sqref="AD89:AD93">
    <cfRule type="cellIs" dxfId="267" priority="3" operator="greaterThan">
      <formula>0.03</formula>
    </cfRule>
    <cfRule type="cellIs" dxfId="266" priority="4" stopIfTrue="1" operator="lessThan">
      <formula>-0.03</formula>
    </cfRule>
  </conditionalFormatting>
  <conditionalFormatting sqref="AE89:AH93">
    <cfRule type="cellIs" dxfId="265" priority="5" operator="greaterThan">
      <formula>0.03</formula>
    </cfRule>
    <cfRule type="cellIs" dxfId="264" priority="6" stopIfTrue="1" operator="lessThan">
      <formula>-0.03</formula>
    </cfRule>
  </conditionalFormatting>
  <conditionalFormatting sqref="X89:AC93">
    <cfRule type="cellIs" dxfId="263" priority="1" operator="greaterThan">
      <formula>0.03</formula>
    </cfRule>
    <cfRule type="cellIs" dxfId="262" priority="2" stopIfTrue="1" operator="lessThan">
      <formula>-0.03</formula>
    </cfRule>
  </conditionalFormatting>
  <dataValidations disablePrompts="1" count="1">
    <dataValidation type="list" allowBlank="1" showInputMessage="1" showErrorMessage="1" sqref="AR1" xr:uid="{00000000-0002-0000-0100-000000000000}">
      <formula1>$AU$3:$AU$7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U100"/>
  <sheetViews>
    <sheetView topLeftCell="A43" zoomScale="80" zoomScaleNormal="80" workbookViewId="0">
      <selection activeCell="N88" sqref="N88:N93"/>
    </sheetView>
  </sheetViews>
  <sheetFormatPr defaultColWidth="8.875" defaultRowHeight="16.5" x14ac:dyDescent="0.25"/>
  <cols>
    <col min="2" max="2" width="26" bestFit="1" customWidth="1"/>
    <col min="10" max="11" width="9" bestFit="1" customWidth="1"/>
    <col min="12" max="12" width="2.5" customWidth="1"/>
    <col min="19" max="22" width="9" bestFit="1" customWidth="1"/>
    <col min="23" max="23" width="2.5" customWidth="1"/>
    <col min="24" max="24" width="12" customWidth="1"/>
    <col min="25" max="25" width="10.625" customWidth="1"/>
    <col min="26" max="27" width="10.375" customWidth="1"/>
    <col min="28" max="28" width="11.375" customWidth="1"/>
    <col min="29" max="29" width="9.625" customWidth="1"/>
    <col min="30" max="30" width="10.125" bestFit="1" customWidth="1"/>
    <col min="34" max="34" width="10.125" bestFit="1" customWidth="1"/>
    <col min="41" max="41" width="12" customWidth="1"/>
  </cols>
  <sheetData>
    <row r="1" spans="1:47" ht="17.25" thickBot="1" x14ac:dyDescent="0.3">
      <c r="A1" s="297" t="s">
        <v>80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9"/>
      <c r="AO1" s="245" t="s">
        <v>214</v>
      </c>
      <c r="AP1" s="1"/>
      <c r="AQ1" s="241" t="s">
        <v>216</v>
      </c>
      <c r="AR1" s="242" t="s">
        <v>22</v>
      </c>
      <c r="AS1" s="240"/>
      <c r="AT1" s="240"/>
      <c r="AU1" s="240"/>
    </row>
    <row r="2" spans="1:47" ht="15" customHeight="1" thickBot="1" x14ac:dyDescent="0.3">
      <c r="A2" s="73"/>
      <c r="B2" s="73"/>
      <c r="C2" s="73"/>
      <c r="D2" s="295" t="str">
        <f>"Reference: "&amp;Summary!O4</f>
        <v>Reference: Anchor (v0.6.1 VTM inner)</v>
      </c>
      <c r="E2" s="296"/>
      <c r="F2" s="296"/>
      <c r="G2" s="296"/>
      <c r="H2" s="296"/>
      <c r="I2" s="296"/>
      <c r="J2" s="296"/>
      <c r="K2" s="296"/>
      <c r="L2" s="112"/>
      <c r="M2" s="297" t="str">
        <f>_xlfn.CONCAT("Test: ",Summary!$O$5)</f>
        <v>Test: Test</v>
      </c>
      <c r="N2" s="298"/>
      <c r="O2" s="298"/>
      <c r="P2" s="298"/>
      <c r="Q2" s="298"/>
      <c r="R2" s="298"/>
      <c r="S2" s="298"/>
      <c r="T2" s="299"/>
      <c r="U2" s="119"/>
      <c r="V2" s="120"/>
      <c r="W2" s="114"/>
      <c r="X2" s="300" t="s">
        <v>55</v>
      </c>
      <c r="Y2" s="301"/>
      <c r="Z2" s="301"/>
      <c r="AA2" s="301"/>
      <c r="AB2" s="301"/>
      <c r="AC2" s="301"/>
      <c r="AD2" s="301"/>
      <c r="AE2" s="301"/>
      <c r="AF2" s="301"/>
      <c r="AG2" s="302"/>
      <c r="AH2" s="121" t="s">
        <v>79</v>
      </c>
      <c r="AO2" s="1"/>
      <c r="AS2" s="240"/>
      <c r="AT2" s="240"/>
      <c r="AU2" s="240"/>
    </row>
    <row r="3" spans="1:47" ht="12" customHeight="1" thickBot="1" x14ac:dyDescent="0.3">
      <c r="A3" s="75"/>
      <c r="B3" s="76" t="s">
        <v>89</v>
      </c>
      <c r="C3" s="77" t="s">
        <v>30</v>
      </c>
      <c r="D3" s="104" t="s">
        <v>56</v>
      </c>
      <c r="E3" s="105" t="s">
        <v>25</v>
      </c>
      <c r="F3" s="105" t="s">
        <v>0</v>
      </c>
      <c r="G3" s="105" t="s">
        <v>1</v>
      </c>
      <c r="H3" s="105" t="s">
        <v>2</v>
      </c>
      <c r="I3" s="105" t="s">
        <v>113</v>
      </c>
      <c r="J3" s="105" t="s">
        <v>226</v>
      </c>
      <c r="K3" s="105" t="s">
        <v>227</v>
      </c>
      <c r="L3" s="113"/>
      <c r="M3" s="78" t="s">
        <v>56</v>
      </c>
      <c r="N3" s="79" t="s">
        <v>25</v>
      </c>
      <c r="O3" s="79" t="s">
        <v>0</v>
      </c>
      <c r="P3" s="79" t="s">
        <v>1</v>
      </c>
      <c r="Q3" s="79" t="s">
        <v>2</v>
      </c>
      <c r="R3" s="79" t="s">
        <v>113</v>
      </c>
      <c r="S3" s="79" t="s">
        <v>226</v>
      </c>
      <c r="T3" s="79" t="s">
        <v>227</v>
      </c>
      <c r="U3" s="104" t="s">
        <v>3</v>
      </c>
      <c r="V3" s="105" t="s">
        <v>4</v>
      </c>
      <c r="W3" s="104"/>
      <c r="X3" s="78" t="s">
        <v>184</v>
      </c>
      <c r="Y3" s="79" t="s">
        <v>185</v>
      </c>
      <c r="Z3" s="79" t="s">
        <v>186</v>
      </c>
      <c r="AA3" s="79" t="s">
        <v>187</v>
      </c>
      <c r="AB3" s="79" t="s">
        <v>188</v>
      </c>
      <c r="AC3" s="79" t="s">
        <v>189</v>
      </c>
      <c r="AD3" s="2" t="s">
        <v>42</v>
      </c>
      <c r="AE3" s="79" t="s">
        <v>32</v>
      </c>
      <c r="AF3" s="79" t="s">
        <v>33</v>
      </c>
      <c r="AG3" s="80" t="s">
        <v>34</v>
      </c>
      <c r="AH3" s="126"/>
      <c r="AP3" s="242" t="s">
        <v>217</v>
      </c>
      <c r="AQ3" s="242"/>
      <c r="AR3" s="242" t="s">
        <v>218</v>
      </c>
      <c r="AS3" s="240"/>
      <c r="AT3" s="1"/>
      <c r="AU3" s="243" t="s">
        <v>19</v>
      </c>
    </row>
    <row r="4" spans="1:47" ht="12" customHeight="1" x14ac:dyDescent="0.25">
      <c r="A4" s="81" t="s">
        <v>57</v>
      </c>
      <c r="B4" s="132" t="s">
        <v>58</v>
      </c>
      <c r="C4" s="106" t="s">
        <v>250</v>
      </c>
      <c r="D4" s="267">
        <v>361.52727272727202</v>
      </c>
      <c r="E4" s="267">
        <v>38.096435999999997</v>
      </c>
      <c r="F4" s="83"/>
      <c r="G4" s="83"/>
      <c r="H4" s="83"/>
      <c r="I4" s="83"/>
      <c r="J4" s="83"/>
      <c r="K4" s="83"/>
      <c r="L4" s="110"/>
      <c r="M4" s="267">
        <v>361.52727272727202</v>
      </c>
      <c r="N4" s="267">
        <v>38.096435999999997</v>
      </c>
      <c r="O4" s="83"/>
      <c r="P4" s="83"/>
      <c r="Q4" s="83"/>
      <c r="R4" s="83"/>
      <c r="S4" s="83"/>
      <c r="T4" s="83"/>
      <c r="U4" s="82" t="e">
        <f t="shared" ref="U4:V61" si="0">S4/J4</f>
        <v>#DIV/0!</v>
      </c>
      <c r="V4" s="83" t="e">
        <f t="shared" si="0"/>
        <v>#DIV/0!</v>
      </c>
      <c r="W4" s="127"/>
      <c r="X4" s="122">
        <f>bdRateExtend($D4:$D9,$E4:$E9,$M4:$M9,$N4:$N9)</f>
        <v>0</v>
      </c>
      <c r="Y4" s="14">
        <f>bdRateExtend($D4:$D8,$E4:$E8,$M4:$M8,$N4:$N8)</f>
        <v>0</v>
      </c>
      <c r="Z4" s="14">
        <f>bdRateExtend($D5:$D9,$E5:$E9,$M5:$M9,$N5:$N9)</f>
        <v>0</v>
      </c>
      <c r="AA4" s="14">
        <f>bdRateExtend($D4:$D7,$E4:$E7,$M4:$M7,$N4:$N7)</f>
        <v>0</v>
      </c>
      <c r="AB4" s="14">
        <f>bdRateExtend($D5:$D8,$E5:$E8,$M5:$M8,$N5:$N8)</f>
        <v>0</v>
      </c>
      <c r="AC4" s="14">
        <f>bdRateExtend($D6:$D9,$E6:$E9,$M6:$M9,$N6:$N9)</f>
        <v>0</v>
      </c>
      <c r="AD4" s="34" cm="1">
        <f t="array" ref="AD4">bdRatePareto(AP4:AP9,AQ4:AQ9,AR4:AR9,AS4:AS9)</f>
        <v>0</v>
      </c>
      <c r="AE4" s="14" t="e">
        <f>bdRateExtend($D4:$D9,F4:F9,$M4:$M9,O4:O9)</f>
        <v>#VALUE!</v>
      </c>
      <c r="AF4" s="14" t="e">
        <f>bdRateExtend($D4:$D9,G4:G9,$M4:$M9,P4:P9)</f>
        <v>#VALUE!</v>
      </c>
      <c r="AG4" s="15" t="e">
        <f>bdRateExtend($D4:$D9,H4:H9,$M4:$M9,Q4:Q9)</f>
        <v>#VALUE!</v>
      </c>
      <c r="AH4" s="129">
        <f>bdPSNRExtend($D4:$D9,$E4:$E9,$M4:$M9,$N4:$N9)</f>
        <v>0</v>
      </c>
      <c r="AO4" s="240" t="s">
        <v>213</v>
      </c>
      <c r="AP4" s="240" cm="1">
        <f t="array" ref="AP4">pareto($D4:$D9,$E4:$E9,1,"rate",$AR$1,$AO5,$AO7)</f>
        <v>361.52727272727202</v>
      </c>
      <c r="AQ4" s="240" cm="1">
        <f t="array" ref="AQ4">pareto($D4:$D9,$E4:$E9,1,"dist",$AR$1,$AO5,$AO7)</f>
        <v>38.096435999999997</v>
      </c>
      <c r="AR4" s="240" cm="1">
        <f t="array" ref="AR4">pareto($M4:$M9,$N4:$N9,1,"rate",$AR$1,$AO5,$AO7)</f>
        <v>361.52727272727202</v>
      </c>
      <c r="AS4" s="240" cm="1">
        <f t="array" ref="AS4">pareto($M4:$M9,$N4:$N9,1,"dist",$AR$1,$AO5,$AO7)</f>
        <v>38.096435999999997</v>
      </c>
      <c r="AT4" s="1"/>
      <c r="AU4" s="243" t="s">
        <v>20</v>
      </c>
    </row>
    <row r="5" spans="1:47" ht="12" customHeight="1" x14ac:dyDescent="0.25">
      <c r="A5" s="136"/>
      <c r="B5" s="133"/>
      <c r="C5" s="107" t="s">
        <v>251</v>
      </c>
      <c r="D5" s="267">
        <v>287.27272727272702</v>
      </c>
      <c r="E5" s="267">
        <v>36.551507999999998</v>
      </c>
      <c r="F5" s="86"/>
      <c r="G5" s="86"/>
      <c r="H5" s="86"/>
      <c r="I5" s="86"/>
      <c r="J5" s="86"/>
      <c r="K5" s="86"/>
      <c r="L5" s="110"/>
      <c r="M5" s="267">
        <v>287.27272727272702</v>
      </c>
      <c r="N5" s="267">
        <v>36.551507999999998</v>
      </c>
      <c r="O5" s="86"/>
      <c r="P5" s="86"/>
      <c r="Q5" s="86"/>
      <c r="R5" s="86"/>
      <c r="S5" s="86"/>
      <c r="T5" s="86"/>
      <c r="U5" s="85" t="e">
        <f t="shared" si="0"/>
        <v>#DIV/0!</v>
      </c>
      <c r="V5" s="86" t="e">
        <f t="shared" si="0"/>
        <v>#DIV/0!</v>
      </c>
      <c r="W5" s="128"/>
      <c r="X5" s="89"/>
      <c r="Y5" s="90"/>
      <c r="Z5" s="90"/>
      <c r="AA5" s="90"/>
      <c r="AB5" s="90"/>
      <c r="AC5" s="90"/>
      <c r="AD5" s="90"/>
      <c r="AE5" s="90"/>
      <c r="AF5" s="90"/>
      <c r="AG5" s="91"/>
      <c r="AH5" s="130"/>
      <c r="AO5" s="240">
        <v>44.241199000000002</v>
      </c>
      <c r="AP5" s="240" cm="1">
        <f t="array" ref="AP5">pareto($D4:$D9,$E4:$E9,2,"rate",$AR$1,$AO5,$AO7)</f>
        <v>287.27272727272702</v>
      </c>
      <c r="AQ5" s="240" cm="1">
        <f t="array" ref="AQ5">pareto($D4:$D9,$E4:$E9,2,"dist",$AR$1,$AO5,$AO7)</f>
        <v>36.551507999999998</v>
      </c>
      <c r="AR5" s="240" cm="1">
        <f t="array" ref="AR5">pareto($M4:$M9,$N4:$N9,2,"rate",$AR$1,$AO5,$AO7)</f>
        <v>287.27272727272702</v>
      </c>
      <c r="AS5" s="240" cm="1">
        <f t="array" ref="AS5">pareto($M4:$M9,$N4:$N9,2,"dist",$AR$1,$AO5,$AO7)</f>
        <v>36.551507999999998</v>
      </c>
      <c r="AT5" s="1"/>
      <c r="AU5" s="244" t="s">
        <v>21</v>
      </c>
    </row>
    <row r="6" spans="1:47" ht="12" customHeight="1" x14ac:dyDescent="0.25">
      <c r="A6" s="74"/>
      <c r="B6" s="133"/>
      <c r="C6" s="107" t="s">
        <v>252</v>
      </c>
      <c r="D6" s="267">
        <v>136.14545454545399</v>
      </c>
      <c r="E6" s="267">
        <v>35.745066999999999</v>
      </c>
      <c r="F6" s="86"/>
      <c r="G6" s="86"/>
      <c r="H6" s="86"/>
      <c r="I6" s="86"/>
      <c r="J6" s="86"/>
      <c r="K6" s="86"/>
      <c r="L6" s="110"/>
      <c r="M6" s="267">
        <v>136.14545454545399</v>
      </c>
      <c r="N6" s="267">
        <v>35.745066999999999</v>
      </c>
      <c r="O6" s="86"/>
      <c r="P6" s="86"/>
      <c r="Q6" s="86"/>
      <c r="R6" s="86"/>
      <c r="S6" s="86"/>
      <c r="T6" s="86"/>
      <c r="U6" s="85" t="e">
        <f t="shared" si="0"/>
        <v>#DIV/0!</v>
      </c>
      <c r="V6" s="86" t="e">
        <f t="shared" si="0"/>
        <v>#DIV/0!</v>
      </c>
      <c r="W6" s="128"/>
      <c r="X6" s="89"/>
      <c r="Y6" s="90"/>
      <c r="Z6" s="90"/>
      <c r="AA6" s="90"/>
      <c r="AB6" s="90"/>
      <c r="AC6" s="90"/>
      <c r="AD6" s="90"/>
      <c r="AE6" s="90"/>
      <c r="AF6" s="90"/>
      <c r="AG6" s="91"/>
      <c r="AH6" s="130"/>
      <c r="AO6" s="240" t="s">
        <v>44</v>
      </c>
      <c r="AP6" s="240" cm="1">
        <f t="array" ref="AP6">pareto($D4:$D9,$E4:$E9,3,"rate",$AR$1,$AO5,$AO7)</f>
        <v>136.14545454545399</v>
      </c>
      <c r="AQ6" s="240" cm="1">
        <f t="array" ref="AQ6">pareto($D4:$D9,$E4:$E9,3,"dist",$AR$1,$AO5,$AO7)</f>
        <v>35.745066999999999</v>
      </c>
      <c r="AR6" s="240" cm="1">
        <f t="array" ref="AR6">pareto($M4:$M9,$N4:$N9,3,"rate",$AR$1,$AO5,$AO7)</f>
        <v>136.14545454545399</v>
      </c>
      <c r="AS6" s="240" cm="1">
        <f t="array" ref="AS6">pareto($M4:$M9,$N4:$N9,3,"dist",$AR$1,$AO5,$AO7)</f>
        <v>35.745066999999999</v>
      </c>
      <c r="AT6" s="1"/>
      <c r="AU6" s="244" t="s">
        <v>22</v>
      </c>
    </row>
    <row r="7" spans="1:47" ht="12" customHeight="1" x14ac:dyDescent="0.25">
      <c r="A7" s="74"/>
      <c r="B7" s="133"/>
      <c r="C7" s="107" t="s">
        <v>253</v>
      </c>
      <c r="D7" s="267">
        <v>104.37818181818101</v>
      </c>
      <c r="E7" s="267">
        <v>29.824176999999999</v>
      </c>
      <c r="F7" s="86"/>
      <c r="G7" s="86"/>
      <c r="H7" s="86"/>
      <c r="I7" s="86"/>
      <c r="J7" s="86"/>
      <c r="K7" s="86"/>
      <c r="L7" s="110"/>
      <c r="M7" s="267">
        <v>104.37818181818101</v>
      </c>
      <c r="N7" s="267">
        <v>29.824176999999999</v>
      </c>
      <c r="O7" s="86"/>
      <c r="P7" s="86"/>
      <c r="Q7" s="86"/>
      <c r="R7" s="86"/>
      <c r="S7" s="86"/>
      <c r="T7" s="86"/>
      <c r="U7" s="85" t="e">
        <f t="shared" si="0"/>
        <v>#DIV/0!</v>
      </c>
      <c r="V7" s="86" t="e">
        <f t="shared" si="0"/>
        <v>#DIV/0!</v>
      </c>
      <c r="W7" s="128"/>
      <c r="X7" s="89"/>
      <c r="Y7" s="90"/>
      <c r="Z7" s="90"/>
      <c r="AA7" s="90"/>
      <c r="AB7" s="90"/>
      <c r="AC7" s="90"/>
      <c r="AD7" s="90"/>
      <c r="AE7" s="90"/>
      <c r="AF7" s="90"/>
      <c r="AG7" s="91"/>
      <c r="AH7" s="130"/>
      <c r="AO7" s="240">
        <v>20</v>
      </c>
      <c r="AP7" s="240" cm="1">
        <f t="array" ref="AP7">pareto($D4:$D9,$E4:$E9,4,"rate",$AR$1,$AO5,$AO7)</f>
        <v>104.37818181818101</v>
      </c>
      <c r="AQ7" s="240" cm="1">
        <f t="array" ref="AQ7">pareto($D4:$D9,$E4:$E9,4,"dist",$AR$1,$AO5,$AO7)</f>
        <v>29.824176999999999</v>
      </c>
      <c r="AR7" s="240" cm="1">
        <f t="array" ref="AR7">pareto($M4:$M9,$N4:$N9,4,"rate",$AR$1,$AO5,$AO7)</f>
        <v>104.37818181818101</v>
      </c>
      <c r="AS7" s="240" cm="1">
        <f t="array" ref="AS7">pareto($M4:$M9,$N4:$N9,4,"dist",$AR$1,$AO5,$AO7)</f>
        <v>29.824176999999999</v>
      </c>
      <c r="AT7" s="1"/>
      <c r="AU7" s="244" t="s">
        <v>45</v>
      </c>
    </row>
    <row r="8" spans="1:47" ht="12" customHeight="1" x14ac:dyDescent="0.25">
      <c r="A8" s="74"/>
      <c r="B8" s="133"/>
      <c r="C8" s="107" t="s">
        <v>254</v>
      </c>
      <c r="D8" s="267">
        <v>39.105454545454499</v>
      </c>
      <c r="E8" s="267">
        <v>9.110697</v>
      </c>
      <c r="F8" s="86"/>
      <c r="G8" s="86"/>
      <c r="H8" s="86"/>
      <c r="I8" s="86"/>
      <c r="J8" s="86"/>
      <c r="K8" s="86"/>
      <c r="L8" s="110"/>
      <c r="M8" s="267">
        <v>39.105454545454499</v>
      </c>
      <c r="N8" s="267">
        <v>9.110697</v>
      </c>
      <c r="O8" s="86"/>
      <c r="P8" s="86"/>
      <c r="Q8" s="86"/>
      <c r="R8" s="86"/>
      <c r="S8" s="86"/>
      <c r="T8" s="86"/>
      <c r="U8" s="85" t="e">
        <f t="shared" si="0"/>
        <v>#DIV/0!</v>
      </c>
      <c r="V8" s="86" t="e">
        <f t="shared" si="0"/>
        <v>#DIV/0!</v>
      </c>
      <c r="W8" s="128"/>
      <c r="X8" s="89"/>
      <c r="Y8" s="90"/>
      <c r="Z8" s="90"/>
      <c r="AA8" s="90"/>
      <c r="AB8" s="90"/>
      <c r="AC8" s="90"/>
      <c r="AD8" s="90"/>
      <c r="AE8" s="90"/>
      <c r="AF8" s="90"/>
      <c r="AG8" s="91"/>
      <c r="AH8" s="130"/>
      <c r="AO8" s="240"/>
      <c r="AP8" s="240" cm="1">
        <f t="array" ref="AP8">pareto($D4:$D9,$E4:$E9,5,"rate",$AR$1,$AO5,$AO7)</f>
        <v>39.105454545454499</v>
      </c>
      <c r="AQ8" s="240" cm="1">
        <f t="array" ref="AQ8">pareto($D4:$D9,$E4:$E9,5,"dist",$AR$1,$AO5,$AO7)</f>
        <v>9.110697</v>
      </c>
      <c r="AR8" s="240" cm="1">
        <f t="array" ref="AR8">pareto($M4:$M9,$N4:$N9,5,"rate",$AR$1,$AO5,$AO7)</f>
        <v>39.105454545454499</v>
      </c>
      <c r="AS8" s="240" cm="1">
        <f t="array" ref="AS8">pareto($M4:$M9,$N4:$N9,5,"dist",$AR$1,$AO5,$AO7)</f>
        <v>9.110697</v>
      </c>
      <c r="AT8" s="240"/>
      <c r="AU8" s="240"/>
    </row>
    <row r="9" spans="1:47" ht="12" customHeight="1" thickBot="1" x14ac:dyDescent="0.3">
      <c r="A9" s="74"/>
      <c r="B9" s="134"/>
      <c r="C9" s="108" t="s">
        <v>255</v>
      </c>
      <c r="D9" s="267">
        <v>26.698181818181801</v>
      </c>
      <c r="E9" s="267">
        <v>2.9242569999999999</v>
      </c>
      <c r="F9" s="94"/>
      <c r="G9" s="94"/>
      <c r="H9" s="94"/>
      <c r="I9" s="94"/>
      <c r="J9" s="94"/>
      <c r="K9" s="94"/>
      <c r="L9" s="111"/>
      <c r="M9" s="267">
        <v>26.698181818181801</v>
      </c>
      <c r="N9" s="267">
        <v>2.9242569999999999</v>
      </c>
      <c r="O9" s="94"/>
      <c r="P9" s="94"/>
      <c r="Q9" s="94"/>
      <c r="R9" s="94"/>
      <c r="S9" s="94"/>
      <c r="T9" s="94"/>
      <c r="U9" s="85" t="e">
        <f t="shared" si="0"/>
        <v>#DIV/0!</v>
      </c>
      <c r="V9" s="86" t="e">
        <f t="shared" si="0"/>
        <v>#DIV/0!</v>
      </c>
      <c r="W9" s="128"/>
      <c r="X9" s="95"/>
      <c r="Y9" s="96"/>
      <c r="Z9" s="96"/>
      <c r="AA9" s="96"/>
      <c r="AB9" s="96"/>
      <c r="AC9" s="96"/>
      <c r="AD9" s="96"/>
      <c r="AE9" s="96"/>
      <c r="AF9" s="96"/>
      <c r="AG9" s="97"/>
      <c r="AH9" s="131"/>
      <c r="AO9" s="240"/>
      <c r="AP9" s="240" cm="1">
        <f t="array" ref="AP9">pareto($D4:$D9,$E4:$E9,6,"rate",$AR$1,$AO5,$AO7)</f>
        <v>26.698181818181801</v>
      </c>
      <c r="AQ9" s="240" cm="1">
        <f t="array" ref="AQ9">pareto($D4:$D9,$E4:$E9,6,"dist",$AR$1,$AO5,$AO7)</f>
        <v>2.9242569999999999</v>
      </c>
      <c r="AR9" s="240" cm="1">
        <f t="array" ref="AR9">pareto($M4:$M9,$N4:$N9,6,"rate",$AR$1,$AO5,$AO7)</f>
        <v>26.698181818181801</v>
      </c>
      <c r="AS9" s="240" cm="1">
        <f t="array" ref="AS9">pareto($M4:$M9,$N4:$N9,6,"dist",$AR$1,$AO5,$AO7)</f>
        <v>2.9242569999999999</v>
      </c>
      <c r="AT9" s="240"/>
      <c r="AU9" s="240"/>
    </row>
    <row r="10" spans="1:47" ht="12" customHeight="1" x14ac:dyDescent="0.25">
      <c r="A10" s="81" t="s">
        <v>59</v>
      </c>
      <c r="B10" s="132" t="s">
        <v>61</v>
      </c>
      <c r="C10" s="106" t="s">
        <v>250</v>
      </c>
      <c r="D10" s="267">
        <v>146.27490909090901</v>
      </c>
      <c r="E10" s="267">
        <v>42.157389999999999</v>
      </c>
      <c r="F10" s="83"/>
      <c r="G10" s="83"/>
      <c r="H10" s="83"/>
      <c r="I10" s="83"/>
      <c r="J10" s="83"/>
      <c r="K10" s="83"/>
      <c r="L10" s="110"/>
      <c r="M10" s="267">
        <v>146.27490909090901</v>
      </c>
      <c r="N10" s="267">
        <v>42.157389999999999</v>
      </c>
      <c r="O10" s="83"/>
      <c r="P10" s="83"/>
      <c r="Q10" s="83"/>
      <c r="R10" s="83"/>
      <c r="S10" s="83"/>
      <c r="T10" s="83"/>
      <c r="U10" s="85" t="e">
        <f t="shared" si="0"/>
        <v>#DIV/0!</v>
      </c>
      <c r="V10" s="87" t="e">
        <f t="shared" si="0"/>
        <v>#DIV/0!</v>
      </c>
      <c r="W10" s="118"/>
      <c r="X10" s="122">
        <f>bdRateExtend($D10:$D15,$E10:$E15,$M10:$M15,$N10:$N15)</f>
        <v>1E+308</v>
      </c>
      <c r="Y10" s="14">
        <f t="shared" ref="Y10" si="1">bdRateExtend($D10:$D14,$E10:$E14,$M10:$M14,$N10:$N14)</f>
        <v>1E+308</v>
      </c>
      <c r="Z10" s="14">
        <f t="shared" ref="Z10" si="2">bdRateExtend($D11:$D15,$E11:$E15,$M11:$M15,$N11:$N15)</f>
        <v>0</v>
      </c>
      <c r="AA10" s="14">
        <f t="shared" ref="AA10" si="3">bdRateExtend($D10:$D13,$E10:$E13,$M10:$M13,$N10:$N13)</f>
        <v>1E+308</v>
      </c>
      <c r="AB10" s="14">
        <f t="shared" ref="AB10" si="4">bdRateExtend($D11:$D14,$E11:$E14,$M11:$M14,$N11:$N14)</f>
        <v>0</v>
      </c>
      <c r="AC10" s="14">
        <f t="shared" ref="AC10" si="5">bdRateExtend($D12:$D15,$E12:$E15,$M12:$M15,$N12:$N15)</f>
        <v>0</v>
      </c>
      <c r="AD10" s="34" cm="1">
        <f t="array" ref="AD10">bdRatePareto(AP10:AP15,AQ10:AQ15,AR10:AR15,AS10:AS15)</f>
        <v>0</v>
      </c>
      <c r="AE10" s="14" t="e">
        <f>bdRateExtend($D10:$D15,F10:F15,$M10:$M15,O10:O15)</f>
        <v>#VALUE!</v>
      </c>
      <c r="AF10" s="14" t="e">
        <f>bdRateExtend($D10:$D15,G10:G15,$M10:$M15,P10:P15)</f>
        <v>#VALUE!</v>
      </c>
      <c r="AG10" s="15" t="e">
        <f>bdRateExtend($D10:$D15,H10:H15,$M10:$M15,Q10:Q15)</f>
        <v>#VALUE!</v>
      </c>
      <c r="AH10" s="72">
        <f>bdPSNRExtend($D10:$D15,$E10:$E15,$M10:$M15,$N10:$N15)</f>
        <v>0</v>
      </c>
      <c r="AO10" s="240" t="s">
        <v>213</v>
      </c>
      <c r="AP10" s="240" cm="1">
        <f t="array" ref="AP10">pareto($D10:$D15,$E10:$E15,1,"rate",$AR$1,$AO11,$AO13)</f>
        <v>80.011636363636299</v>
      </c>
      <c r="AQ10" s="240" cm="1">
        <f t="array" ref="AQ10">pareto($D10:$D15,$E10:$E15,1,"dist",$AR$1,$AO11,$AO13)</f>
        <v>43.072149000000003</v>
      </c>
      <c r="AR10" s="240" cm="1">
        <f t="array" ref="AR10">pareto($M10:$M15,$N10:$N15,1,"rate",$AR$1,$AO11,$AO13)</f>
        <v>80.011636363636299</v>
      </c>
      <c r="AS10" s="240" cm="1">
        <f t="array" ref="AS10">pareto($M10:$M15,$N10:$N15,1,"dist",$AR$1,$AO11,$AO13)</f>
        <v>43.072149000000003</v>
      </c>
      <c r="AT10" s="240"/>
      <c r="AU10" s="240"/>
    </row>
    <row r="11" spans="1:47" ht="12" customHeight="1" x14ac:dyDescent="0.25">
      <c r="A11" s="136"/>
      <c r="B11" s="133"/>
      <c r="C11" s="107" t="s">
        <v>251</v>
      </c>
      <c r="D11" s="267">
        <v>80.011636363636299</v>
      </c>
      <c r="E11" s="267">
        <v>43.072149000000003</v>
      </c>
      <c r="F11" s="86"/>
      <c r="G11" s="86"/>
      <c r="H11" s="86"/>
      <c r="I11" s="86"/>
      <c r="J11" s="86"/>
      <c r="K11" s="86"/>
      <c r="L11" s="110"/>
      <c r="M11" s="267">
        <v>80.011636363636299</v>
      </c>
      <c r="N11" s="267">
        <v>43.072149000000003</v>
      </c>
      <c r="O11" s="86"/>
      <c r="P11" s="86"/>
      <c r="Q11" s="86"/>
      <c r="R11" s="86"/>
      <c r="S11" s="86"/>
      <c r="T11" s="86"/>
      <c r="U11" s="85" t="e">
        <f t="shared" si="0"/>
        <v>#DIV/0!</v>
      </c>
      <c r="V11" s="87" t="e">
        <f t="shared" si="0"/>
        <v>#DIV/0!</v>
      </c>
      <c r="W11" s="11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15"/>
      <c r="AO11" s="240">
        <v>57.383850000000002</v>
      </c>
      <c r="AP11" s="240" cm="1">
        <f t="array" ref="AP11">pareto($D10:$D15,$E10:$E15,2,"rate",$AR$1,$AO11,$AO13)</f>
        <v>55.307636363636298</v>
      </c>
      <c r="AQ11" s="240" cm="1">
        <f t="array" ref="AQ11">pareto($D10:$D15,$E10:$E15,2,"dist",$AR$1,$AO11,$AO13)</f>
        <v>38.143914000000002</v>
      </c>
      <c r="AR11" s="240" cm="1">
        <f t="array" ref="AR11">pareto($M10:$M15,$N10:$N15,2,"rate",$AR$1,$AO11,$AO13)</f>
        <v>55.307636363636298</v>
      </c>
      <c r="AS11" s="240" cm="1">
        <f t="array" ref="AS11">pareto($M10:$M15,$N10:$N15,2,"dist",$AR$1,$AO11,$AO13)</f>
        <v>38.143914000000002</v>
      </c>
      <c r="AT11" s="240"/>
      <c r="AU11" s="240"/>
    </row>
    <row r="12" spans="1:47" ht="12" customHeight="1" x14ac:dyDescent="0.25">
      <c r="A12" s="74"/>
      <c r="B12" s="133"/>
      <c r="C12" s="107" t="s">
        <v>252</v>
      </c>
      <c r="D12" s="267">
        <v>55.307636363636298</v>
      </c>
      <c r="E12" s="267">
        <v>38.143914000000002</v>
      </c>
      <c r="F12" s="86"/>
      <c r="G12" s="86"/>
      <c r="H12" s="86"/>
      <c r="I12" s="86"/>
      <c r="J12" s="86"/>
      <c r="K12" s="86"/>
      <c r="L12" s="110"/>
      <c r="M12" s="267">
        <v>55.307636363636298</v>
      </c>
      <c r="N12" s="267">
        <v>38.143914000000002</v>
      </c>
      <c r="O12" s="86"/>
      <c r="P12" s="86"/>
      <c r="Q12" s="86"/>
      <c r="R12" s="86"/>
      <c r="S12" s="86"/>
      <c r="T12" s="86"/>
      <c r="U12" s="85" t="e">
        <f t="shared" si="0"/>
        <v>#DIV/0!</v>
      </c>
      <c r="V12" s="87" t="e">
        <f t="shared" si="0"/>
        <v>#DIV/0!</v>
      </c>
      <c r="W12" s="11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15"/>
      <c r="AO12" s="240" t="s">
        <v>44</v>
      </c>
      <c r="AP12" s="240" cm="1">
        <f t="array" ref="AP12">pareto($D10:$D15,$E10:$E15,3,"rate",$AR$1,$AO11,$AO13)</f>
        <v>32.884363636363602</v>
      </c>
      <c r="AQ12" s="240" cm="1">
        <f t="array" ref="AQ12">pareto($D10:$D15,$E10:$E15,3,"dist",$AR$1,$AO11,$AO13)</f>
        <v>27.010543999999999</v>
      </c>
      <c r="AR12" s="240" cm="1">
        <f t="array" ref="AR12">pareto($M10:$M15,$N10:$N15,3,"rate",$AR$1,$AO11,$AO13)</f>
        <v>32.884363636363602</v>
      </c>
      <c r="AS12" s="240" cm="1">
        <f t="array" ref="AS12">pareto($M10:$M15,$N10:$N15,3,"dist",$AR$1,$AO11,$AO13)</f>
        <v>27.010543999999999</v>
      </c>
      <c r="AT12" s="240"/>
      <c r="AU12" s="240"/>
    </row>
    <row r="13" spans="1:47" ht="12" customHeight="1" x14ac:dyDescent="0.25">
      <c r="A13" s="74"/>
      <c r="B13" s="133"/>
      <c r="C13" s="107" t="s">
        <v>253</v>
      </c>
      <c r="D13" s="267">
        <v>32.884363636363602</v>
      </c>
      <c r="E13" s="267">
        <v>27.010543999999999</v>
      </c>
      <c r="F13" s="86"/>
      <c r="G13" s="86"/>
      <c r="H13" s="86"/>
      <c r="I13" s="86"/>
      <c r="J13" s="86"/>
      <c r="K13" s="86"/>
      <c r="L13" s="110"/>
      <c r="M13" s="267">
        <v>32.884363636363602</v>
      </c>
      <c r="N13" s="267">
        <v>27.010543999999999</v>
      </c>
      <c r="O13" s="86"/>
      <c r="P13" s="86"/>
      <c r="Q13" s="86"/>
      <c r="R13" s="86"/>
      <c r="S13" s="86"/>
      <c r="T13" s="86"/>
      <c r="U13" s="85" t="e">
        <f t="shared" si="0"/>
        <v>#DIV/0!</v>
      </c>
      <c r="V13" s="87" t="e">
        <f t="shared" si="0"/>
        <v>#DIV/0!</v>
      </c>
      <c r="W13" s="11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15"/>
      <c r="AO13" s="240">
        <v>20</v>
      </c>
      <c r="AP13" s="240" cm="1">
        <f t="array" ref="AP13">pareto($D10:$D15,$E10:$E15,4,"rate",$AR$1,$AO11,$AO13)</f>
        <v>19.2</v>
      </c>
      <c r="AQ13" s="240" cm="1">
        <f t="array" ref="AQ13">pareto($D10:$D15,$E10:$E15,4,"dist",$AR$1,$AO11,$AO13)</f>
        <v>24.436895</v>
      </c>
      <c r="AR13" s="240" cm="1">
        <f t="array" ref="AR13">pareto($M10:$M15,$N10:$N15,4,"rate",$AR$1,$AO11,$AO13)</f>
        <v>19.2</v>
      </c>
      <c r="AS13" s="240" cm="1">
        <f t="array" ref="AS13">pareto($M10:$M15,$N10:$N15,4,"dist",$AR$1,$AO11,$AO13)</f>
        <v>24.436895</v>
      </c>
      <c r="AT13" s="240"/>
      <c r="AU13" s="240"/>
    </row>
    <row r="14" spans="1:47" ht="12" customHeight="1" x14ac:dyDescent="0.25">
      <c r="A14" s="74"/>
      <c r="B14" s="133"/>
      <c r="C14" s="107" t="s">
        <v>254</v>
      </c>
      <c r="D14" s="267">
        <v>19.2</v>
      </c>
      <c r="E14" s="267">
        <v>24.436895</v>
      </c>
      <c r="F14" s="86"/>
      <c r="G14" s="86"/>
      <c r="H14" s="86"/>
      <c r="I14" s="86"/>
      <c r="J14" s="86"/>
      <c r="K14" s="86"/>
      <c r="L14" s="110"/>
      <c r="M14" s="267">
        <v>19.2</v>
      </c>
      <c r="N14" s="267">
        <v>24.436895</v>
      </c>
      <c r="O14" s="86"/>
      <c r="P14" s="86"/>
      <c r="Q14" s="86"/>
      <c r="R14" s="86"/>
      <c r="S14" s="86"/>
      <c r="T14" s="86"/>
      <c r="U14" s="85" t="e">
        <f t="shared" si="0"/>
        <v>#DIV/0!</v>
      </c>
      <c r="V14" s="87" t="e">
        <f t="shared" si="0"/>
        <v>#DIV/0!</v>
      </c>
      <c r="W14" s="11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15"/>
      <c r="AO14" s="240"/>
      <c r="AP14" s="240" cm="1">
        <f t="array" ref="AP14">pareto($D10:$D15,$E10:$E15,5,"rate",$AR$1,$AO11,$AO13)</f>
        <v>11.3105454545454</v>
      </c>
      <c r="AQ14" s="240" cm="1">
        <f t="array" ref="AQ14">pareto($D10:$D15,$E10:$E15,5,"dist",$AR$1,$AO11,$AO13)</f>
        <v>13.242246</v>
      </c>
      <c r="AR14" s="240" cm="1">
        <f t="array" ref="AR14">pareto($M10:$M15,$N10:$N15,5,"rate",$AR$1,$AO11,$AO13)</f>
        <v>11.3105454545454</v>
      </c>
      <c r="AS14" s="240" cm="1">
        <f t="array" ref="AS14">pareto($M10:$M15,$N10:$N15,5,"dist",$AR$1,$AO11,$AO13)</f>
        <v>13.242246</v>
      </c>
      <c r="AT14" s="240"/>
      <c r="AU14" s="240"/>
    </row>
    <row r="15" spans="1:47" ht="12" customHeight="1" thickBot="1" x14ac:dyDescent="0.3">
      <c r="A15" s="74"/>
      <c r="B15" s="134"/>
      <c r="C15" s="108" t="s">
        <v>255</v>
      </c>
      <c r="D15" s="267">
        <v>11.3105454545454</v>
      </c>
      <c r="E15" s="267">
        <v>13.242246</v>
      </c>
      <c r="F15" s="94"/>
      <c r="G15" s="94"/>
      <c r="H15" s="94"/>
      <c r="I15" s="94"/>
      <c r="J15" s="94"/>
      <c r="K15" s="94"/>
      <c r="L15" s="110"/>
      <c r="M15" s="267">
        <v>11.3105454545454</v>
      </c>
      <c r="N15" s="267">
        <v>13.242246</v>
      </c>
      <c r="O15" s="94"/>
      <c r="P15" s="94"/>
      <c r="Q15" s="94"/>
      <c r="R15" s="94"/>
      <c r="S15" s="94"/>
      <c r="T15" s="94"/>
      <c r="U15" s="85" t="e">
        <f t="shared" si="0"/>
        <v>#DIV/0!</v>
      </c>
      <c r="V15" s="87" t="e">
        <f t="shared" si="0"/>
        <v>#DIV/0!</v>
      </c>
      <c r="W15" s="11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16"/>
      <c r="AO15" s="240"/>
      <c r="AP15" s="240" t="e" cm="1">
        <f t="array" ref="AP15">pareto($D10:$D15,$E10:$E15,6,"rate",$AR$1,$AO11,$AO13)</f>
        <v>#N/A</v>
      </c>
      <c r="AQ15" s="240" t="e" cm="1">
        <f t="array" ref="AQ15">pareto($D10:$D15,$E10:$E15,6,"dist",$AR$1,$AO11,$AO13)</f>
        <v>#N/A</v>
      </c>
      <c r="AR15" s="240" t="e" cm="1">
        <f t="array" ref="AR15">pareto($M10:$M15,$N10:$N15,6,"rate",$AR$1,$AO11,$AO13)</f>
        <v>#N/A</v>
      </c>
      <c r="AS15" s="240" t="e" cm="1">
        <f t="array" ref="AS15">pareto($M10:$M15,$N10:$N15,6,"dist",$AR$1,$AO11,$AO13)</f>
        <v>#N/A</v>
      </c>
      <c r="AT15" s="240"/>
      <c r="AU15" s="240"/>
    </row>
    <row r="16" spans="1:47" ht="12" customHeight="1" x14ac:dyDescent="0.25">
      <c r="A16" s="74"/>
      <c r="B16" s="132" t="s">
        <v>62</v>
      </c>
      <c r="C16" s="106" t="s">
        <v>250</v>
      </c>
      <c r="D16" s="267">
        <v>117.905154639175</v>
      </c>
      <c r="E16" s="267">
        <v>65.664095000000003</v>
      </c>
      <c r="F16" s="83"/>
      <c r="G16" s="83"/>
      <c r="H16" s="83"/>
      <c r="I16" s="83"/>
      <c r="J16" s="83"/>
      <c r="K16" s="83"/>
      <c r="L16" s="110"/>
      <c r="M16" s="267">
        <v>117.905154639175</v>
      </c>
      <c r="N16" s="267">
        <v>65.664095000000003</v>
      </c>
      <c r="O16" s="83"/>
      <c r="P16" s="83"/>
      <c r="Q16" s="83"/>
      <c r="R16" s="83"/>
      <c r="S16" s="83"/>
      <c r="T16" s="83"/>
      <c r="U16" s="85" t="e">
        <f t="shared" si="0"/>
        <v>#DIV/0!</v>
      </c>
      <c r="V16" s="87" t="e">
        <f t="shared" si="0"/>
        <v>#DIV/0!</v>
      </c>
      <c r="W16" s="118"/>
      <c r="X16" s="122">
        <f>bdRateExtend($D16:$D21,$E16:$E21,$M16:$M21,$N16:$N21)</f>
        <v>0</v>
      </c>
      <c r="Y16" s="14">
        <f t="shared" ref="Y16" si="6">bdRateExtend($D16:$D20,$E16:$E20,$M16:$M20,$N16:$N20)</f>
        <v>0</v>
      </c>
      <c r="Z16" s="14">
        <f t="shared" ref="Z16" si="7">bdRateExtend($D17:$D21,$E17:$E21,$M17:$M21,$N17:$N21)</f>
        <v>0</v>
      </c>
      <c r="AA16" s="14">
        <f t="shared" ref="AA16" si="8">bdRateExtend($D16:$D19,$E16:$E19,$M16:$M19,$N16:$N19)</f>
        <v>0</v>
      </c>
      <c r="AB16" s="14">
        <f t="shared" ref="AB16" si="9">bdRateExtend($D17:$D20,$E17:$E20,$M17:$M20,$N17:$N20)</f>
        <v>0</v>
      </c>
      <c r="AC16" s="14">
        <f t="shared" ref="AC16" si="10">bdRateExtend($D18:$D21,$E18:$E21,$M18:$M21,$N18:$N21)</f>
        <v>0</v>
      </c>
      <c r="AD16" s="34" cm="1">
        <f t="array" ref="AD16">bdRatePareto(AP16:AP21,AQ16:AQ21,AR16:AR21,AS16:AS21)</f>
        <v>0</v>
      </c>
      <c r="AE16" s="14" t="e">
        <f>bdRateExtend($D16:$D21,F16:F21,$M16:$M21,O16:O21)</f>
        <v>#VALUE!</v>
      </c>
      <c r="AF16" s="14" t="e">
        <f>bdRateExtend($D16:$D21,G16:G21,$M16:$M21,P16:P21)</f>
        <v>#VALUE!</v>
      </c>
      <c r="AG16" s="15" t="e">
        <f>bdRateExtend($D16:$D21,H16:H21,$M16:$M21,Q16:Q21)</f>
        <v>#VALUE!</v>
      </c>
      <c r="AH16" s="72">
        <f>bdPSNRExtend($D16:$D21,$E16:$E21,$M16:$M21,$N16:$N21)</f>
        <v>0</v>
      </c>
      <c r="AO16" s="240" t="s">
        <v>213</v>
      </c>
      <c r="AP16" s="240" cm="1">
        <f t="array" ref="AP16">pareto($D16:$D21,$E16:$E21,1,"rate",$AR$1,$AO17,$AO19)</f>
        <v>117.905154639175</v>
      </c>
      <c r="AQ16" s="240" cm="1">
        <f t="array" ref="AQ16">pareto($D16:$D21,$E16:$E21,1,"dist",$AR$1,$AO17,$AO19)</f>
        <v>65.664095000000003</v>
      </c>
      <c r="AR16" s="240" cm="1">
        <f t="array" ref="AR16">pareto($M16:$M21,$N16:$N21,1,"rate",$AR$1,$AO17,$AO19)</f>
        <v>117.905154639175</v>
      </c>
      <c r="AS16" s="240" cm="1">
        <f t="array" ref="AS16">pareto($M16:$M21,$N16:$N21,1,"dist",$AR$1,$AO17,$AO19)</f>
        <v>65.664095000000003</v>
      </c>
      <c r="AT16" s="240"/>
      <c r="AU16" s="240"/>
    </row>
    <row r="17" spans="1:47" ht="12" customHeight="1" x14ac:dyDescent="0.25">
      <c r="A17" s="74"/>
      <c r="B17" s="133"/>
      <c r="C17" s="107" t="s">
        <v>251</v>
      </c>
      <c r="D17" s="267">
        <v>88.131958762886597</v>
      </c>
      <c r="E17" s="267">
        <v>57.930793999999999</v>
      </c>
      <c r="F17" s="86"/>
      <c r="G17" s="86"/>
      <c r="H17" s="86"/>
      <c r="I17" s="86"/>
      <c r="J17" s="86"/>
      <c r="K17" s="86"/>
      <c r="L17" s="110"/>
      <c r="M17" s="267">
        <v>88.131958762886597</v>
      </c>
      <c r="N17" s="267">
        <v>57.930793999999999</v>
      </c>
      <c r="O17" s="86"/>
      <c r="P17" s="86"/>
      <c r="Q17" s="86"/>
      <c r="R17" s="86"/>
      <c r="S17" s="86"/>
      <c r="T17" s="86"/>
      <c r="U17" s="85" t="e">
        <f t="shared" si="0"/>
        <v>#DIV/0!</v>
      </c>
      <c r="V17" s="87" t="e">
        <f t="shared" si="0"/>
        <v>#DIV/0!</v>
      </c>
      <c r="W17" s="118"/>
      <c r="X17" s="89"/>
      <c r="Y17" s="90"/>
      <c r="Z17" s="90"/>
      <c r="AA17" s="90"/>
      <c r="AB17" s="90"/>
      <c r="AC17" s="90"/>
      <c r="AD17" s="90"/>
      <c r="AE17" s="90"/>
      <c r="AF17" s="90"/>
      <c r="AG17" s="91"/>
      <c r="AH17" s="115"/>
      <c r="AO17" s="240">
        <v>70.148171000000005</v>
      </c>
      <c r="AP17" s="240" cm="1">
        <f t="array" ref="AP17">pareto($D16:$D21,$E16:$E21,2,"rate",$AR$1,$AO17,$AO19)</f>
        <v>88.131958762886597</v>
      </c>
      <c r="AQ17" s="240" cm="1">
        <f t="array" ref="AQ17">pareto($D16:$D21,$E16:$E21,2,"dist",$AR$1,$AO17,$AO19)</f>
        <v>57.930793999999999</v>
      </c>
      <c r="AR17" s="240" cm="1">
        <f t="array" ref="AR17">pareto($M16:$M21,$N16:$N21,2,"rate",$AR$1,$AO17,$AO19)</f>
        <v>88.131958762886597</v>
      </c>
      <c r="AS17" s="240" cm="1">
        <f t="array" ref="AS17">pareto($M16:$M21,$N16:$N21,2,"dist",$AR$1,$AO17,$AO19)</f>
        <v>57.930793999999999</v>
      </c>
      <c r="AT17" s="240"/>
      <c r="AU17" s="240"/>
    </row>
    <row r="18" spans="1:47" ht="12" customHeight="1" x14ac:dyDescent="0.25">
      <c r="A18" s="74"/>
      <c r="B18" s="133"/>
      <c r="C18" s="107" t="s">
        <v>252</v>
      </c>
      <c r="D18" s="267">
        <v>48.581443298968999</v>
      </c>
      <c r="E18" s="267">
        <v>35.852375000000002</v>
      </c>
      <c r="F18" s="86"/>
      <c r="G18" s="86"/>
      <c r="H18" s="86"/>
      <c r="I18" s="86"/>
      <c r="J18" s="86"/>
      <c r="K18" s="86"/>
      <c r="L18" s="110"/>
      <c r="M18" s="267">
        <v>48.581443298968999</v>
      </c>
      <c r="N18" s="267">
        <v>35.852375000000002</v>
      </c>
      <c r="O18" s="86"/>
      <c r="P18" s="86"/>
      <c r="Q18" s="86"/>
      <c r="R18" s="86"/>
      <c r="S18" s="86"/>
      <c r="T18" s="86"/>
      <c r="U18" s="85" t="e">
        <f t="shared" si="0"/>
        <v>#DIV/0!</v>
      </c>
      <c r="V18" s="87" t="e">
        <f t="shared" si="0"/>
        <v>#DIV/0!</v>
      </c>
      <c r="W18" s="118"/>
      <c r="X18" s="89"/>
      <c r="Y18" s="90"/>
      <c r="Z18" s="90"/>
      <c r="AA18" s="90"/>
      <c r="AB18" s="90"/>
      <c r="AC18" s="90"/>
      <c r="AD18" s="90"/>
      <c r="AE18" s="90"/>
      <c r="AF18" s="90"/>
      <c r="AG18" s="91"/>
      <c r="AH18" s="115"/>
      <c r="AO18" s="240" t="s">
        <v>44</v>
      </c>
      <c r="AP18" s="240" cm="1">
        <f t="array" ref="AP18">pareto($D16:$D21,$E16:$E21,3,"rate",$AR$1,$AO17,$AO19)</f>
        <v>48.581443298968999</v>
      </c>
      <c r="AQ18" s="240" cm="1">
        <f t="array" ref="AQ18">pareto($D16:$D21,$E16:$E21,3,"dist",$AR$1,$AO17,$AO19)</f>
        <v>35.852375000000002</v>
      </c>
      <c r="AR18" s="240" cm="1">
        <f t="array" ref="AR18">pareto($M16:$M21,$N16:$N21,3,"rate",$AR$1,$AO17,$AO19)</f>
        <v>48.581443298968999</v>
      </c>
      <c r="AS18" s="240" cm="1">
        <f t="array" ref="AS18">pareto($M16:$M21,$N16:$N21,3,"dist",$AR$1,$AO17,$AO19)</f>
        <v>35.852375000000002</v>
      </c>
      <c r="AT18" s="240"/>
      <c r="AU18" s="240"/>
    </row>
    <row r="19" spans="1:47" ht="12" customHeight="1" x14ac:dyDescent="0.25">
      <c r="A19" s="74"/>
      <c r="B19" s="133"/>
      <c r="C19" s="107" t="s">
        <v>253</v>
      </c>
      <c r="D19" s="267">
        <v>35.290721649484503</v>
      </c>
      <c r="E19" s="267">
        <v>27.470562999999999</v>
      </c>
      <c r="F19" s="86"/>
      <c r="G19" s="86"/>
      <c r="H19" s="86"/>
      <c r="I19" s="86"/>
      <c r="J19" s="86"/>
      <c r="K19" s="86"/>
      <c r="L19" s="110"/>
      <c r="M19" s="267">
        <v>35.290721649484503</v>
      </c>
      <c r="N19" s="267">
        <v>27.470562999999999</v>
      </c>
      <c r="O19" s="86"/>
      <c r="P19" s="86"/>
      <c r="Q19" s="86"/>
      <c r="R19" s="86"/>
      <c r="S19" s="86"/>
      <c r="T19" s="86"/>
      <c r="U19" s="85" t="e">
        <f t="shared" si="0"/>
        <v>#DIV/0!</v>
      </c>
      <c r="V19" s="87" t="e">
        <f t="shared" si="0"/>
        <v>#DIV/0!</v>
      </c>
      <c r="W19" s="118"/>
      <c r="X19" s="89"/>
      <c r="Y19" s="90"/>
      <c r="Z19" s="90"/>
      <c r="AA19" s="90"/>
      <c r="AB19" s="90"/>
      <c r="AC19" s="90"/>
      <c r="AD19" s="90"/>
      <c r="AE19" s="90"/>
      <c r="AF19" s="90"/>
      <c r="AG19" s="91"/>
      <c r="AH19" s="115"/>
      <c r="AO19" s="240">
        <v>20</v>
      </c>
      <c r="AP19" s="240" cm="1">
        <f t="array" ref="AP19">pareto($D16:$D21,$E16:$E21,4,"rate",$AR$1,$AO17,$AO19)</f>
        <v>35.290721649484503</v>
      </c>
      <c r="AQ19" s="240" cm="1">
        <f t="array" ref="AQ19">pareto($D16:$D21,$E16:$E21,4,"dist",$AR$1,$AO17,$AO19)</f>
        <v>27.470562999999999</v>
      </c>
      <c r="AR19" s="240" cm="1">
        <f t="array" ref="AR19">pareto($M16:$M21,$N16:$N21,4,"rate",$AR$1,$AO17,$AO19)</f>
        <v>35.290721649484503</v>
      </c>
      <c r="AS19" s="240" cm="1">
        <f t="array" ref="AS19">pareto($M16:$M21,$N16:$N21,4,"dist",$AR$1,$AO17,$AO19)</f>
        <v>27.470562999999999</v>
      </c>
      <c r="AT19" s="240"/>
      <c r="AU19" s="240"/>
    </row>
    <row r="20" spans="1:47" ht="12" customHeight="1" x14ac:dyDescent="0.25">
      <c r="A20" s="74"/>
      <c r="B20" s="133"/>
      <c r="C20" s="107" t="s">
        <v>254</v>
      </c>
      <c r="D20" s="267">
        <v>30.556701030927801</v>
      </c>
      <c r="E20" s="267">
        <v>7.8305619999999996</v>
      </c>
      <c r="F20" s="86"/>
      <c r="G20" s="86"/>
      <c r="H20" s="86"/>
      <c r="I20" s="86"/>
      <c r="J20" s="86"/>
      <c r="K20" s="86"/>
      <c r="L20" s="110"/>
      <c r="M20" s="267">
        <v>30.556701030927801</v>
      </c>
      <c r="N20" s="267">
        <v>7.8305619999999996</v>
      </c>
      <c r="O20" s="86"/>
      <c r="P20" s="86"/>
      <c r="Q20" s="86"/>
      <c r="R20" s="86"/>
      <c r="S20" s="86"/>
      <c r="T20" s="86"/>
      <c r="U20" s="85" t="e">
        <f t="shared" si="0"/>
        <v>#DIV/0!</v>
      </c>
      <c r="V20" s="87" t="e">
        <f t="shared" si="0"/>
        <v>#DIV/0!</v>
      </c>
      <c r="W20" s="118"/>
      <c r="X20" s="89"/>
      <c r="Y20" s="90"/>
      <c r="Z20" s="90"/>
      <c r="AA20" s="90"/>
      <c r="AB20" s="90"/>
      <c r="AC20" s="90"/>
      <c r="AD20" s="90"/>
      <c r="AE20" s="90"/>
      <c r="AF20" s="90"/>
      <c r="AG20" s="91"/>
      <c r="AH20" s="115"/>
      <c r="AO20" s="240"/>
      <c r="AP20" s="240" cm="1">
        <f t="array" ref="AP20">pareto($D16:$D21,$E16:$E21,5,"rate",$AR$1,$AO17,$AO19)</f>
        <v>30.556701030927801</v>
      </c>
      <c r="AQ20" s="240" cm="1">
        <f t="array" ref="AQ20">pareto($D16:$D21,$E16:$E21,5,"dist",$AR$1,$AO17,$AO19)</f>
        <v>7.8305619999999996</v>
      </c>
      <c r="AR20" s="240" cm="1">
        <f t="array" ref="AR20">pareto($M16:$M21,$N16:$N21,5,"rate",$AR$1,$AO17,$AO19)</f>
        <v>30.556701030927801</v>
      </c>
      <c r="AS20" s="240" cm="1">
        <f t="array" ref="AS20">pareto($M16:$M21,$N16:$N21,5,"dist",$AR$1,$AO17,$AO19)</f>
        <v>7.8305619999999996</v>
      </c>
      <c r="AT20" s="240"/>
      <c r="AU20" s="240"/>
    </row>
    <row r="21" spans="1:47" ht="12" customHeight="1" thickBot="1" x14ac:dyDescent="0.3">
      <c r="A21" s="74"/>
      <c r="B21" s="134"/>
      <c r="C21" s="108" t="s">
        <v>255</v>
      </c>
      <c r="D21" s="267">
        <v>27.1092783505154</v>
      </c>
      <c r="E21" s="267">
        <v>2.4653499999999999</v>
      </c>
      <c r="F21" s="94"/>
      <c r="G21" s="94"/>
      <c r="H21" s="94"/>
      <c r="I21" s="94"/>
      <c r="J21" s="94"/>
      <c r="K21" s="94"/>
      <c r="L21" s="110"/>
      <c r="M21" s="267">
        <v>27.1092783505154</v>
      </c>
      <c r="N21" s="267">
        <v>2.4653499999999999</v>
      </c>
      <c r="O21" s="94"/>
      <c r="P21" s="94"/>
      <c r="Q21" s="94"/>
      <c r="R21" s="94"/>
      <c r="S21" s="94"/>
      <c r="T21" s="94"/>
      <c r="U21" s="85" t="e">
        <f t="shared" si="0"/>
        <v>#DIV/0!</v>
      </c>
      <c r="V21" s="87" t="e">
        <f t="shared" si="0"/>
        <v>#DIV/0!</v>
      </c>
      <c r="W21" s="118"/>
      <c r="X21" s="95"/>
      <c r="Y21" s="96"/>
      <c r="Z21" s="96"/>
      <c r="AA21" s="96"/>
      <c r="AB21" s="96"/>
      <c r="AC21" s="96"/>
      <c r="AD21" s="96"/>
      <c r="AE21" s="96"/>
      <c r="AF21" s="96"/>
      <c r="AG21" s="97"/>
      <c r="AH21" s="116"/>
      <c r="AO21" s="240"/>
      <c r="AP21" s="240" cm="1">
        <f t="array" ref="AP21">pareto($D16:$D21,$E16:$E21,6,"rate",$AR$1,$AO17,$AO19)</f>
        <v>27.1092783505154</v>
      </c>
      <c r="AQ21" s="240" cm="1">
        <f t="array" ref="AQ21">pareto($D16:$D21,$E16:$E21,6,"dist",$AR$1,$AO17,$AO19)</f>
        <v>2.4653499999999999</v>
      </c>
      <c r="AR21" s="240" cm="1">
        <f t="array" ref="AR21">pareto($M16:$M21,$N16:$N21,6,"rate",$AR$1,$AO17,$AO19)</f>
        <v>27.1092783505154</v>
      </c>
      <c r="AS21" s="240" cm="1">
        <f t="array" ref="AS21">pareto($M16:$M21,$N16:$N21,6,"dist",$AR$1,$AO17,$AO19)</f>
        <v>2.4653499999999999</v>
      </c>
      <c r="AT21" s="240"/>
      <c r="AU21" s="240"/>
    </row>
    <row r="22" spans="1:47" ht="12" customHeight="1" x14ac:dyDescent="0.25">
      <c r="A22" s="74"/>
      <c r="B22" s="132" t="s">
        <v>63</v>
      </c>
      <c r="C22" s="106" t="s">
        <v>250</v>
      </c>
      <c r="D22" s="267">
        <v>314.18969072164901</v>
      </c>
      <c r="E22" s="267">
        <v>35.076811999999997</v>
      </c>
      <c r="F22" s="83"/>
      <c r="G22" s="83"/>
      <c r="H22" s="83"/>
      <c r="I22" s="83"/>
      <c r="J22" s="83"/>
      <c r="K22" s="83"/>
      <c r="L22" s="110"/>
      <c r="M22" s="267">
        <v>314.18969072164901</v>
      </c>
      <c r="N22" s="267">
        <v>35.076811999999997</v>
      </c>
      <c r="O22" s="83"/>
      <c r="P22" s="83"/>
      <c r="Q22" s="83"/>
      <c r="R22" s="83"/>
      <c r="S22" s="83"/>
      <c r="T22" s="83"/>
      <c r="U22" s="85" t="e">
        <f t="shared" si="0"/>
        <v>#DIV/0!</v>
      </c>
      <c r="V22" s="87" t="e">
        <f t="shared" si="0"/>
        <v>#DIV/0!</v>
      </c>
      <c r="W22" s="118"/>
      <c r="X22" s="122">
        <f>bdRateExtend($D22:$D27,$E22:$E27,$M22:$M27,$N22:$N27)</f>
        <v>0</v>
      </c>
      <c r="Y22" s="14">
        <f t="shared" ref="Y22" si="11">bdRateExtend($D22:$D26,$E22:$E26,$M22:$M26,$N22:$N26)</f>
        <v>0</v>
      </c>
      <c r="Z22" s="14">
        <f t="shared" ref="Z22" si="12">bdRateExtend($D23:$D27,$E23:$E27,$M23:$M27,$N23:$N27)</f>
        <v>0</v>
      </c>
      <c r="AA22" s="14">
        <f t="shared" ref="AA22" si="13">bdRateExtend($D22:$D25,$E22:$E25,$M22:$M25,$N22:$N25)</f>
        <v>0</v>
      </c>
      <c r="AB22" s="14">
        <f t="shared" ref="AB22" si="14">bdRateExtend($D23:$D26,$E23:$E26,$M23:$M26,$N23:$N26)</f>
        <v>0</v>
      </c>
      <c r="AC22" s="14">
        <f t="shared" ref="AC22" si="15">bdRateExtend($D24:$D27,$E24:$E27,$M24:$M27,$N24:$N27)</f>
        <v>0</v>
      </c>
      <c r="AD22" s="34" cm="1">
        <f t="array" ref="AD22">bdRatePareto(AP22:AP27,AQ22:AQ27,AR22:AR27,AS22:AS27)</f>
        <v>0</v>
      </c>
      <c r="AE22" s="14" t="e">
        <f>bdRateExtend($D22:$D27,F22:F27,$M22:$M27,O22:O27)</f>
        <v>#VALUE!</v>
      </c>
      <c r="AF22" s="14" t="e">
        <f>bdRateExtend($D22:$D27,G22:G27,$M22:$M27,P22:P27)</f>
        <v>#VALUE!</v>
      </c>
      <c r="AG22" s="15" t="e">
        <f>bdRateExtend($D22:$D27,H22:H27,$M22:$M27,Q22:Q27)</f>
        <v>#VALUE!</v>
      </c>
      <c r="AH22" s="72">
        <f>bdPSNRExtend($D22:$D27,$E22:$E27,$M22:$M27,$N22:$N27)</f>
        <v>0</v>
      </c>
      <c r="AO22" s="240" t="s">
        <v>213</v>
      </c>
      <c r="AP22" s="240" cm="1">
        <f t="array" ref="AP22">pareto($D22:$D27,$E22:$E27,1,"rate",$AR$1,$AO23,$AO25)</f>
        <v>314.18969072164901</v>
      </c>
      <c r="AQ22" s="240" cm="1">
        <f t="array" ref="AQ22">pareto($D22:$D27,$E22:$E27,1,"dist",$AR$1,$AO23,$AO25)</f>
        <v>35.076811999999997</v>
      </c>
      <c r="AR22" s="240" cm="1">
        <f t="array" ref="AR22">pareto($M22:$M27,$N22:$N27,1,"rate",$AR$1,$AO23,$AO25)</f>
        <v>314.18969072164901</v>
      </c>
      <c r="AS22" s="240" cm="1">
        <f t="array" ref="AS22">pareto($M22:$M27,$N22:$N27,1,"dist",$AR$1,$AO23,$AO25)</f>
        <v>35.076811999999997</v>
      </c>
      <c r="AT22" s="240"/>
      <c r="AU22" s="240"/>
    </row>
    <row r="23" spans="1:47" ht="12" customHeight="1" x14ac:dyDescent="0.25">
      <c r="A23" s="74"/>
      <c r="B23" s="133"/>
      <c r="C23" s="107" t="s">
        <v>251</v>
      </c>
      <c r="D23" s="267">
        <v>213.50103092783499</v>
      </c>
      <c r="E23" s="267">
        <v>33.995193999999998</v>
      </c>
      <c r="F23" s="86"/>
      <c r="G23" s="86"/>
      <c r="H23" s="86"/>
      <c r="I23" s="86"/>
      <c r="J23" s="86"/>
      <c r="K23" s="86"/>
      <c r="L23" s="110"/>
      <c r="M23" s="267">
        <v>213.50103092783499</v>
      </c>
      <c r="N23" s="267">
        <v>33.995193999999998</v>
      </c>
      <c r="O23" s="86"/>
      <c r="P23" s="86"/>
      <c r="Q23" s="86"/>
      <c r="R23" s="86"/>
      <c r="S23" s="86"/>
      <c r="T23" s="86"/>
      <c r="U23" s="85" t="e">
        <f t="shared" si="0"/>
        <v>#DIV/0!</v>
      </c>
      <c r="V23" s="87" t="e">
        <f t="shared" si="0"/>
        <v>#DIV/0!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0">
        <v>43.472600999999997</v>
      </c>
      <c r="AP23" s="240" cm="1">
        <f t="array" ref="AP23">pareto($D22:$D27,$E22:$E27,2,"rate",$AR$1,$AO23,$AO25)</f>
        <v>213.50103092783499</v>
      </c>
      <c r="AQ23" s="240" cm="1">
        <f t="array" ref="AQ23">pareto($D22:$D27,$E22:$E27,2,"dist",$AR$1,$AO23,$AO25)</f>
        <v>33.995193999999998</v>
      </c>
      <c r="AR23" s="240" cm="1">
        <f t="array" ref="AR23">pareto($M22:$M27,$N22:$N27,2,"rate",$AR$1,$AO23,$AO25)</f>
        <v>213.50103092783499</v>
      </c>
      <c r="AS23" s="240" cm="1">
        <f t="array" ref="AS23">pareto($M22:$M27,$N22:$N27,2,"dist",$AR$1,$AO23,$AO25)</f>
        <v>33.995193999999998</v>
      </c>
      <c r="AT23" s="240"/>
      <c r="AU23" s="240"/>
    </row>
    <row r="24" spans="1:47" ht="12" customHeight="1" x14ac:dyDescent="0.25">
      <c r="A24" s="74"/>
      <c r="B24" s="133"/>
      <c r="C24" s="107" t="s">
        <v>252</v>
      </c>
      <c r="D24" s="267">
        <v>142.10721649484501</v>
      </c>
      <c r="E24" s="267">
        <v>29.36806</v>
      </c>
      <c r="F24" s="86"/>
      <c r="G24" s="86"/>
      <c r="H24" s="86"/>
      <c r="I24" s="86"/>
      <c r="J24" s="86"/>
      <c r="K24" s="86"/>
      <c r="L24" s="110"/>
      <c r="M24" s="267">
        <v>142.10721649484501</v>
      </c>
      <c r="N24" s="267">
        <v>29.36806</v>
      </c>
      <c r="O24" s="86"/>
      <c r="P24" s="86"/>
      <c r="Q24" s="86"/>
      <c r="R24" s="86"/>
      <c r="S24" s="86"/>
      <c r="T24" s="86"/>
      <c r="U24" s="85" t="e">
        <f t="shared" si="0"/>
        <v>#DIV/0!</v>
      </c>
      <c r="V24" s="87" t="e">
        <f t="shared" si="0"/>
        <v>#DIV/0!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0" t="s">
        <v>44</v>
      </c>
      <c r="AP24" s="240" cm="1">
        <f t="array" ref="AP24">pareto($D22:$D27,$E22:$E27,3,"rate",$AR$1,$AO23,$AO25)</f>
        <v>142.10721649484501</v>
      </c>
      <c r="AQ24" s="240" cm="1">
        <f t="array" ref="AQ24">pareto($D22:$D27,$E22:$E27,3,"dist",$AR$1,$AO23,$AO25)</f>
        <v>29.36806</v>
      </c>
      <c r="AR24" s="240" cm="1">
        <f t="array" ref="AR24">pareto($M22:$M27,$N22:$N27,3,"rate",$AR$1,$AO23,$AO25)</f>
        <v>142.10721649484501</v>
      </c>
      <c r="AS24" s="240" cm="1">
        <f t="array" ref="AS24">pareto($M22:$M27,$N22:$N27,3,"dist",$AR$1,$AO23,$AO25)</f>
        <v>29.36806</v>
      </c>
      <c r="AT24" s="240"/>
      <c r="AU24" s="240"/>
    </row>
    <row r="25" spans="1:47" ht="12" customHeight="1" x14ac:dyDescent="0.25">
      <c r="A25" s="74"/>
      <c r="B25" s="133"/>
      <c r="C25" s="107" t="s">
        <v>253</v>
      </c>
      <c r="D25" s="267">
        <v>92.721649484536002</v>
      </c>
      <c r="E25" s="267">
        <v>19.502520000000001</v>
      </c>
      <c r="F25" s="86"/>
      <c r="G25" s="86"/>
      <c r="H25" s="86"/>
      <c r="I25" s="86"/>
      <c r="J25" s="86"/>
      <c r="K25" s="86"/>
      <c r="L25" s="110"/>
      <c r="M25" s="267">
        <v>92.721649484536002</v>
      </c>
      <c r="N25" s="267">
        <v>19.502520000000001</v>
      </c>
      <c r="O25" s="86"/>
      <c r="P25" s="86"/>
      <c r="Q25" s="86"/>
      <c r="R25" s="86"/>
      <c r="S25" s="86"/>
      <c r="T25" s="86"/>
      <c r="U25" s="85" t="e">
        <f t="shared" si="0"/>
        <v>#DIV/0!</v>
      </c>
      <c r="V25" s="87" t="e">
        <f t="shared" si="0"/>
        <v>#DIV/0!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0">
        <v>20</v>
      </c>
      <c r="AP25" s="240" cm="1">
        <f t="array" ref="AP25">pareto($D22:$D27,$E22:$E27,4,"rate",$AR$1,$AO23,$AO25)</f>
        <v>92.721649484536002</v>
      </c>
      <c r="AQ25" s="240" cm="1">
        <f t="array" ref="AQ25">pareto($D22:$D27,$E22:$E27,4,"dist",$AR$1,$AO23,$AO25)</f>
        <v>19.502520000000001</v>
      </c>
      <c r="AR25" s="240" cm="1">
        <f t="array" ref="AR25">pareto($M22:$M27,$N22:$N27,4,"rate",$AR$1,$AO23,$AO25)</f>
        <v>92.721649484536002</v>
      </c>
      <c r="AS25" s="240" cm="1">
        <f t="array" ref="AS25">pareto($M22:$M27,$N22:$N27,4,"dist",$AR$1,$AO23,$AO25)</f>
        <v>19.502520000000001</v>
      </c>
      <c r="AT25" s="240"/>
      <c r="AU25" s="240"/>
    </row>
    <row r="26" spans="1:47" ht="12" customHeight="1" x14ac:dyDescent="0.25">
      <c r="A26" s="74"/>
      <c r="B26" s="133"/>
      <c r="C26" s="107" t="s">
        <v>254</v>
      </c>
      <c r="D26" s="267">
        <v>59.4845360824742</v>
      </c>
      <c r="E26" s="267">
        <v>15.192885</v>
      </c>
      <c r="F26" s="86"/>
      <c r="G26" s="86"/>
      <c r="H26" s="86"/>
      <c r="I26" s="86"/>
      <c r="J26" s="86"/>
      <c r="K26" s="86"/>
      <c r="L26" s="110"/>
      <c r="M26" s="267">
        <v>59.4845360824742</v>
      </c>
      <c r="N26" s="267">
        <v>15.192885</v>
      </c>
      <c r="O26" s="86"/>
      <c r="P26" s="86"/>
      <c r="Q26" s="86"/>
      <c r="R26" s="86"/>
      <c r="S26" s="86"/>
      <c r="T26" s="86"/>
      <c r="U26" s="85" t="e">
        <f t="shared" si="0"/>
        <v>#DIV/0!</v>
      </c>
      <c r="V26" s="87" t="e">
        <f t="shared" si="0"/>
        <v>#DIV/0!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0"/>
      <c r="AP26" s="240" cm="1">
        <f t="array" ref="AP26">pareto($D22:$D27,$E22:$E27,5,"rate",$AR$1,$AO23,$AO25)</f>
        <v>59.4845360824742</v>
      </c>
      <c r="AQ26" s="240" cm="1">
        <f t="array" ref="AQ26">pareto($D22:$D27,$E22:$E27,5,"dist",$AR$1,$AO23,$AO25)</f>
        <v>15.192885</v>
      </c>
      <c r="AR26" s="240" cm="1">
        <f t="array" ref="AR26">pareto($M22:$M27,$N22:$N27,5,"rate",$AR$1,$AO23,$AO25)</f>
        <v>59.4845360824742</v>
      </c>
      <c r="AS26" s="240" cm="1">
        <f t="array" ref="AS26">pareto($M22:$M27,$N22:$N27,5,"dist",$AR$1,$AO23,$AO25)</f>
        <v>15.192885</v>
      </c>
      <c r="AT26" s="240"/>
      <c r="AU26" s="240"/>
    </row>
    <row r="27" spans="1:47" ht="12" customHeight="1" thickBot="1" x14ac:dyDescent="0.3">
      <c r="A27" s="74"/>
      <c r="B27" s="134"/>
      <c r="C27" s="108" t="s">
        <v>255</v>
      </c>
      <c r="D27" s="267">
        <v>37.896907216494803</v>
      </c>
      <c r="E27" s="267">
        <v>4.9420200000000003</v>
      </c>
      <c r="F27" s="94"/>
      <c r="G27" s="94"/>
      <c r="H27" s="94"/>
      <c r="I27" s="94"/>
      <c r="J27" s="94"/>
      <c r="K27" s="94"/>
      <c r="L27" s="110"/>
      <c r="M27" s="267">
        <v>37.896907216494803</v>
      </c>
      <c r="N27" s="267">
        <v>4.9420200000000003</v>
      </c>
      <c r="O27" s="94"/>
      <c r="P27" s="94"/>
      <c r="Q27" s="94"/>
      <c r="R27" s="94"/>
      <c r="S27" s="94"/>
      <c r="T27" s="94"/>
      <c r="U27" s="85" t="e">
        <f t="shared" si="0"/>
        <v>#DIV/0!</v>
      </c>
      <c r="V27" s="87" t="e">
        <f t="shared" si="0"/>
        <v>#DIV/0!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0"/>
      <c r="AP27" s="240" cm="1">
        <f t="array" ref="AP27">pareto($D22:$D27,$E22:$E27,6,"rate",$AR$1,$AO23,$AO25)</f>
        <v>37.896907216494803</v>
      </c>
      <c r="AQ27" s="240" cm="1">
        <f t="array" ref="AQ27">pareto($D22:$D27,$E22:$E27,6,"dist",$AR$1,$AO23,$AO25)</f>
        <v>4.9420200000000003</v>
      </c>
      <c r="AR27" s="240" cm="1">
        <f t="array" ref="AR27">pareto($M22:$M27,$N22:$N27,6,"rate",$AR$1,$AO23,$AO25)</f>
        <v>37.896907216494803</v>
      </c>
      <c r="AS27" s="240" cm="1">
        <f t="array" ref="AS27">pareto($M22:$M27,$N22:$N27,6,"dist",$AR$1,$AO23,$AO25)</f>
        <v>4.9420200000000003</v>
      </c>
      <c r="AT27" s="240"/>
      <c r="AU27" s="240"/>
    </row>
    <row r="28" spans="1:47" ht="12" customHeight="1" x14ac:dyDescent="0.25">
      <c r="A28" s="74"/>
      <c r="B28" s="132" t="s">
        <v>64</v>
      </c>
      <c r="C28" s="106" t="s">
        <v>250</v>
      </c>
      <c r="D28" s="267">
        <v>202.49674418604599</v>
      </c>
      <c r="E28" s="267">
        <v>40.253366999999997</v>
      </c>
      <c r="F28" s="83"/>
      <c r="G28" s="83"/>
      <c r="H28" s="83"/>
      <c r="I28" s="83"/>
      <c r="J28" s="83"/>
      <c r="K28" s="83"/>
      <c r="L28" s="110"/>
      <c r="M28" s="267">
        <v>202.49674418604599</v>
      </c>
      <c r="N28" s="267">
        <v>40.253366999999997</v>
      </c>
      <c r="O28" s="83"/>
      <c r="P28" s="83"/>
      <c r="Q28" s="83"/>
      <c r="R28" s="83"/>
      <c r="S28" s="83"/>
      <c r="T28" s="83"/>
      <c r="U28" s="85" t="e">
        <f t="shared" si="0"/>
        <v>#DIV/0!</v>
      </c>
      <c r="V28" s="87" t="e">
        <f t="shared" si="0"/>
        <v>#DIV/0!</v>
      </c>
      <c r="W28" s="118"/>
      <c r="X28" s="122">
        <f>bdRateExtend($D28:$D33,$E28:$E33,$M28:$M33,$N28:$N33)</f>
        <v>0</v>
      </c>
      <c r="Y28" s="14">
        <f t="shared" ref="Y28" si="16">bdRateExtend($D28:$D32,$E28:$E32,$M28:$M32,$N28:$N32)</f>
        <v>0</v>
      </c>
      <c r="Z28" s="14">
        <f t="shared" ref="Z28" si="17">bdRateExtend($D29:$D33,$E29:$E33,$M29:$M33,$N29:$N33)</f>
        <v>0</v>
      </c>
      <c r="AA28" s="14">
        <f t="shared" ref="AA28" si="18">bdRateExtend($D28:$D31,$E28:$E31,$M28:$M31,$N28:$N31)</f>
        <v>0</v>
      </c>
      <c r="AB28" s="14">
        <f t="shared" ref="AB28" si="19">bdRateExtend($D29:$D32,$E29:$E32,$M29:$M32,$N29:$N32)</f>
        <v>0</v>
      </c>
      <c r="AC28" s="14">
        <f t="shared" ref="AC28" si="20">bdRateExtend($D30:$D33,$E30:$E33,$M30:$M33,$N30:$N33)</f>
        <v>0</v>
      </c>
      <c r="AD28" s="34" cm="1">
        <f t="array" ref="AD28">bdRatePareto(AP28:AP33,AQ28:AQ33,AR28:AR33,AS28:AS33)</f>
        <v>0</v>
      </c>
      <c r="AE28" s="14" t="e">
        <f>bdRateExtend($D28:$D33,F28:F33,$M28:$M33,O28:O33)</f>
        <v>#VALUE!</v>
      </c>
      <c r="AF28" s="14" t="e">
        <f>bdRateExtend($D28:$D33,G28:G33,$M28:$M33,P28:P33)</f>
        <v>#VALUE!</v>
      </c>
      <c r="AG28" s="15" t="e">
        <f>bdRateExtend($D28:$D33,H28:H33,$M28:$M33,Q28:Q33)</f>
        <v>#VALUE!</v>
      </c>
      <c r="AH28" s="72">
        <f>bdPSNRExtend($D28:$D33,$E28:$E33,$M28:$M33,$N28:$N33)</f>
        <v>0</v>
      </c>
      <c r="AO28" s="240" t="s">
        <v>213</v>
      </c>
      <c r="AP28" s="240" cm="1">
        <f t="array" ref="AP28">pareto($D28:$D33,$E28:$E33,1,"rate",$AR$1,$AO29,$AO31)</f>
        <v>202.49674418604599</v>
      </c>
      <c r="AQ28" s="240" cm="1">
        <f t="array" ref="AQ28">pareto($D28:$D33,$E28:$E33,1,"dist",$AR$1,$AO29,$AO31)</f>
        <v>40.253366999999997</v>
      </c>
      <c r="AR28" s="240" cm="1">
        <f t="array" ref="AR28">pareto($M28:$M33,$N28:$N33,1,"rate",$AR$1,$AO29,$AO31)</f>
        <v>202.49674418604599</v>
      </c>
      <c r="AS28" s="240" cm="1">
        <f t="array" ref="AS28">pareto($M28:$M33,$N28:$N33,1,"dist",$AR$1,$AO29,$AO31)</f>
        <v>40.253366999999997</v>
      </c>
      <c r="AT28" s="240"/>
      <c r="AU28" s="240"/>
    </row>
    <row r="29" spans="1:47" ht="12" customHeight="1" x14ac:dyDescent="0.25">
      <c r="A29" s="74"/>
      <c r="B29" s="133"/>
      <c r="C29" s="107" t="s">
        <v>251</v>
      </c>
      <c r="D29" s="267">
        <v>134.45581395348799</v>
      </c>
      <c r="E29" s="267">
        <v>39.214021000000002</v>
      </c>
      <c r="F29" s="86"/>
      <c r="G29" s="86"/>
      <c r="H29" s="86"/>
      <c r="I29" s="86"/>
      <c r="J29" s="86"/>
      <c r="K29" s="86"/>
      <c r="L29" s="110"/>
      <c r="M29" s="267">
        <v>134.45581395348799</v>
      </c>
      <c r="N29" s="267">
        <v>39.214021000000002</v>
      </c>
      <c r="O29" s="86"/>
      <c r="P29" s="86"/>
      <c r="Q29" s="86"/>
      <c r="R29" s="86"/>
      <c r="S29" s="86"/>
      <c r="T29" s="86"/>
      <c r="U29" s="85" t="e">
        <f t="shared" si="0"/>
        <v>#DIV/0!</v>
      </c>
      <c r="V29" s="87" t="e">
        <f t="shared" si="0"/>
        <v>#DIV/0!</v>
      </c>
      <c r="W29" s="118"/>
      <c r="X29" s="89"/>
      <c r="Y29" s="90"/>
      <c r="Z29" s="90"/>
      <c r="AA29" s="90"/>
      <c r="AB29" s="90"/>
      <c r="AC29" s="90"/>
      <c r="AD29" s="90"/>
      <c r="AE29" s="90"/>
      <c r="AF29" s="90"/>
      <c r="AG29" s="91"/>
      <c r="AH29" s="115"/>
      <c r="AO29" s="240">
        <v>41.49</v>
      </c>
      <c r="AP29" s="240" cm="1">
        <f t="array" ref="AP29">pareto($D28:$D33,$E28:$E33,2,"rate",$AR$1,$AO29,$AO31)</f>
        <v>134.45581395348799</v>
      </c>
      <c r="AQ29" s="240" cm="1">
        <f t="array" ref="AQ29">pareto($D28:$D33,$E28:$E33,2,"dist",$AR$1,$AO29,$AO31)</f>
        <v>39.214021000000002</v>
      </c>
      <c r="AR29" s="240" cm="1">
        <f t="array" ref="AR29">pareto($M28:$M33,$N28:$N33,2,"rate",$AR$1,$AO29,$AO31)</f>
        <v>134.45581395348799</v>
      </c>
      <c r="AS29" s="240" cm="1">
        <f t="array" ref="AS29">pareto($M28:$M33,$N28:$N33,2,"dist",$AR$1,$AO29,$AO31)</f>
        <v>39.214021000000002</v>
      </c>
      <c r="AT29" s="240"/>
      <c r="AU29" s="240"/>
    </row>
    <row r="30" spans="1:47" ht="12" customHeight="1" x14ac:dyDescent="0.25">
      <c r="A30" s="74"/>
      <c r="B30" s="133"/>
      <c r="C30" s="107" t="s">
        <v>252</v>
      </c>
      <c r="D30" s="267">
        <v>75.810232558139504</v>
      </c>
      <c r="E30" s="267">
        <v>27.959751000000001</v>
      </c>
      <c r="F30" s="86"/>
      <c r="G30" s="86"/>
      <c r="H30" s="86"/>
      <c r="I30" s="86"/>
      <c r="J30" s="86"/>
      <c r="K30" s="86"/>
      <c r="L30" s="110"/>
      <c r="M30" s="267">
        <v>75.810232558139504</v>
      </c>
      <c r="N30" s="267">
        <v>27.959751000000001</v>
      </c>
      <c r="O30" s="86"/>
      <c r="P30" s="86"/>
      <c r="Q30" s="86"/>
      <c r="R30" s="86"/>
      <c r="S30" s="86"/>
      <c r="T30" s="86"/>
      <c r="U30" s="85" t="e">
        <f t="shared" si="0"/>
        <v>#DIV/0!</v>
      </c>
      <c r="V30" s="87" t="e">
        <f t="shared" si="0"/>
        <v>#DIV/0!</v>
      </c>
      <c r="W30" s="118"/>
      <c r="X30" s="89"/>
      <c r="Y30" s="90"/>
      <c r="Z30" s="90"/>
      <c r="AA30" s="90"/>
      <c r="AB30" s="90"/>
      <c r="AC30" s="90"/>
      <c r="AD30" s="90"/>
      <c r="AE30" s="90"/>
      <c r="AF30" s="90"/>
      <c r="AG30" s="91"/>
      <c r="AH30" s="115"/>
      <c r="AO30" s="240" t="s">
        <v>44</v>
      </c>
      <c r="AP30" s="240" cm="1">
        <f t="array" ref="AP30">pareto($D28:$D33,$E28:$E33,3,"rate",$AR$1,$AO29,$AO31)</f>
        <v>75.810232558139504</v>
      </c>
      <c r="AQ30" s="240" cm="1">
        <f t="array" ref="AQ30">pareto($D28:$D33,$E28:$E33,3,"dist",$AR$1,$AO29,$AO31)</f>
        <v>27.959751000000001</v>
      </c>
      <c r="AR30" s="240" cm="1">
        <f t="array" ref="AR30">pareto($M28:$M33,$N28:$N33,3,"rate",$AR$1,$AO29,$AO31)</f>
        <v>75.810232558139504</v>
      </c>
      <c r="AS30" s="240" cm="1">
        <f t="array" ref="AS30">pareto($M28:$M33,$N28:$N33,3,"dist",$AR$1,$AO29,$AO31)</f>
        <v>27.959751000000001</v>
      </c>
      <c r="AT30" s="240"/>
      <c r="AU30" s="240"/>
    </row>
    <row r="31" spans="1:47" ht="12" customHeight="1" x14ac:dyDescent="0.25">
      <c r="A31" s="74"/>
      <c r="B31" s="133"/>
      <c r="C31" s="107" t="s">
        <v>253</v>
      </c>
      <c r="D31" s="267">
        <v>56.580465116279001</v>
      </c>
      <c r="E31" s="267">
        <v>21.984171</v>
      </c>
      <c r="F31" s="86"/>
      <c r="G31" s="86"/>
      <c r="H31" s="86"/>
      <c r="I31" s="86"/>
      <c r="J31" s="86"/>
      <c r="K31" s="86"/>
      <c r="L31" s="110"/>
      <c r="M31" s="267">
        <v>56.580465116279001</v>
      </c>
      <c r="N31" s="267">
        <v>21.984171</v>
      </c>
      <c r="O31" s="86"/>
      <c r="P31" s="86"/>
      <c r="Q31" s="86"/>
      <c r="R31" s="86"/>
      <c r="S31" s="86"/>
      <c r="T31" s="86"/>
      <c r="U31" s="85" t="e">
        <f t="shared" si="0"/>
        <v>#DIV/0!</v>
      </c>
      <c r="V31" s="87" t="e">
        <f t="shared" si="0"/>
        <v>#DIV/0!</v>
      </c>
      <c r="W31" s="118"/>
      <c r="X31" s="89"/>
      <c r="Y31" s="90"/>
      <c r="Z31" s="90"/>
      <c r="AA31" s="90"/>
      <c r="AB31" s="90"/>
      <c r="AC31" s="90"/>
      <c r="AD31" s="90"/>
      <c r="AE31" s="90"/>
      <c r="AF31" s="90"/>
      <c r="AG31" s="91"/>
      <c r="AH31" s="115"/>
      <c r="AO31" s="240">
        <v>20</v>
      </c>
      <c r="AP31" s="240" cm="1">
        <f t="array" ref="AP31">pareto($D28:$D33,$E28:$E33,4,"rate",$AR$1,$AO29,$AO31)</f>
        <v>56.580465116279001</v>
      </c>
      <c r="AQ31" s="240" cm="1">
        <f t="array" ref="AQ31">pareto($D28:$D33,$E28:$E33,4,"dist",$AR$1,$AO29,$AO31)</f>
        <v>21.984171</v>
      </c>
      <c r="AR31" s="240" cm="1">
        <f t="array" ref="AR31">pareto($M28:$M33,$N28:$N33,4,"rate",$AR$1,$AO29,$AO31)</f>
        <v>56.580465116279001</v>
      </c>
      <c r="AS31" s="240" cm="1">
        <f t="array" ref="AS31">pareto($M28:$M33,$N28:$N33,4,"dist",$AR$1,$AO29,$AO31)</f>
        <v>21.984171</v>
      </c>
      <c r="AT31" s="240"/>
      <c r="AU31" s="240"/>
    </row>
    <row r="32" spans="1:47" ht="12" customHeight="1" x14ac:dyDescent="0.25">
      <c r="A32" s="74"/>
      <c r="B32" s="133"/>
      <c r="C32" s="107" t="s">
        <v>254</v>
      </c>
      <c r="D32" s="267">
        <v>34.760930232558103</v>
      </c>
      <c r="E32" s="267">
        <v>15.801214999999999</v>
      </c>
      <c r="F32" s="86"/>
      <c r="G32" s="86"/>
      <c r="H32" s="86"/>
      <c r="I32" s="86"/>
      <c r="J32" s="86"/>
      <c r="K32" s="86"/>
      <c r="L32" s="110"/>
      <c r="M32" s="267">
        <v>34.760930232558103</v>
      </c>
      <c r="N32" s="267">
        <v>15.801214999999999</v>
      </c>
      <c r="O32" s="86"/>
      <c r="P32" s="86"/>
      <c r="Q32" s="86"/>
      <c r="R32" s="86"/>
      <c r="S32" s="86"/>
      <c r="T32" s="86"/>
      <c r="U32" s="85" t="e">
        <f t="shared" si="0"/>
        <v>#DIV/0!</v>
      </c>
      <c r="V32" s="87" t="e">
        <f t="shared" si="0"/>
        <v>#DIV/0!</v>
      </c>
      <c r="W32" s="118"/>
      <c r="X32" s="89"/>
      <c r="Y32" s="90"/>
      <c r="Z32" s="90"/>
      <c r="AA32" s="90"/>
      <c r="AB32" s="90"/>
      <c r="AC32" s="90"/>
      <c r="AD32" s="90"/>
      <c r="AE32" s="90"/>
      <c r="AF32" s="90"/>
      <c r="AG32" s="91"/>
      <c r="AH32" s="115"/>
      <c r="AO32" s="240"/>
      <c r="AP32" s="240" cm="1">
        <f t="array" ref="AP32">pareto($D28:$D33,$E28:$E33,5,"rate",$AR$1,$AO29,$AO31)</f>
        <v>34.760930232558103</v>
      </c>
      <c r="AQ32" s="240" cm="1">
        <f t="array" ref="AQ32">pareto($D28:$D33,$E28:$E33,5,"dist",$AR$1,$AO29,$AO31)</f>
        <v>15.801214999999999</v>
      </c>
      <c r="AR32" s="240" cm="1">
        <f t="array" ref="AR32">pareto($M28:$M33,$N28:$N33,5,"rate",$AR$1,$AO29,$AO31)</f>
        <v>34.760930232558103</v>
      </c>
      <c r="AS32" s="240" cm="1">
        <f t="array" ref="AS32">pareto($M28:$M33,$N28:$N33,5,"dist",$AR$1,$AO29,$AO31)</f>
        <v>15.801214999999999</v>
      </c>
      <c r="AT32" s="240"/>
      <c r="AU32" s="240"/>
    </row>
    <row r="33" spans="1:47" ht="12" customHeight="1" thickBot="1" x14ac:dyDescent="0.3">
      <c r="A33" s="92"/>
      <c r="B33" s="134"/>
      <c r="C33" s="108" t="s">
        <v>255</v>
      </c>
      <c r="D33" s="267">
        <v>20.565581395348801</v>
      </c>
      <c r="E33" s="267">
        <v>8.7546210000000002</v>
      </c>
      <c r="F33" s="94"/>
      <c r="G33" s="94"/>
      <c r="H33" s="94"/>
      <c r="I33" s="94"/>
      <c r="J33" s="94"/>
      <c r="K33" s="94"/>
      <c r="L33" s="111"/>
      <c r="M33" s="267">
        <v>20.565581395348801</v>
      </c>
      <c r="N33" s="267">
        <v>8.7546210000000002</v>
      </c>
      <c r="O33" s="94"/>
      <c r="P33" s="94"/>
      <c r="Q33" s="94"/>
      <c r="R33" s="94"/>
      <c r="S33" s="94"/>
      <c r="T33" s="94"/>
      <c r="U33" s="85" t="e">
        <f t="shared" si="0"/>
        <v>#DIV/0!</v>
      </c>
      <c r="V33" s="87" t="e">
        <f t="shared" si="0"/>
        <v>#DIV/0!</v>
      </c>
      <c r="W33" s="118"/>
      <c r="X33" s="95"/>
      <c r="Y33" s="96"/>
      <c r="Z33" s="96"/>
      <c r="AA33" s="96"/>
      <c r="AB33" s="96"/>
      <c r="AC33" s="96"/>
      <c r="AD33" s="96"/>
      <c r="AE33" s="96"/>
      <c r="AF33" s="96"/>
      <c r="AG33" s="97"/>
      <c r="AH33" s="116"/>
      <c r="AO33" s="240"/>
      <c r="AP33" s="240" cm="1">
        <f t="array" ref="AP33">pareto($D28:$D33,$E28:$E33,6,"rate",$AR$1,$AO29,$AO31)</f>
        <v>20.565581395348801</v>
      </c>
      <c r="AQ33" s="240" cm="1">
        <f t="array" ref="AQ33">pareto($D28:$D33,$E28:$E33,6,"dist",$AR$1,$AO29,$AO31)</f>
        <v>8.7546210000000002</v>
      </c>
      <c r="AR33" s="240" cm="1">
        <f t="array" ref="AR33">pareto($M28:$M33,$N28:$N33,6,"rate",$AR$1,$AO29,$AO31)</f>
        <v>20.565581395348801</v>
      </c>
      <c r="AS33" s="240" cm="1">
        <f t="array" ref="AS33">pareto($M28:$M33,$N28:$N33,6,"dist",$AR$1,$AO29,$AO31)</f>
        <v>8.7546210000000002</v>
      </c>
      <c r="AT33" s="240"/>
      <c r="AU33" s="240"/>
    </row>
    <row r="34" spans="1:47" ht="12" customHeight="1" x14ac:dyDescent="0.25">
      <c r="A34" s="81" t="s">
        <v>65</v>
      </c>
      <c r="B34" s="132" t="s">
        <v>66</v>
      </c>
      <c r="C34" s="106" t="s">
        <v>250</v>
      </c>
      <c r="D34" s="267">
        <v>544.15670103092702</v>
      </c>
      <c r="E34" s="267">
        <v>18.696553000000002</v>
      </c>
      <c r="F34" s="83"/>
      <c r="G34" s="83"/>
      <c r="H34" s="83"/>
      <c r="I34" s="83"/>
      <c r="J34" s="83"/>
      <c r="K34" s="83"/>
      <c r="L34" s="110"/>
      <c r="M34" s="267">
        <v>544.15670103092702</v>
      </c>
      <c r="N34" s="267">
        <v>18.696553000000002</v>
      </c>
      <c r="O34" s="83"/>
      <c r="P34" s="83"/>
      <c r="Q34" s="83"/>
      <c r="R34" s="83"/>
      <c r="S34" s="83"/>
      <c r="T34" s="83"/>
      <c r="U34" s="82" t="e">
        <f t="shared" si="0"/>
        <v>#DIV/0!</v>
      </c>
      <c r="V34" s="84" t="e">
        <f t="shared" si="0"/>
        <v>#DIV/0!</v>
      </c>
      <c r="W34" s="117"/>
      <c r="X34" s="122">
        <f>bdRateExtend($D34:$D39,$E34:$E39,$M34:$M39,$N34:$N39)</f>
        <v>0</v>
      </c>
      <c r="Y34" s="14">
        <f t="shared" ref="Y34" si="21">bdRateExtend($D34:$D38,$E34:$E38,$M34:$M38,$N34:$N38)</f>
        <v>0</v>
      </c>
      <c r="Z34" s="14">
        <f t="shared" ref="Z34" si="22">bdRateExtend($D35:$D39,$E35:$E39,$M35:$M39,$N35:$N39)</f>
        <v>0</v>
      </c>
      <c r="AA34" s="14">
        <f t="shared" ref="AA34" si="23">bdRateExtend($D34:$D37,$E34:$E37,$M34:$M37,$N34:$N37)</f>
        <v>0</v>
      </c>
      <c r="AB34" s="14">
        <f t="shared" ref="AB34" si="24">bdRateExtend($D35:$D38,$E35:$E38,$M35:$M38,$N35:$N38)</f>
        <v>0</v>
      </c>
      <c r="AC34" s="14">
        <f t="shared" ref="AC34" si="25">bdRateExtend($D36:$D39,$E36:$E39,$M36:$M39,$N36:$N39)</f>
        <v>0</v>
      </c>
      <c r="AD34" s="34" cm="1">
        <f t="array" ref="AD34">bdRatePareto(AP34:AP39,AQ34:AQ39,AR34:AR39,AS34:AS39)</f>
        <v>0</v>
      </c>
      <c r="AE34" s="14" t="e">
        <f>bdRateExtend($D34:$D39,F34:F39,$M34:$M39,O34:O39)</f>
        <v>#VALUE!</v>
      </c>
      <c r="AF34" s="14" t="e">
        <f>bdRateExtend($D34:$D39,G34:G39,$M34:$M39,P34:P39)</f>
        <v>#VALUE!</v>
      </c>
      <c r="AG34" s="15" t="e">
        <f>bdRateExtend($D34:$D39,H34:H39,$M34:$M39,Q34:Q39)</f>
        <v>#VALUE!</v>
      </c>
      <c r="AH34" s="72">
        <f>bdPSNRExtend($D34:$D39,$E34:$E39,$M34:$M39,$N34:$N39)</f>
        <v>0</v>
      </c>
      <c r="AO34" s="240" t="s">
        <v>213</v>
      </c>
      <c r="AP34" s="240" cm="1">
        <f t="array" ref="AP34">pareto($D34:$D39,$E34:$E39,1,"rate",$AR$1,$AO35,$AO37)</f>
        <v>544.15670103092702</v>
      </c>
      <c r="AQ34" s="240" cm="1">
        <f t="array" ref="AQ34">pareto($D34:$D39,$E34:$E39,1,"dist",$AR$1,$AO35,$AO37)</f>
        <v>18.696553000000002</v>
      </c>
      <c r="AR34" s="240" cm="1">
        <f t="array" ref="AR34">pareto($M34:$M39,$N34:$N39,1,"rate",$AR$1,$AO35,$AO37)</f>
        <v>544.15670103092702</v>
      </c>
      <c r="AS34" s="240" cm="1">
        <f t="array" ref="AS34">pareto($M34:$M39,$N34:$N39,1,"dist",$AR$1,$AO35,$AO37)</f>
        <v>18.696553000000002</v>
      </c>
      <c r="AT34" s="240"/>
      <c r="AU34" s="240"/>
    </row>
    <row r="35" spans="1:47" ht="12" customHeight="1" x14ac:dyDescent="0.25">
      <c r="A35" s="136"/>
      <c r="B35" s="133"/>
      <c r="C35" s="107" t="s">
        <v>251</v>
      </c>
      <c r="D35" s="267">
        <v>316.74226804123703</v>
      </c>
      <c r="E35" s="267">
        <v>14.872254</v>
      </c>
      <c r="F35" s="86"/>
      <c r="G35" s="86"/>
      <c r="H35" s="86"/>
      <c r="I35" s="86"/>
      <c r="J35" s="86"/>
      <c r="K35" s="86"/>
      <c r="L35" s="110"/>
      <c r="M35" s="267">
        <v>316.74226804123703</v>
      </c>
      <c r="N35" s="267">
        <v>14.872254</v>
      </c>
      <c r="O35" s="86"/>
      <c r="P35" s="86"/>
      <c r="Q35" s="86"/>
      <c r="R35" s="86"/>
      <c r="S35" s="86"/>
      <c r="T35" s="86"/>
      <c r="U35" s="85" t="e">
        <f t="shared" si="0"/>
        <v>#DIV/0!</v>
      </c>
      <c r="V35" s="87" t="e">
        <f t="shared" si="0"/>
        <v>#DIV/0!</v>
      </c>
      <c r="W35" s="118"/>
      <c r="X35" s="98"/>
      <c r="Y35" s="99"/>
      <c r="Z35" s="99"/>
      <c r="AA35" s="99"/>
      <c r="AB35" s="99"/>
      <c r="AC35" s="99"/>
      <c r="AD35" s="99"/>
      <c r="AE35" s="99"/>
      <c r="AF35" s="99"/>
      <c r="AG35" s="100"/>
      <c r="AH35" s="110"/>
      <c r="AO35" s="240">
        <v>27.288250999999999</v>
      </c>
      <c r="AP35" s="240" cm="1">
        <f t="array" ref="AP35">pareto($D34:$D39,$E34:$E39,2,"rate",$AR$1,$AO35,$AO37)</f>
        <v>316.74226804123703</v>
      </c>
      <c r="AQ35" s="240" cm="1">
        <f t="array" ref="AQ35">pareto($D34:$D39,$E34:$E39,2,"dist",$AR$1,$AO35,$AO37)</f>
        <v>14.872254</v>
      </c>
      <c r="AR35" s="240" cm="1">
        <f t="array" ref="AR35">pareto($M34:$M39,$N34:$N39,2,"rate",$AR$1,$AO35,$AO37)</f>
        <v>316.74226804123703</v>
      </c>
      <c r="AS35" s="240" cm="1">
        <f t="array" ref="AS35">pareto($M34:$M39,$N34:$N39,2,"dist",$AR$1,$AO35,$AO37)</f>
        <v>14.872254</v>
      </c>
      <c r="AT35" s="240"/>
      <c r="AU35" s="240"/>
    </row>
    <row r="36" spans="1:47" ht="12" customHeight="1" x14ac:dyDescent="0.25">
      <c r="A36" s="74"/>
      <c r="B36" s="133"/>
      <c r="C36" s="107" t="s">
        <v>252</v>
      </c>
      <c r="D36" s="267">
        <v>195.57113402061799</v>
      </c>
      <c r="E36" s="267">
        <v>12.721797</v>
      </c>
      <c r="F36" s="86"/>
      <c r="G36" s="86"/>
      <c r="H36" s="86"/>
      <c r="I36" s="86"/>
      <c r="J36" s="86"/>
      <c r="K36" s="86"/>
      <c r="L36" s="110"/>
      <c r="M36" s="267">
        <v>195.57113402061799</v>
      </c>
      <c r="N36" s="267">
        <v>12.721797</v>
      </c>
      <c r="O36" s="86"/>
      <c r="P36" s="86"/>
      <c r="Q36" s="86"/>
      <c r="R36" s="86"/>
      <c r="S36" s="86"/>
      <c r="T36" s="86"/>
      <c r="U36" s="85" t="e">
        <f t="shared" si="0"/>
        <v>#DIV/0!</v>
      </c>
      <c r="V36" s="87" t="e">
        <f t="shared" si="0"/>
        <v>#DIV/0!</v>
      </c>
      <c r="W36" s="118"/>
      <c r="X36" s="98"/>
      <c r="Y36" s="99"/>
      <c r="Z36" s="99"/>
      <c r="AA36" s="99"/>
      <c r="AB36" s="99"/>
      <c r="AC36" s="99"/>
      <c r="AD36" s="99"/>
      <c r="AE36" s="99"/>
      <c r="AF36" s="99"/>
      <c r="AG36" s="100"/>
      <c r="AH36" s="110"/>
      <c r="AO36" s="240" t="s">
        <v>44</v>
      </c>
      <c r="AP36" s="240" cm="1">
        <f t="array" ref="AP36">pareto($D34:$D39,$E34:$E39,3,"rate",$AR$1,$AO35,$AO37)</f>
        <v>195.57113402061799</v>
      </c>
      <c r="AQ36" s="240" cm="1">
        <f t="array" ref="AQ36">pareto($D34:$D39,$E34:$E39,3,"dist",$AR$1,$AO35,$AO37)</f>
        <v>12.721797</v>
      </c>
      <c r="AR36" s="240" cm="1">
        <f t="array" ref="AR36">pareto($M34:$M39,$N34:$N39,3,"rate",$AR$1,$AO35,$AO37)</f>
        <v>195.57113402061799</v>
      </c>
      <c r="AS36" s="240" cm="1">
        <f t="array" ref="AS36">pareto($M34:$M39,$N34:$N39,3,"dist",$AR$1,$AO35,$AO37)</f>
        <v>12.721797</v>
      </c>
      <c r="AT36" s="240"/>
      <c r="AU36" s="240"/>
    </row>
    <row r="37" spans="1:47" ht="12" customHeight="1" x14ac:dyDescent="0.25">
      <c r="A37" s="74"/>
      <c r="B37" s="133"/>
      <c r="C37" s="107" t="s">
        <v>253</v>
      </c>
      <c r="D37" s="267">
        <v>119.513402061855</v>
      </c>
      <c r="E37" s="267">
        <v>10.350070000000001</v>
      </c>
      <c r="F37" s="86"/>
      <c r="G37" s="86"/>
      <c r="H37" s="86"/>
      <c r="I37" s="86"/>
      <c r="J37" s="86"/>
      <c r="K37" s="86"/>
      <c r="L37" s="110"/>
      <c r="M37" s="267">
        <v>119.513402061855</v>
      </c>
      <c r="N37" s="267">
        <v>10.350070000000001</v>
      </c>
      <c r="O37" s="86"/>
      <c r="P37" s="86"/>
      <c r="Q37" s="86"/>
      <c r="R37" s="86"/>
      <c r="S37" s="86"/>
      <c r="T37" s="86"/>
      <c r="U37" s="85" t="e">
        <f t="shared" si="0"/>
        <v>#DIV/0!</v>
      </c>
      <c r="V37" s="87" t="e">
        <f t="shared" si="0"/>
        <v>#DIV/0!</v>
      </c>
      <c r="W37" s="118"/>
      <c r="X37" s="98"/>
      <c r="Y37" s="99"/>
      <c r="Z37" s="99"/>
      <c r="AA37" s="99"/>
      <c r="AB37" s="99"/>
      <c r="AC37" s="99"/>
      <c r="AD37" s="99"/>
      <c r="AE37" s="99"/>
      <c r="AF37" s="99"/>
      <c r="AG37" s="100"/>
      <c r="AH37" s="110"/>
      <c r="AO37" s="240">
        <v>20</v>
      </c>
      <c r="AP37" s="240" cm="1">
        <f t="array" ref="AP37">pareto($D34:$D39,$E34:$E39,4,"rate",$AR$1,$AO35,$AO37)</f>
        <v>119.513402061855</v>
      </c>
      <c r="AQ37" s="240" cm="1">
        <f t="array" ref="AQ37">pareto($D34:$D39,$E34:$E39,4,"dist",$AR$1,$AO35,$AO37)</f>
        <v>10.350070000000001</v>
      </c>
      <c r="AR37" s="240" cm="1">
        <f t="array" ref="AR37">pareto($M34:$M39,$N34:$N39,4,"rate",$AR$1,$AO35,$AO37)</f>
        <v>119.513402061855</v>
      </c>
      <c r="AS37" s="240" cm="1">
        <f t="array" ref="AS37">pareto($M34:$M39,$N34:$N39,4,"dist",$AR$1,$AO35,$AO37)</f>
        <v>10.350070000000001</v>
      </c>
      <c r="AT37" s="240"/>
      <c r="AU37" s="240"/>
    </row>
    <row r="38" spans="1:47" ht="12" customHeight="1" x14ac:dyDescent="0.25">
      <c r="A38" s="74"/>
      <c r="B38" s="133"/>
      <c r="C38" s="107" t="s">
        <v>254</v>
      </c>
      <c r="D38" s="267">
        <v>72.515463917525693</v>
      </c>
      <c r="E38" s="267">
        <v>6.5982329999999996</v>
      </c>
      <c r="F38" s="86"/>
      <c r="G38" s="86"/>
      <c r="H38" s="86"/>
      <c r="I38" s="86"/>
      <c r="J38" s="86"/>
      <c r="K38" s="86"/>
      <c r="L38" s="110"/>
      <c r="M38" s="267">
        <v>72.515463917525693</v>
      </c>
      <c r="N38" s="267">
        <v>6.5982329999999996</v>
      </c>
      <c r="O38" s="86"/>
      <c r="P38" s="86"/>
      <c r="Q38" s="86"/>
      <c r="R38" s="86"/>
      <c r="S38" s="86"/>
      <c r="T38" s="86"/>
      <c r="U38" s="85" t="e">
        <f t="shared" si="0"/>
        <v>#DIV/0!</v>
      </c>
      <c r="V38" s="87" t="e">
        <f t="shared" si="0"/>
        <v>#DIV/0!</v>
      </c>
      <c r="W38" s="118"/>
      <c r="X38" s="98"/>
      <c r="Y38" s="99"/>
      <c r="Z38" s="99"/>
      <c r="AA38" s="99"/>
      <c r="AB38" s="99"/>
      <c r="AC38" s="99"/>
      <c r="AD38" s="99"/>
      <c r="AE38" s="99"/>
      <c r="AF38" s="99"/>
      <c r="AG38" s="100"/>
      <c r="AH38" s="110"/>
      <c r="AO38" s="240"/>
      <c r="AP38" s="240" cm="1">
        <f t="array" ref="AP38">pareto($D34:$D39,$E34:$E39,5,"rate",$AR$1,$AO35,$AO37)</f>
        <v>72.515463917525693</v>
      </c>
      <c r="AQ38" s="240" cm="1">
        <f t="array" ref="AQ38">pareto($D34:$D39,$E34:$E39,5,"dist",$AR$1,$AO35,$AO37)</f>
        <v>6.5982329999999996</v>
      </c>
      <c r="AR38" s="240" cm="1">
        <f t="array" ref="AR38">pareto($M34:$M39,$N34:$N39,5,"rate",$AR$1,$AO35,$AO37)</f>
        <v>72.515463917525693</v>
      </c>
      <c r="AS38" s="240" cm="1">
        <f t="array" ref="AS38">pareto($M34:$M39,$N34:$N39,5,"dist",$AR$1,$AO35,$AO37)</f>
        <v>6.5982329999999996</v>
      </c>
      <c r="AT38" s="240"/>
      <c r="AU38" s="240"/>
    </row>
    <row r="39" spans="1:47" ht="12" customHeight="1" thickBot="1" x14ac:dyDescent="0.3">
      <c r="A39" s="74"/>
      <c r="B39" s="134"/>
      <c r="C39" s="108" t="s">
        <v>255</v>
      </c>
      <c r="D39" s="267">
        <v>40.494845360824698</v>
      </c>
      <c r="E39" s="267">
        <v>2.7111299999999998</v>
      </c>
      <c r="F39" s="94"/>
      <c r="G39" s="94"/>
      <c r="H39" s="94"/>
      <c r="I39" s="94"/>
      <c r="J39" s="94"/>
      <c r="K39" s="94"/>
      <c r="L39" s="110"/>
      <c r="M39" s="267">
        <v>40.494845360824698</v>
      </c>
      <c r="N39" s="267">
        <v>2.7111299999999998</v>
      </c>
      <c r="O39" s="94"/>
      <c r="P39" s="94"/>
      <c r="Q39" s="94"/>
      <c r="R39" s="94"/>
      <c r="S39" s="94"/>
      <c r="T39" s="94"/>
      <c r="U39" s="85" t="e">
        <f t="shared" si="0"/>
        <v>#DIV/0!</v>
      </c>
      <c r="V39" s="87" t="e">
        <f t="shared" si="0"/>
        <v>#DIV/0!</v>
      </c>
      <c r="W39" s="118"/>
      <c r="X39" s="101"/>
      <c r="Y39" s="102"/>
      <c r="Z39" s="102"/>
      <c r="AA39" s="102"/>
      <c r="AB39" s="102"/>
      <c r="AC39" s="102"/>
      <c r="AD39" s="102"/>
      <c r="AE39" s="102"/>
      <c r="AF39" s="102"/>
      <c r="AG39" s="103"/>
      <c r="AH39" s="111"/>
      <c r="AO39" s="240"/>
      <c r="AP39" s="240" cm="1">
        <f t="array" ref="AP39">pareto($D34:$D39,$E34:$E39,6,"rate",$AR$1,$AO35,$AO37)</f>
        <v>40.494845360824698</v>
      </c>
      <c r="AQ39" s="240" cm="1">
        <f t="array" ref="AQ39">pareto($D34:$D39,$E34:$E39,6,"dist",$AR$1,$AO35,$AO37)</f>
        <v>2.7111299999999998</v>
      </c>
      <c r="AR39" s="240" cm="1">
        <f t="array" ref="AR39">pareto($M34:$M39,$N34:$N39,6,"rate",$AR$1,$AO35,$AO37)</f>
        <v>40.494845360824698</v>
      </c>
      <c r="AS39" s="240" cm="1">
        <f t="array" ref="AS39">pareto($M34:$M39,$N34:$N39,6,"dist",$AR$1,$AO35,$AO37)</f>
        <v>2.7111299999999998</v>
      </c>
      <c r="AT39" s="240"/>
      <c r="AU39" s="240"/>
    </row>
    <row r="40" spans="1:47" ht="12" customHeight="1" x14ac:dyDescent="0.25">
      <c r="A40" s="74"/>
      <c r="B40" s="132" t="s">
        <v>67</v>
      </c>
      <c r="C40" s="106" t="s">
        <v>250</v>
      </c>
      <c r="D40" s="267">
        <v>872.76279069767395</v>
      </c>
      <c r="E40" s="267">
        <v>42.490814999999998</v>
      </c>
      <c r="F40" s="83"/>
      <c r="G40" s="83"/>
      <c r="H40" s="83"/>
      <c r="I40" s="83"/>
      <c r="J40" s="83"/>
      <c r="K40" s="83"/>
      <c r="L40" s="110"/>
      <c r="M40" s="267">
        <v>872.76279069767395</v>
      </c>
      <c r="N40" s="267">
        <v>42.490814999999998</v>
      </c>
      <c r="O40" s="83"/>
      <c r="P40" s="83"/>
      <c r="Q40" s="83"/>
      <c r="R40" s="83"/>
      <c r="S40" s="83"/>
      <c r="T40" s="83"/>
      <c r="U40" s="85" t="e">
        <f t="shared" si="0"/>
        <v>#DIV/0!</v>
      </c>
      <c r="V40" s="87" t="e">
        <f t="shared" si="0"/>
        <v>#DIV/0!</v>
      </c>
      <c r="W40" s="118"/>
      <c r="X40" s="122">
        <f>bdRateExtend($D40:$D45,$E40:$E45,$M40:$M45,$N40:$N45)</f>
        <v>0</v>
      </c>
      <c r="Y40" s="14">
        <f t="shared" ref="Y40" si="26">bdRateExtend($D40:$D44,$E40:$E44,$M40:$M44,$N40:$N44)</f>
        <v>0</v>
      </c>
      <c r="Z40" s="14">
        <f t="shared" ref="Z40" si="27">bdRateExtend($D41:$D45,$E41:$E45,$M41:$M45,$N41:$N45)</f>
        <v>0</v>
      </c>
      <c r="AA40" s="14">
        <f t="shared" ref="AA40" si="28">bdRateExtend($D40:$D43,$E40:$E43,$M40:$M43,$N40:$N43)</f>
        <v>0</v>
      </c>
      <c r="AB40" s="14">
        <f t="shared" ref="AB40" si="29">bdRateExtend($D41:$D44,$E41:$E44,$M41:$M44,$N41:$N44)</f>
        <v>0</v>
      </c>
      <c r="AC40" s="14">
        <f t="shared" ref="AC40" si="30">bdRateExtend($D42:$D45,$E42:$E45,$M42:$M45,$N42:$N45)</f>
        <v>0</v>
      </c>
      <c r="AD40" s="34" cm="1">
        <f t="array" ref="AD40">bdRatePareto(AP40:AP45,AQ40:AQ45,AR40:AR45,AS40:AS45)</f>
        <v>0</v>
      </c>
      <c r="AE40" s="14" t="e">
        <f>bdRateExtend($D40:$D45,F40:F45,$M40:$M45,O40:O45)</f>
        <v>#VALUE!</v>
      </c>
      <c r="AF40" s="14" t="e">
        <f>bdRateExtend($D40:$D45,G40:G45,$M40:$M45,P40:P45)</f>
        <v>#VALUE!</v>
      </c>
      <c r="AG40" s="15" t="e">
        <f>bdRateExtend($D40:$D45,H40:H45,$M40:$M45,Q40:Q45)</f>
        <v>#VALUE!</v>
      </c>
      <c r="AH40" s="72">
        <f>bdPSNRExtend($D40:$D45,$E40:$E45,$M40:$M45,$N40:$N45)</f>
        <v>0</v>
      </c>
      <c r="AO40" s="240" t="s">
        <v>213</v>
      </c>
      <c r="AP40" s="240" cm="1">
        <f t="array" ref="AP40">pareto($D40:$D45,$E40:$E45,1,"rate",$AR$1,$AO41,$AO43)</f>
        <v>872.76279069767395</v>
      </c>
      <c r="AQ40" s="240" cm="1">
        <f t="array" ref="AQ40">pareto($D40:$D45,$E40:$E45,1,"dist",$AR$1,$AO41,$AO43)</f>
        <v>42.490814999999998</v>
      </c>
      <c r="AR40" s="240" cm="1">
        <f t="array" ref="AR40">pareto($M40:$M45,$N40:$N45,1,"rate",$AR$1,$AO41,$AO43)</f>
        <v>872.76279069767395</v>
      </c>
      <c r="AS40" s="240" cm="1">
        <f t="array" ref="AS40">pareto($M40:$M45,$N40:$N45,1,"dist",$AR$1,$AO41,$AO43)</f>
        <v>42.490814999999998</v>
      </c>
      <c r="AT40" s="240"/>
      <c r="AU40" s="240"/>
    </row>
    <row r="41" spans="1:47" ht="12" customHeight="1" x14ac:dyDescent="0.25">
      <c r="A41" s="74"/>
      <c r="B41" s="133"/>
      <c r="C41" s="107" t="s">
        <v>251</v>
      </c>
      <c r="D41" s="267">
        <v>445.01581395348802</v>
      </c>
      <c r="E41" s="267">
        <v>39.562285000000003</v>
      </c>
      <c r="F41" s="86"/>
      <c r="G41" s="86"/>
      <c r="H41" s="86"/>
      <c r="I41" s="86"/>
      <c r="J41" s="86"/>
      <c r="K41" s="86"/>
      <c r="L41" s="110"/>
      <c r="M41" s="267">
        <v>445.01581395348802</v>
      </c>
      <c r="N41" s="267">
        <v>39.562285000000003</v>
      </c>
      <c r="O41" s="86"/>
      <c r="P41" s="86"/>
      <c r="Q41" s="86"/>
      <c r="R41" s="86"/>
      <c r="S41" s="86"/>
      <c r="T41" s="86"/>
      <c r="U41" s="85" t="e">
        <f t="shared" si="0"/>
        <v>#DIV/0!</v>
      </c>
      <c r="V41" s="87" t="e">
        <f t="shared" si="0"/>
        <v>#DIV/0!</v>
      </c>
      <c r="W41" s="118"/>
      <c r="X41" s="98"/>
      <c r="Y41" s="99"/>
      <c r="Z41" s="99"/>
      <c r="AA41" s="99"/>
      <c r="AB41" s="99"/>
      <c r="AC41" s="99"/>
      <c r="AD41" s="99"/>
      <c r="AE41" s="99"/>
      <c r="AF41" s="99"/>
      <c r="AG41" s="100"/>
      <c r="AH41" s="110"/>
      <c r="AO41" s="240">
        <v>45.630575</v>
      </c>
      <c r="AP41" s="240" cm="1">
        <f t="array" ref="AP41">pareto($D40:$D45,$E40:$E45,2,"rate",$AR$1,$AO41,$AO43)</f>
        <v>445.01581395348802</v>
      </c>
      <c r="AQ41" s="240" cm="1">
        <f t="array" ref="AQ41">pareto($D40:$D45,$E40:$E45,2,"dist",$AR$1,$AO41,$AO43)</f>
        <v>39.562285000000003</v>
      </c>
      <c r="AR41" s="240" cm="1">
        <f t="array" ref="AR41">pareto($M40:$M45,$N40:$N45,2,"rate",$AR$1,$AO41,$AO43)</f>
        <v>445.01581395348802</v>
      </c>
      <c r="AS41" s="240" cm="1">
        <f t="array" ref="AS41">pareto($M40:$M45,$N40:$N45,2,"dist",$AR$1,$AO41,$AO43)</f>
        <v>39.562285000000003</v>
      </c>
      <c r="AT41" s="240"/>
      <c r="AU41" s="240"/>
    </row>
    <row r="42" spans="1:47" ht="12" customHeight="1" x14ac:dyDescent="0.25">
      <c r="A42" s="74"/>
      <c r="B42" s="133"/>
      <c r="C42" s="107" t="s">
        <v>252</v>
      </c>
      <c r="D42" s="267">
        <v>236.62883720930199</v>
      </c>
      <c r="E42" s="267">
        <v>36.241126000000001</v>
      </c>
      <c r="F42" s="86"/>
      <c r="G42" s="86"/>
      <c r="H42" s="86"/>
      <c r="I42" s="86"/>
      <c r="J42" s="86"/>
      <c r="K42" s="86"/>
      <c r="L42" s="110"/>
      <c r="M42" s="267">
        <v>236.62883720930199</v>
      </c>
      <c r="N42" s="267">
        <v>36.241126000000001</v>
      </c>
      <c r="O42" s="86"/>
      <c r="P42" s="86"/>
      <c r="Q42" s="86"/>
      <c r="R42" s="86"/>
      <c r="S42" s="86"/>
      <c r="T42" s="86"/>
      <c r="U42" s="85" t="e">
        <f t="shared" si="0"/>
        <v>#DIV/0!</v>
      </c>
      <c r="V42" s="87" t="e">
        <f t="shared" si="0"/>
        <v>#DIV/0!</v>
      </c>
      <c r="W42" s="118"/>
      <c r="X42" s="98"/>
      <c r="Y42" s="99"/>
      <c r="Z42" s="99"/>
      <c r="AA42" s="99"/>
      <c r="AB42" s="99"/>
      <c r="AC42" s="99"/>
      <c r="AD42" s="99"/>
      <c r="AE42" s="99"/>
      <c r="AF42" s="99"/>
      <c r="AG42" s="100"/>
      <c r="AH42" s="110"/>
      <c r="AO42" s="240" t="s">
        <v>44</v>
      </c>
      <c r="AP42" s="240" cm="1">
        <f t="array" ref="AP42">pareto($D40:$D45,$E40:$E45,3,"rate",$AR$1,$AO41,$AO43)</f>
        <v>236.62883720930199</v>
      </c>
      <c r="AQ42" s="240" cm="1">
        <f t="array" ref="AQ42">pareto($D40:$D45,$E40:$E45,3,"dist",$AR$1,$AO41,$AO43)</f>
        <v>36.241126000000001</v>
      </c>
      <c r="AR42" s="240" cm="1">
        <f t="array" ref="AR42">pareto($M40:$M45,$N40:$N45,3,"rate",$AR$1,$AO41,$AO43)</f>
        <v>236.62883720930199</v>
      </c>
      <c r="AS42" s="240" cm="1">
        <f t="array" ref="AS42">pareto($M40:$M45,$N40:$N45,3,"dist",$AR$1,$AO41,$AO43)</f>
        <v>36.241126000000001</v>
      </c>
      <c r="AT42" s="240"/>
      <c r="AU42" s="240"/>
    </row>
    <row r="43" spans="1:47" ht="12" customHeight="1" x14ac:dyDescent="0.25">
      <c r="A43" s="74"/>
      <c r="B43" s="133"/>
      <c r="C43" s="107" t="s">
        <v>253</v>
      </c>
      <c r="D43" s="267">
        <v>122.050232558139</v>
      </c>
      <c r="E43" s="267">
        <v>29.473942000000001</v>
      </c>
      <c r="F43" s="86"/>
      <c r="G43" s="86"/>
      <c r="H43" s="86"/>
      <c r="I43" s="86"/>
      <c r="J43" s="86"/>
      <c r="K43" s="86"/>
      <c r="L43" s="110"/>
      <c r="M43" s="267">
        <v>122.050232558139</v>
      </c>
      <c r="N43" s="267">
        <v>29.473942000000001</v>
      </c>
      <c r="O43" s="86"/>
      <c r="P43" s="86"/>
      <c r="Q43" s="86"/>
      <c r="R43" s="86"/>
      <c r="S43" s="86"/>
      <c r="T43" s="86"/>
      <c r="U43" s="85" t="e">
        <f t="shared" si="0"/>
        <v>#DIV/0!</v>
      </c>
      <c r="V43" s="87" t="e">
        <f t="shared" si="0"/>
        <v>#DIV/0!</v>
      </c>
      <c r="W43" s="118"/>
      <c r="X43" s="98"/>
      <c r="Y43" s="99"/>
      <c r="Z43" s="99"/>
      <c r="AA43" s="99"/>
      <c r="AB43" s="99"/>
      <c r="AC43" s="99"/>
      <c r="AD43" s="99"/>
      <c r="AE43" s="99"/>
      <c r="AF43" s="99"/>
      <c r="AG43" s="100"/>
      <c r="AH43" s="110"/>
      <c r="AO43" s="240">
        <v>20</v>
      </c>
      <c r="AP43" s="240" cm="1">
        <f t="array" ref="AP43">pareto($D40:$D45,$E40:$E45,4,"rate",$AR$1,$AO41,$AO43)</f>
        <v>122.050232558139</v>
      </c>
      <c r="AQ43" s="240" cm="1">
        <f t="array" ref="AQ43">pareto($D40:$D45,$E40:$E45,4,"dist",$AR$1,$AO41,$AO43)</f>
        <v>29.473942000000001</v>
      </c>
      <c r="AR43" s="240" cm="1">
        <f t="array" ref="AR43">pareto($M40:$M45,$N40:$N45,4,"rate",$AR$1,$AO41,$AO43)</f>
        <v>122.050232558139</v>
      </c>
      <c r="AS43" s="240" cm="1">
        <f t="array" ref="AS43">pareto($M40:$M45,$N40:$N45,4,"dist",$AR$1,$AO41,$AO43)</f>
        <v>29.473942000000001</v>
      </c>
      <c r="AT43" s="240"/>
      <c r="AU43" s="240"/>
    </row>
    <row r="44" spans="1:47" ht="12" customHeight="1" x14ac:dyDescent="0.25">
      <c r="A44" s="74"/>
      <c r="B44" s="133"/>
      <c r="C44" s="107" t="s">
        <v>254</v>
      </c>
      <c r="D44" s="267">
        <v>59.7246511627907</v>
      </c>
      <c r="E44" s="267">
        <v>23.297281000000002</v>
      </c>
      <c r="F44" s="86"/>
      <c r="G44" s="86"/>
      <c r="H44" s="86"/>
      <c r="I44" s="86"/>
      <c r="J44" s="86"/>
      <c r="K44" s="86"/>
      <c r="L44" s="110"/>
      <c r="M44" s="267">
        <v>59.7246511627907</v>
      </c>
      <c r="N44" s="267">
        <v>23.297281000000002</v>
      </c>
      <c r="O44" s="86"/>
      <c r="P44" s="86"/>
      <c r="Q44" s="86"/>
      <c r="R44" s="86"/>
      <c r="S44" s="86"/>
      <c r="T44" s="86"/>
      <c r="U44" s="85" t="e">
        <f t="shared" si="0"/>
        <v>#DIV/0!</v>
      </c>
      <c r="V44" s="87" t="e">
        <f t="shared" si="0"/>
        <v>#DIV/0!</v>
      </c>
      <c r="W44" s="118"/>
      <c r="X44" s="98"/>
      <c r="Y44" s="99"/>
      <c r="Z44" s="99"/>
      <c r="AA44" s="99"/>
      <c r="AB44" s="99"/>
      <c r="AC44" s="99"/>
      <c r="AD44" s="99"/>
      <c r="AE44" s="99"/>
      <c r="AF44" s="99"/>
      <c r="AG44" s="100"/>
      <c r="AH44" s="110"/>
      <c r="AO44" s="240"/>
      <c r="AP44" s="240" cm="1">
        <f t="array" ref="AP44">pareto($D40:$D45,$E40:$E45,5,"rate",$AR$1,$AO41,$AO43)</f>
        <v>59.7246511627907</v>
      </c>
      <c r="AQ44" s="240" cm="1">
        <f t="array" ref="AQ44">pareto($D40:$D45,$E40:$E45,5,"dist",$AR$1,$AO41,$AO43)</f>
        <v>23.297281000000002</v>
      </c>
      <c r="AR44" s="240" cm="1">
        <f t="array" ref="AR44">pareto($M40:$M45,$N40:$N45,5,"rate",$AR$1,$AO41,$AO43)</f>
        <v>59.7246511627907</v>
      </c>
      <c r="AS44" s="240" cm="1">
        <f t="array" ref="AS44">pareto($M40:$M45,$N40:$N45,5,"dist",$AR$1,$AO41,$AO43)</f>
        <v>23.297281000000002</v>
      </c>
      <c r="AT44" s="240"/>
      <c r="AU44" s="240"/>
    </row>
    <row r="45" spans="1:47" ht="12" customHeight="1" thickBot="1" x14ac:dyDescent="0.3">
      <c r="A45" s="74"/>
      <c r="B45" s="134"/>
      <c r="C45" s="108" t="s">
        <v>255</v>
      </c>
      <c r="D45" s="267">
        <v>28.881860465116201</v>
      </c>
      <c r="E45" s="267">
        <v>11.613250000000001</v>
      </c>
      <c r="F45" s="94"/>
      <c r="G45" s="94"/>
      <c r="H45" s="94"/>
      <c r="I45" s="94"/>
      <c r="J45" s="94"/>
      <c r="K45" s="94"/>
      <c r="L45" s="110"/>
      <c r="M45" s="267">
        <v>28.881860465116201</v>
      </c>
      <c r="N45" s="267">
        <v>11.613250000000001</v>
      </c>
      <c r="O45" s="94"/>
      <c r="P45" s="94"/>
      <c r="Q45" s="94"/>
      <c r="R45" s="94"/>
      <c r="S45" s="94"/>
      <c r="T45" s="94"/>
      <c r="U45" s="85" t="e">
        <f t="shared" si="0"/>
        <v>#DIV/0!</v>
      </c>
      <c r="V45" s="87" t="e">
        <f t="shared" si="0"/>
        <v>#DIV/0!</v>
      </c>
      <c r="W45" s="118"/>
      <c r="X45" s="101"/>
      <c r="Y45" s="102"/>
      <c r="Z45" s="102"/>
      <c r="AA45" s="102"/>
      <c r="AB45" s="102"/>
      <c r="AC45" s="102"/>
      <c r="AD45" s="102"/>
      <c r="AE45" s="102"/>
      <c r="AF45" s="102"/>
      <c r="AG45" s="103"/>
      <c r="AH45" s="111"/>
      <c r="AO45" s="240"/>
      <c r="AP45" s="240" cm="1">
        <f t="array" ref="AP45">pareto($D40:$D45,$E40:$E45,6,"rate",$AR$1,$AO41,$AO43)</f>
        <v>28.881860465116201</v>
      </c>
      <c r="AQ45" s="240" cm="1">
        <f t="array" ref="AQ45">pareto($D40:$D45,$E40:$E45,6,"dist",$AR$1,$AO41,$AO43)</f>
        <v>11.613250000000001</v>
      </c>
      <c r="AR45" s="240" cm="1">
        <f t="array" ref="AR45">pareto($M40:$M45,$N40:$N45,6,"rate",$AR$1,$AO41,$AO43)</f>
        <v>28.881860465116201</v>
      </c>
      <c r="AS45" s="240" cm="1">
        <f t="array" ref="AS45">pareto($M40:$M45,$N40:$N45,6,"dist",$AR$1,$AO41,$AO43)</f>
        <v>11.613250000000001</v>
      </c>
      <c r="AT45" s="240"/>
      <c r="AU45" s="240"/>
    </row>
    <row r="46" spans="1:47" ht="12" customHeight="1" x14ac:dyDescent="0.25">
      <c r="A46" s="74"/>
      <c r="B46" s="132" t="s">
        <v>68</v>
      </c>
      <c r="C46" s="106" t="s">
        <v>250</v>
      </c>
      <c r="D46" s="267">
        <v>420.185567010309</v>
      </c>
      <c r="E46" s="267">
        <v>62.535504000000003</v>
      </c>
      <c r="F46" s="83"/>
      <c r="G46" s="83"/>
      <c r="H46" s="83"/>
      <c r="I46" s="83"/>
      <c r="J46" s="83"/>
      <c r="K46" s="83"/>
      <c r="L46" s="110"/>
      <c r="M46" s="267">
        <v>420.185567010309</v>
      </c>
      <c r="N46" s="267">
        <v>62.535504000000003</v>
      </c>
      <c r="O46" s="83"/>
      <c r="P46" s="83"/>
      <c r="Q46" s="83"/>
      <c r="R46" s="83"/>
      <c r="S46" s="83"/>
      <c r="T46" s="83"/>
      <c r="U46" s="85" t="e">
        <f t="shared" si="0"/>
        <v>#DIV/0!</v>
      </c>
      <c r="V46" s="87" t="e">
        <f t="shared" si="0"/>
        <v>#DIV/0!</v>
      </c>
      <c r="W46" s="118"/>
      <c r="X46" s="122">
        <f>bdRateExtend($D46:$D51,$E46:$E51,$M46:$M51,$N46:$N51)</f>
        <v>0</v>
      </c>
      <c r="Y46" s="14">
        <f t="shared" ref="Y46" si="31">bdRateExtend($D46:$D50,$E46:$E50,$M46:$M50,$N46:$N50)</f>
        <v>0</v>
      </c>
      <c r="Z46" s="14">
        <f t="shared" ref="Z46" si="32">bdRateExtend($D47:$D51,$E47:$E51,$M47:$M51,$N47:$N51)</f>
        <v>0</v>
      </c>
      <c r="AA46" s="14">
        <f t="shared" ref="AA46" si="33">bdRateExtend($D46:$D49,$E46:$E49,$M46:$M49,$N46:$N49)</f>
        <v>0</v>
      </c>
      <c r="AB46" s="14">
        <f t="shared" ref="AB46" si="34">bdRateExtend($D47:$D50,$E47:$E50,$M47:$M50,$N47:$N50)</f>
        <v>0</v>
      </c>
      <c r="AC46" s="14">
        <f t="shared" ref="AC46" si="35">bdRateExtend($D48:$D51,$E48:$E51,$M48:$M51,$N48:$N51)</f>
        <v>0</v>
      </c>
      <c r="AD46" s="34" cm="1">
        <f t="array" ref="AD46">bdRatePareto(AP46:AP51,AQ46:AQ51,AR46:AR51,AS46:AS51)</f>
        <v>0</v>
      </c>
      <c r="AE46" s="14" t="e">
        <f>bdRateExtend($D46:$D51,F46:F51,$M46:$M51,O46:O51)</f>
        <v>#VALUE!</v>
      </c>
      <c r="AF46" s="14" t="e">
        <f>bdRateExtend($D46:$D51,G46:G51,$M46:$M51,P46:P51)</f>
        <v>#VALUE!</v>
      </c>
      <c r="AG46" s="15" t="e">
        <f>bdRateExtend($D46:$D51,H46:H51,$M46:$M51,Q46:Q51)</f>
        <v>#VALUE!</v>
      </c>
      <c r="AH46" s="72">
        <f>bdPSNRExtend($D46:$D51,$E46:$E51,$M46:$M51,$N46:$N51)</f>
        <v>0</v>
      </c>
      <c r="AO46" s="240" t="s">
        <v>213</v>
      </c>
      <c r="AP46" s="240" cm="1">
        <f t="array" ref="AP46">pareto($D46:$D51,$E46:$E51,1,"rate",$AR$1,$AO47,$AO49)</f>
        <v>420.185567010309</v>
      </c>
      <c r="AQ46" s="240" cm="1">
        <f t="array" ref="AQ46">pareto($D46:$D51,$E46:$E51,1,"dist",$AR$1,$AO47,$AO49)</f>
        <v>62.535504000000003</v>
      </c>
      <c r="AR46" s="240" cm="1">
        <f t="array" ref="AR46">pareto($M46:$M51,$N46:$N51,1,"rate",$AR$1,$AO47,$AO49)</f>
        <v>420.185567010309</v>
      </c>
      <c r="AS46" s="240" cm="1">
        <f t="array" ref="AS46">pareto($M46:$M51,$N46:$N51,1,"dist",$AR$1,$AO47,$AO49)</f>
        <v>62.535504000000003</v>
      </c>
      <c r="AT46" s="240"/>
      <c r="AU46" s="240"/>
    </row>
    <row r="47" spans="1:47" ht="12" customHeight="1" x14ac:dyDescent="0.25">
      <c r="A47" s="74"/>
      <c r="B47" s="133"/>
      <c r="C47" s="107" t="s">
        <v>251</v>
      </c>
      <c r="D47" s="267">
        <v>277.69072164948398</v>
      </c>
      <c r="E47" s="267">
        <v>55.330770000000001</v>
      </c>
      <c r="F47" s="86"/>
      <c r="G47" s="86"/>
      <c r="H47" s="86"/>
      <c r="I47" s="86"/>
      <c r="J47" s="86"/>
      <c r="K47" s="86"/>
      <c r="L47" s="110"/>
      <c r="M47" s="267">
        <v>277.69072164948398</v>
      </c>
      <c r="N47" s="267">
        <v>55.330770000000001</v>
      </c>
      <c r="O47" s="86"/>
      <c r="P47" s="86"/>
      <c r="Q47" s="86"/>
      <c r="R47" s="86"/>
      <c r="S47" s="86"/>
      <c r="T47" s="86"/>
      <c r="U47" s="85" t="e">
        <f t="shared" si="0"/>
        <v>#DIV/0!</v>
      </c>
      <c r="V47" s="87" t="e">
        <f t="shared" si="0"/>
        <v>#DIV/0!</v>
      </c>
      <c r="W47" s="118"/>
      <c r="X47" s="98"/>
      <c r="Y47" s="99"/>
      <c r="Z47" s="99"/>
      <c r="AA47" s="99"/>
      <c r="AB47" s="99"/>
      <c r="AC47" s="99"/>
      <c r="AD47" s="99"/>
      <c r="AE47" s="99"/>
      <c r="AF47" s="99"/>
      <c r="AG47" s="100"/>
      <c r="AH47" s="110"/>
      <c r="AO47" s="240">
        <v>70.180002000000002</v>
      </c>
      <c r="AP47" s="240" cm="1">
        <f t="array" ref="AP47">pareto($D46:$D51,$E46:$E51,2,"rate",$AR$1,$AO47,$AO49)</f>
        <v>277.69072164948398</v>
      </c>
      <c r="AQ47" s="240" cm="1">
        <f t="array" ref="AQ47">pareto($D46:$D51,$E46:$E51,2,"dist",$AR$1,$AO47,$AO49)</f>
        <v>55.330770000000001</v>
      </c>
      <c r="AR47" s="240" cm="1">
        <f t="array" ref="AR47">pareto($M46:$M51,$N46:$N51,2,"rate",$AR$1,$AO47,$AO49)</f>
        <v>277.69072164948398</v>
      </c>
      <c r="AS47" s="240" cm="1">
        <f t="array" ref="AS47">pareto($M46:$M51,$N46:$N51,2,"dist",$AR$1,$AO47,$AO49)</f>
        <v>55.330770000000001</v>
      </c>
      <c r="AT47" s="240"/>
      <c r="AU47" s="240"/>
    </row>
    <row r="48" spans="1:47" ht="12" customHeight="1" x14ac:dyDescent="0.25">
      <c r="A48" s="74"/>
      <c r="B48" s="133"/>
      <c r="C48" s="107" t="s">
        <v>252</v>
      </c>
      <c r="D48" s="267">
        <v>133.327835051546</v>
      </c>
      <c r="E48" s="267">
        <v>50.303184000000002</v>
      </c>
      <c r="F48" s="86"/>
      <c r="G48" s="86"/>
      <c r="H48" s="86"/>
      <c r="I48" s="86"/>
      <c r="J48" s="86"/>
      <c r="K48" s="86"/>
      <c r="L48" s="110"/>
      <c r="M48" s="267">
        <v>133.327835051546</v>
      </c>
      <c r="N48" s="267">
        <v>50.303184000000002</v>
      </c>
      <c r="O48" s="86"/>
      <c r="P48" s="86"/>
      <c r="Q48" s="86"/>
      <c r="R48" s="86"/>
      <c r="S48" s="86"/>
      <c r="T48" s="86"/>
      <c r="U48" s="85" t="e">
        <f t="shared" si="0"/>
        <v>#DIV/0!</v>
      </c>
      <c r="V48" s="87" t="e">
        <f t="shared" si="0"/>
        <v>#DIV/0!</v>
      </c>
      <c r="W48" s="118"/>
      <c r="X48" s="98"/>
      <c r="Y48" s="99"/>
      <c r="Z48" s="99"/>
      <c r="AA48" s="99"/>
      <c r="AB48" s="99"/>
      <c r="AC48" s="99"/>
      <c r="AD48" s="99"/>
      <c r="AE48" s="99"/>
      <c r="AF48" s="99"/>
      <c r="AG48" s="100"/>
      <c r="AH48" s="110"/>
      <c r="AO48" s="240" t="s">
        <v>44</v>
      </c>
      <c r="AP48" s="240" cm="1">
        <f t="array" ref="AP48">pareto($D46:$D51,$E46:$E51,3,"rate",$AR$1,$AO47,$AO49)</f>
        <v>133.327835051546</v>
      </c>
      <c r="AQ48" s="240" cm="1">
        <f t="array" ref="AQ48">pareto($D46:$D51,$E46:$E51,3,"dist",$AR$1,$AO47,$AO49)</f>
        <v>50.303184000000002</v>
      </c>
      <c r="AR48" s="240" cm="1">
        <f t="array" ref="AR48">pareto($M46:$M51,$N46:$N51,3,"rate",$AR$1,$AO47,$AO49)</f>
        <v>133.327835051546</v>
      </c>
      <c r="AS48" s="240" cm="1">
        <f t="array" ref="AS48">pareto($M46:$M51,$N46:$N51,3,"dist",$AR$1,$AO47,$AO49)</f>
        <v>50.303184000000002</v>
      </c>
      <c r="AT48" s="240"/>
      <c r="AU48" s="240"/>
    </row>
    <row r="49" spans="1:47" ht="12" customHeight="1" x14ac:dyDescent="0.25">
      <c r="A49" s="74"/>
      <c r="B49" s="133"/>
      <c r="C49" s="107" t="s">
        <v>253</v>
      </c>
      <c r="D49" s="267">
        <v>72.560824742267997</v>
      </c>
      <c r="E49" s="267">
        <v>40.194563000000002</v>
      </c>
      <c r="F49" s="86"/>
      <c r="G49" s="86"/>
      <c r="H49" s="86"/>
      <c r="I49" s="86"/>
      <c r="J49" s="86"/>
      <c r="K49" s="86"/>
      <c r="L49" s="110"/>
      <c r="M49" s="267">
        <v>72.560824742267997</v>
      </c>
      <c r="N49" s="267">
        <v>40.194563000000002</v>
      </c>
      <c r="O49" s="86"/>
      <c r="P49" s="86"/>
      <c r="Q49" s="86"/>
      <c r="R49" s="86"/>
      <c r="S49" s="86"/>
      <c r="T49" s="86"/>
      <c r="U49" s="85" t="e">
        <f t="shared" si="0"/>
        <v>#DIV/0!</v>
      </c>
      <c r="V49" s="87" t="e">
        <f t="shared" si="0"/>
        <v>#DIV/0!</v>
      </c>
      <c r="W49" s="118"/>
      <c r="X49" s="98"/>
      <c r="Y49" s="99"/>
      <c r="Z49" s="99"/>
      <c r="AA49" s="99"/>
      <c r="AB49" s="99"/>
      <c r="AC49" s="99"/>
      <c r="AD49" s="99"/>
      <c r="AE49" s="99"/>
      <c r="AF49" s="99"/>
      <c r="AG49" s="100"/>
      <c r="AH49" s="110"/>
      <c r="AO49" s="240">
        <v>20</v>
      </c>
      <c r="AP49" s="240" cm="1">
        <f t="array" ref="AP49">pareto($D46:$D51,$E46:$E51,4,"rate",$AR$1,$AO47,$AO49)</f>
        <v>72.560824742267997</v>
      </c>
      <c r="AQ49" s="240" cm="1">
        <f t="array" ref="AQ49">pareto($D46:$D51,$E46:$E51,4,"dist",$AR$1,$AO47,$AO49)</f>
        <v>40.194563000000002</v>
      </c>
      <c r="AR49" s="240" cm="1">
        <f t="array" ref="AR49">pareto($M46:$M51,$N46:$N51,4,"rate",$AR$1,$AO47,$AO49)</f>
        <v>72.560824742267997</v>
      </c>
      <c r="AS49" s="240" cm="1">
        <f t="array" ref="AS49">pareto($M46:$M51,$N46:$N51,4,"dist",$AR$1,$AO47,$AO49)</f>
        <v>40.194563000000002</v>
      </c>
      <c r="AT49" s="240"/>
      <c r="AU49" s="240"/>
    </row>
    <row r="50" spans="1:47" ht="12" customHeight="1" x14ac:dyDescent="0.25">
      <c r="A50" s="74"/>
      <c r="B50" s="133"/>
      <c r="C50" s="107" t="s">
        <v>254</v>
      </c>
      <c r="D50" s="267">
        <v>38.618556701030897</v>
      </c>
      <c r="E50" s="267">
        <v>23.952061</v>
      </c>
      <c r="F50" s="86"/>
      <c r="G50" s="86"/>
      <c r="H50" s="86"/>
      <c r="I50" s="86"/>
      <c r="J50" s="86"/>
      <c r="K50" s="86"/>
      <c r="L50" s="110"/>
      <c r="M50" s="267">
        <v>38.618556701030897</v>
      </c>
      <c r="N50" s="267">
        <v>23.952061</v>
      </c>
      <c r="O50" s="86"/>
      <c r="P50" s="86"/>
      <c r="Q50" s="86"/>
      <c r="R50" s="86"/>
      <c r="S50" s="86"/>
      <c r="T50" s="86"/>
      <c r="U50" s="85" t="e">
        <f t="shared" si="0"/>
        <v>#DIV/0!</v>
      </c>
      <c r="V50" s="87" t="e">
        <f t="shared" si="0"/>
        <v>#DIV/0!</v>
      </c>
      <c r="W50" s="118"/>
      <c r="X50" s="98"/>
      <c r="Y50" s="99"/>
      <c r="Z50" s="99"/>
      <c r="AA50" s="99"/>
      <c r="AB50" s="99"/>
      <c r="AC50" s="99"/>
      <c r="AD50" s="99"/>
      <c r="AE50" s="99"/>
      <c r="AF50" s="99"/>
      <c r="AG50" s="100"/>
      <c r="AH50" s="110"/>
      <c r="AO50" s="240"/>
      <c r="AP50" s="240" cm="1">
        <f t="array" ref="AP50">pareto($D46:$D51,$E46:$E51,5,"rate",$AR$1,$AO47,$AO49)</f>
        <v>38.618556701030897</v>
      </c>
      <c r="AQ50" s="240" cm="1">
        <f t="array" ref="AQ50">pareto($D46:$D51,$E46:$E51,5,"dist",$AR$1,$AO47,$AO49)</f>
        <v>23.952061</v>
      </c>
      <c r="AR50" s="240" cm="1">
        <f t="array" ref="AR50">pareto($M46:$M51,$N46:$N51,5,"rate",$AR$1,$AO47,$AO49)</f>
        <v>38.618556701030897</v>
      </c>
      <c r="AS50" s="240" cm="1">
        <f t="array" ref="AS50">pareto($M46:$M51,$N46:$N51,5,"dist",$AR$1,$AO47,$AO49)</f>
        <v>23.952061</v>
      </c>
      <c r="AT50" s="240"/>
      <c r="AU50" s="240"/>
    </row>
    <row r="51" spans="1:47" ht="12" customHeight="1" thickBot="1" x14ac:dyDescent="0.3">
      <c r="A51" s="74"/>
      <c r="B51" s="134"/>
      <c r="C51" s="108" t="s">
        <v>255</v>
      </c>
      <c r="D51" s="267">
        <v>15.703092783505101</v>
      </c>
      <c r="E51" s="267">
        <v>7.9451669999999996</v>
      </c>
      <c r="F51" s="94"/>
      <c r="G51" s="94"/>
      <c r="H51" s="94"/>
      <c r="I51" s="94"/>
      <c r="J51" s="94"/>
      <c r="K51" s="94"/>
      <c r="L51" s="110"/>
      <c r="M51" s="267">
        <v>15.703092783505101</v>
      </c>
      <c r="N51" s="267">
        <v>7.9451669999999996</v>
      </c>
      <c r="O51" s="94"/>
      <c r="P51" s="94"/>
      <c r="Q51" s="94"/>
      <c r="R51" s="94"/>
      <c r="S51" s="94"/>
      <c r="T51" s="94"/>
      <c r="U51" s="85" t="e">
        <f t="shared" si="0"/>
        <v>#DIV/0!</v>
      </c>
      <c r="V51" s="87" t="e">
        <f t="shared" si="0"/>
        <v>#DIV/0!</v>
      </c>
      <c r="W51" s="118"/>
      <c r="X51" s="101"/>
      <c r="Y51" s="102"/>
      <c r="Z51" s="102"/>
      <c r="AA51" s="102"/>
      <c r="AB51" s="102"/>
      <c r="AC51" s="102"/>
      <c r="AD51" s="102"/>
      <c r="AE51" s="102"/>
      <c r="AF51" s="102"/>
      <c r="AG51" s="103"/>
      <c r="AH51" s="111"/>
      <c r="AP51" s="240" cm="1">
        <f t="array" ref="AP51">pareto($D46:$D51,$E46:$E51,6,"rate",$AR$1,$AO47,$AO49)</f>
        <v>15.703092783505101</v>
      </c>
      <c r="AQ51" s="240" cm="1">
        <f t="array" ref="AQ51">pareto($D46:$D51,$E46:$E51,6,"dist",$AR$1,$AO47,$AO49)</f>
        <v>7.9451669999999996</v>
      </c>
      <c r="AR51" s="240" cm="1">
        <f t="array" ref="AR51">pareto($M46:$M51,$N46:$N51,6,"rate",$AR$1,$AO47,$AO49)</f>
        <v>15.703092783505101</v>
      </c>
      <c r="AS51" s="240" cm="1">
        <f t="array" ref="AS51">pareto($M46:$M51,$N46:$N51,6,"dist",$AR$1,$AO47,$AO49)</f>
        <v>7.9451669999999996</v>
      </c>
    </row>
    <row r="52" spans="1:47" ht="12" customHeight="1" x14ac:dyDescent="0.25">
      <c r="A52" s="74"/>
      <c r="B52" s="132" t="s">
        <v>69</v>
      </c>
      <c r="C52" s="106" t="s">
        <v>250</v>
      </c>
      <c r="D52" s="267">
        <v>526.48984615384597</v>
      </c>
      <c r="E52" s="267">
        <v>43.120032999999999</v>
      </c>
      <c r="F52" s="83"/>
      <c r="G52" s="83"/>
      <c r="H52" s="83"/>
      <c r="I52" s="83"/>
      <c r="J52" s="83"/>
      <c r="K52" s="83"/>
      <c r="L52" s="110"/>
      <c r="M52" s="267">
        <v>526.48984615384597</v>
      </c>
      <c r="N52" s="267">
        <v>43.120032999999999</v>
      </c>
      <c r="O52" s="83"/>
      <c r="P52" s="83"/>
      <c r="Q52" s="83"/>
      <c r="R52" s="83"/>
      <c r="S52" s="83"/>
      <c r="T52" s="83"/>
      <c r="U52" s="85" t="e">
        <f t="shared" si="0"/>
        <v>#DIV/0!</v>
      </c>
      <c r="V52" s="87" t="e">
        <f t="shared" si="0"/>
        <v>#DIV/0!</v>
      </c>
      <c r="W52" s="118"/>
      <c r="X52" s="122">
        <f>bdRateExtend($D52:$D57,$E52:$E57,$M52:$M57,$N52:$N57)</f>
        <v>0</v>
      </c>
      <c r="Y52" s="14">
        <f t="shared" ref="Y52" si="36">bdRateExtend($D52:$D56,$E52:$E56,$M52:$M56,$N52:$N56)</f>
        <v>0</v>
      </c>
      <c r="Z52" s="14">
        <f t="shared" ref="Z52" si="37">bdRateExtend($D53:$D57,$E53:$E57,$M53:$M57,$N53:$N57)</f>
        <v>0</v>
      </c>
      <c r="AA52" s="14">
        <f t="shared" ref="AA52" si="38">bdRateExtend($D52:$D55,$E52:$E55,$M52:$M55,$N52:$N55)</f>
        <v>0</v>
      </c>
      <c r="AB52" s="14">
        <f t="shared" ref="AB52" si="39">bdRateExtend($D53:$D56,$E53:$E56,$M53:$M56,$N53:$N56)</f>
        <v>0</v>
      </c>
      <c r="AC52" s="14">
        <f t="shared" ref="AC52" si="40">bdRateExtend($D54:$D57,$E54:$E57,$M54:$M57,$N54:$N57)</f>
        <v>0</v>
      </c>
      <c r="AD52" s="34" cm="1">
        <f t="array" ref="AD52">bdRatePareto(AP52:AP57,AQ52:AQ57,AR52:AR57,AS52:AS57)</f>
        <v>0</v>
      </c>
      <c r="AE52" s="14" t="e">
        <f>bdRateExtend($D52:$D57,F52:F57,$M52:$M57,O52:O57)</f>
        <v>#VALUE!</v>
      </c>
      <c r="AF52" s="14" t="e">
        <f>bdRateExtend($D52:$D57,G52:G57,$M52:$M57,P52:P57)</f>
        <v>#VALUE!</v>
      </c>
      <c r="AG52" s="15" t="e">
        <f>bdRateExtend($D52:$D57,H52:H57,$M52:$M57,Q52:Q57)</f>
        <v>#VALUE!</v>
      </c>
      <c r="AH52" s="72">
        <f>bdPSNRExtend($D52:$D57,$E52:$E57,$M52:$M57,$N52:$N57)</f>
        <v>0</v>
      </c>
      <c r="AO52" s="240" t="s">
        <v>213</v>
      </c>
      <c r="AP52" s="240" cm="1">
        <f t="array" ref="AP52">pareto($D52:$D57,$E52:$E57,1,"rate",$AR$1,$AO53,$AO55)</f>
        <v>526.48984615384597</v>
      </c>
      <c r="AQ52" s="240" cm="1">
        <f t="array" ref="AQ52">pareto($D52:$D57,$E52:$E57,1,"dist",$AR$1,$AO53,$AO55)</f>
        <v>43.120032999999999</v>
      </c>
      <c r="AR52" s="240" cm="1">
        <f t="array" ref="AR52">pareto($M52:$M57,$N52:$N57,1,"rate",$AR$1,$AO53,$AO55)</f>
        <v>526.48984615384597</v>
      </c>
      <c r="AS52" s="240" cm="1">
        <f t="array" ref="AS52">pareto($M52:$M57,$N52:$N57,1,"dist",$AR$1,$AO53,$AO55)</f>
        <v>43.120032999999999</v>
      </c>
    </row>
    <row r="53" spans="1:47" ht="12" customHeight="1" x14ac:dyDescent="0.25">
      <c r="A53" s="74"/>
      <c r="B53" s="133"/>
      <c r="C53" s="107" t="s">
        <v>251</v>
      </c>
      <c r="D53" s="267">
        <v>262.862769230769</v>
      </c>
      <c r="E53" s="267">
        <v>38.937488000000002</v>
      </c>
      <c r="F53" s="86"/>
      <c r="G53" s="86"/>
      <c r="H53" s="86"/>
      <c r="I53" s="86"/>
      <c r="J53" s="86"/>
      <c r="K53" s="86"/>
      <c r="L53" s="110"/>
      <c r="M53" s="267">
        <v>262.862769230769</v>
      </c>
      <c r="N53" s="267">
        <v>38.937488000000002</v>
      </c>
      <c r="O53" s="86"/>
      <c r="P53" s="86"/>
      <c r="Q53" s="86"/>
      <c r="R53" s="86"/>
      <c r="S53" s="86"/>
      <c r="T53" s="86"/>
      <c r="U53" s="85" t="e">
        <f t="shared" si="0"/>
        <v>#DIV/0!</v>
      </c>
      <c r="V53" s="87" t="e">
        <f t="shared" si="0"/>
        <v>#DIV/0!</v>
      </c>
      <c r="W53" s="118"/>
      <c r="X53" s="98"/>
      <c r="Y53" s="99"/>
      <c r="Z53" s="99"/>
      <c r="AA53" s="99"/>
      <c r="AB53" s="99"/>
      <c r="AC53" s="99"/>
      <c r="AD53" s="99"/>
      <c r="AE53" s="99"/>
      <c r="AF53" s="99"/>
      <c r="AG53" s="100"/>
      <c r="AH53" s="110"/>
      <c r="AO53" s="240">
        <v>51.641207000000001</v>
      </c>
      <c r="AP53" s="240" cm="1">
        <f t="array" ref="AP53">pareto($D52:$D57,$E52:$E57,2,"rate",$AR$1,$AO53,$AO55)</f>
        <v>262.862769230769</v>
      </c>
      <c r="AQ53" s="240" cm="1">
        <f t="array" ref="AQ53">pareto($D52:$D57,$E52:$E57,2,"dist",$AR$1,$AO53,$AO55)</f>
        <v>38.937488000000002</v>
      </c>
      <c r="AR53" s="240" cm="1">
        <f t="array" ref="AR53">pareto($M52:$M57,$N52:$N57,2,"rate",$AR$1,$AO53,$AO55)</f>
        <v>262.862769230769</v>
      </c>
      <c r="AS53" s="240" cm="1">
        <f t="array" ref="AS53">pareto($M52:$M57,$N52:$N57,2,"dist",$AR$1,$AO53,$AO55)</f>
        <v>38.937488000000002</v>
      </c>
    </row>
    <row r="54" spans="1:47" ht="12" customHeight="1" x14ac:dyDescent="0.25">
      <c r="A54" s="74"/>
      <c r="B54" s="133"/>
      <c r="C54" s="107" t="s">
        <v>252</v>
      </c>
      <c r="D54" s="267">
        <v>181.414153846153</v>
      </c>
      <c r="E54" s="267">
        <v>38.086315999999997</v>
      </c>
      <c r="F54" s="86"/>
      <c r="G54" s="86"/>
      <c r="H54" s="86"/>
      <c r="I54" s="86"/>
      <c r="J54" s="86"/>
      <c r="K54" s="86"/>
      <c r="L54" s="110"/>
      <c r="M54" s="267">
        <v>181.414153846153</v>
      </c>
      <c r="N54" s="267">
        <v>38.086315999999997</v>
      </c>
      <c r="O54" s="86"/>
      <c r="P54" s="86"/>
      <c r="Q54" s="86"/>
      <c r="R54" s="86"/>
      <c r="S54" s="86"/>
      <c r="T54" s="86"/>
      <c r="U54" s="85" t="e">
        <f t="shared" si="0"/>
        <v>#DIV/0!</v>
      </c>
      <c r="V54" s="87" t="e">
        <f t="shared" si="0"/>
        <v>#DIV/0!</v>
      </c>
      <c r="W54" s="118"/>
      <c r="X54" s="98"/>
      <c r="Y54" s="99"/>
      <c r="Z54" s="99"/>
      <c r="AA54" s="99"/>
      <c r="AB54" s="99"/>
      <c r="AC54" s="99"/>
      <c r="AD54" s="99"/>
      <c r="AE54" s="99"/>
      <c r="AF54" s="99"/>
      <c r="AG54" s="100"/>
      <c r="AH54" s="110"/>
      <c r="AO54" s="240" t="s">
        <v>44</v>
      </c>
      <c r="AP54" s="240" cm="1">
        <f t="array" ref="AP54">pareto($D52:$D57,$E52:$E57,3,"rate",$AR$1,$AO53,$AO55)</f>
        <v>181.414153846153</v>
      </c>
      <c r="AQ54" s="240" cm="1">
        <f t="array" ref="AQ54">pareto($D52:$D57,$E52:$E57,3,"dist",$AR$1,$AO53,$AO55)</f>
        <v>38.086315999999997</v>
      </c>
      <c r="AR54" s="240" cm="1">
        <f t="array" ref="AR54">pareto($M52:$M57,$N52:$N57,3,"rate",$AR$1,$AO53,$AO55)</f>
        <v>181.414153846153</v>
      </c>
      <c r="AS54" s="240" cm="1">
        <f t="array" ref="AS54">pareto($M52:$M57,$N52:$N57,3,"dist",$AR$1,$AO53,$AO55)</f>
        <v>38.086315999999997</v>
      </c>
    </row>
    <row r="55" spans="1:47" ht="12" customHeight="1" x14ac:dyDescent="0.25">
      <c r="A55" s="74"/>
      <c r="B55" s="133"/>
      <c r="C55" s="107" t="s">
        <v>253</v>
      </c>
      <c r="D55" s="267">
        <v>109.495384615384</v>
      </c>
      <c r="E55" s="267">
        <v>33.78192</v>
      </c>
      <c r="F55" s="86"/>
      <c r="G55" s="86"/>
      <c r="H55" s="86"/>
      <c r="I55" s="86"/>
      <c r="J55" s="86"/>
      <c r="K55" s="86"/>
      <c r="L55" s="110"/>
      <c r="M55" s="267">
        <v>109.495384615384</v>
      </c>
      <c r="N55" s="267">
        <v>33.78192</v>
      </c>
      <c r="O55" s="86"/>
      <c r="P55" s="86"/>
      <c r="Q55" s="86"/>
      <c r="R55" s="86"/>
      <c r="S55" s="86"/>
      <c r="T55" s="86"/>
      <c r="U55" s="85" t="e">
        <f t="shared" si="0"/>
        <v>#DIV/0!</v>
      </c>
      <c r="V55" s="87" t="e">
        <f t="shared" si="0"/>
        <v>#DIV/0!</v>
      </c>
      <c r="W55" s="118"/>
      <c r="X55" s="98"/>
      <c r="Y55" s="99"/>
      <c r="Z55" s="99"/>
      <c r="AA55" s="99"/>
      <c r="AB55" s="99"/>
      <c r="AC55" s="99"/>
      <c r="AD55" s="99"/>
      <c r="AE55" s="99"/>
      <c r="AF55" s="99"/>
      <c r="AG55" s="100"/>
      <c r="AH55" s="110"/>
      <c r="AO55" s="240">
        <v>20</v>
      </c>
      <c r="AP55" s="240" cm="1">
        <f t="array" ref="AP55">pareto($D52:$D57,$E52:$E57,4,"rate",$AR$1,$AO53,$AO55)</f>
        <v>109.495384615384</v>
      </c>
      <c r="AQ55" s="240" cm="1">
        <f t="array" ref="AQ55">pareto($D52:$D57,$E52:$E57,4,"dist",$AR$1,$AO53,$AO55)</f>
        <v>33.78192</v>
      </c>
      <c r="AR55" s="240" cm="1">
        <f t="array" ref="AR55">pareto($M52:$M57,$N52:$N57,4,"rate",$AR$1,$AO53,$AO55)</f>
        <v>109.495384615384</v>
      </c>
      <c r="AS55" s="240" cm="1">
        <f t="array" ref="AS55">pareto($M52:$M57,$N52:$N57,4,"dist",$AR$1,$AO53,$AO55)</f>
        <v>33.78192</v>
      </c>
    </row>
    <row r="56" spans="1:47" ht="12" customHeight="1" x14ac:dyDescent="0.25">
      <c r="A56" s="74"/>
      <c r="B56" s="133"/>
      <c r="C56" s="107" t="s">
        <v>254</v>
      </c>
      <c r="D56" s="267">
        <v>64.9181538461538</v>
      </c>
      <c r="E56" s="267">
        <v>24.081030999999999</v>
      </c>
      <c r="F56" s="86"/>
      <c r="G56" s="86"/>
      <c r="H56" s="86"/>
      <c r="I56" s="86"/>
      <c r="J56" s="86"/>
      <c r="K56" s="86"/>
      <c r="L56" s="110"/>
      <c r="M56" s="267">
        <v>64.9181538461538</v>
      </c>
      <c r="N56" s="267">
        <v>24.081030999999999</v>
      </c>
      <c r="O56" s="86"/>
      <c r="P56" s="86"/>
      <c r="Q56" s="86"/>
      <c r="R56" s="86"/>
      <c r="S56" s="86"/>
      <c r="T56" s="86"/>
      <c r="U56" s="85" t="e">
        <f t="shared" si="0"/>
        <v>#DIV/0!</v>
      </c>
      <c r="V56" s="87" t="e">
        <f t="shared" si="0"/>
        <v>#DIV/0!</v>
      </c>
      <c r="W56" s="118"/>
      <c r="X56" s="98"/>
      <c r="Y56" s="99"/>
      <c r="Z56" s="99"/>
      <c r="AA56" s="99"/>
      <c r="AB56" s="99"/>
      <c r="AC56" s="99"/>
      <c r="AD56" s="99"/>
      <c r="AE56" s="99"/>
      <c r="AF56" s="99"/>
      <c r="AG56" s="100"/>
      <c r="AH56" s="110"/>
      <c r="AP56" s="240" cm="1">
        <f t="array" ref="AP56">pareto($D52:$D57,$E52:$E57,5,"rate",$AR$1,$AO53,$AO55)</f>
        <v>64.9181538461538</v>
      </c>
      <c r="AQ56" s="240" cm="1">
        <f t="array" ref="AQ56">pareto($D52:$D57,$E52:$E57,5,"dist",$AR$1,$AO53,$AO55)</f>
        <v>24.081030999999999</v>
      </c>
      <c r="AR56" s="240" cm="1">
        <f t="array" ref="AR56">pareto($M52:$M57,$N52:$N57,5,"rate",$AR$1,$AO53,$AO55)</f>
        <v>64.9181538461538</v>
      </c>
      <c r="AS56" s="240" cm="1">
        <f t="array" ref="AS56">pareto($M52:$M57,$N52:$N57,5,"dist",$AR$1,$AO53,$AO55)</f>
        <v>24.081030999999999</v>
      </c>
    </row>
    <row r="57" spans="1:47" ht="12" customHeight="1" thickBot="1" x14ac:dyDescent="0.3">
      <c r="A57" s="92"/>
      <c r="B57" s="134"/>
      <c r="C57" s="108" t="s">
        <v>255</v>
      </c>
      <c r="D57" s="267">
        <v>37.229538461538397</v>
      </c>
      <c r="E57" s="267">
        <v>13.127293</v>
      </c>
      <c r="F57" s="94"/>
      <c r="G57" s="94"/>
      <c r="H57" s="94"/>
      <c r="I57" s="94"/>
      <c r="J57" s="94"/>
      <c r="K57" s="94"/>
      <c r="L57" s="111"/>
      <c r="M57" s="267">
        <v>37.229538461538397</v>
      </c>
      <c r="N57" s="267">
        <v>13.127293</v>
      </c>
      <c r="O57" s="94"/>
      <c r="P57" s="94"/>
      <c r="Q57" s="94"/>
      <c r="R57" s="94"/>
      <c r="S57" s="94"/>
      <c r="T57" s="94"/>
      <c r="U57" s="85" t="e">
        <f t="shared" si="0"/>
        <v>#DIV/0!</v>
      </c>
      <c r="V57" s="87" t="e">
        <f t="shared" si="0"/>
        <v>#DIV/0!</v>
      </c>
      <c r="W57" s="118"/>
      <c r="X57" s="101"/>
      <c r="Y57" s="102"/>
      <c r="Z57" s="102"/>
      <c r="AA57" s="102"/>
      <c r="AB57" s="102"/>
      <c r="AC57" s="102"/>
      <c r="AD57" s="102"/>
      <c r="AE57" s="102"/>
      <c r="AF57" s="102"/>
      <c r="AG57" s="103"/>
      <c r="AH57" s="111"/>
      <c r="AP57" s="240" cm="1">
        <f t="array" ref="AP57">pareto($D52:$D57,$E52:$E57,6,"rate",$AR$1,$AO53,$AO55)</f>
        <v>37.229538461538397</v>
      </c>
      <c r="AQ57" s="240" cm="1">
        <f t="array" ref="AQ57">pareto($D52:$D57,$E52:$E57,6,"dist",$AR$1,$AO53,$AO55)</f>
        <v>13.127293</v>
      </c>
      <c r="AR57" s="240" cm="1">
        <f t="array" ref="AR57">pareto($M52:$M57,$N52:$N57,6,"rate",$AR$1,$AO53,$AO55)</f>
        <v>37.229538461538397</v>
      </c>
      <c r="AS57" s="240" cm="1">
        <f t="array" ref="AS57">pareto($M52:$M57,$N52:$N57,6,"dist",$AR$1,$AO53,$AO55)</f>
        <v>13.127293</v>
      </c>
    </row>
    <row r="58" spans="1:47" ht="12" customHeight="1" x14ac:dyDescent="0.25">
      <c r="A58" s="81" t="s">
        <v>70</v>
      </c>
      <c r="B58" s="132" t="s">
        <v>71</v>
      </c>
      <c r="C58" s="106" t="s">
        <v>250</v>
      </c>
      <c r="D58" s="267">
        <v>543.538144329896</v>
      </c>
      <c r="E58" s="267">
        <v>20.669281999999999</v>
      </c>
      <c r="F58" s="83"/>
      <c r="G58" s="83"/>
      <c r="H58" s="83"/>
      <c r="I58" s="83"/>
      <c r="J58" s="83"/>
      <c r="K58" s="83"/>
      <c r="L58" s="110"/>
      <c r="M58" s="267">
        <v>543.538144329896</v>
      </c>
      <c r="N58" s="267">
        <v>20.669281999999999</v>
      </c>
      <c r="O58" s="83"/>
      <c r="P58" s="83"/>
      <c r="Q58" s="83"/>
      <c r="R58" s="83"/>
      <c r="S58" s="83"/>
      <c r="T58" s="83"/>
      <c r="U58" s="82" t="e">
        <f t="shared" si="0"/>
        <v>#DIV/0!</v>
      </c>
      <c r="V58" s="83" t="e">
        <f t="shared" si="0"/>
        <v>#DIV/0!</v>
      </c>
      <c r="W58" s="109"/>
      <c r="X58" s="122">
        <f>bdRateExtend($D58:$D63,$E58:$E63,$M58:$M63,$N58:$N63)</f>
        <v>0</v>
      </c>
      <c r="Y58" s="14">
        <f t="shared" ref="Y58" si="41">bdRateExtend($D58:$D62,$E58:$E62,$M58:$M62,$N58:$N62)</f>
        <v>0</v>
      </c>
      <c r="Z58" s="14">
        <f t="shared" ref="Z58" si="42">bdRateExtend($D59:$D63,$E59:$E63,$M59:$M63,$N59:$N63)</f>
        <v>0</v>
      </c>
      <c r="AA58" s="14">
        <f t="shared" ref="AA58" si="43">bdRateExtend($D58:$D61,$E58:$E61,$M58:$M61,$N58:$N61)</f>
        <v>0</v>
      </c>
      <c r="AB58" s="14">
        <f t="shared" ref="AB58" si="44">bdRateExtend($D59:$D62,$E59:$E62,$M59:$M62,$N59:$N62)</f>
        <v>0</v>
      </c>
      <c r="AC58" s="14">
        <f t="shared" ref="AC58" si="45">bdRateExtend($D60:$D63,$E60:$E63,$M60:$M63,$N60:$N63)</f>
        <v>0</v>
      </c>
      <c r="AD58" s="34" cm="1">
        <f t="array" ref="AD58">bdRatePareto(AP58:AP63,AQ58:AQ63,AR58:AR63,AS58:AS63)</f>
        <v>0</v>
      </c>
      <c r="AE58" s="14" t="e">
        <f>bdRateExtend($D58:$D63,F58:F63,$M58:$M63,O58:O63)</f>
        <v>#VALUE!</v>
      </c>
      <c r="AF58" s="14" t="e">
        <f>bdRateExtend($D58:$D63,G58:G63,$M58:$M63,P58:P63)</f>
        <v>#VALUE!</v>
      </c>
      <c r="AG58" s="15" t="e">
        <f>bdRateExtend($D58:$D63,H58:H63,$M58:$M63,Q58:Q63)</f>
        <v>#VALUE!</v>
      </c>
      <c r="AH58" s="72">
        <f>bdPSNRExtend($D58:$D63,$E58:$E63,$M58:$M63,$N58:$N63)</f>
        <v>0</v>
      </c>
      <c r="AO58" s="240" t="s">
        <v>213</v>
      </c>
      <c r="AP58" s="240" cm="1">
        <f t="array" ref="AP58">pareto($D58:$D63,$E58:$E63,1,"rate",$AR$1,$AO59,$AO61)</f>
        <v>543.538144329896</v>
      </c>
      <c r="AQ58" s="240" cm="1">
        <f t="array" ref="AQ58">pareto($D58:$D63,$E58:$E63,1,"dist",$AR$1,$AO59,$AO61)</f>
        <v>20.669281999999999</v>
      </c>
      <c r="AR58" s="240" cm="1">
        <f t="array" ref="AR58">pareto($M58:$M63,$N58:$N63,1,"rate",$AR$1,$AO59,$AO61)</f>
        <v>543.538144329896</v>
      </c>
      <c r="AS58" s="240" cm="1">
        <f t="array" ref="AS58">pareto($M58:$M63,$N58:$N63,1,"dist",$AR$1,$AO59,$AO61)</f>
        <v>20.669281999999999</v>
      </c>
    </row>
    <row r="59" spans="1:47" ht="12" customHeight="1" x14ac:dyDescent="0.25">
      <c r="A59" s="136"/>
      <c r="B59" s="133"/>
      <c r="C59" s="107" t="s">
        <v>251</v>
      </c>
      <c r="D59" s="267">
        <v>310.81649484536001</v>
      </c>
      <c r="E59" s="267">
        <v>19.427326999999998</v>
      </c>
      <c r="F59" s="86"/>
      <c r="G59" s="86"/>
      <c r="H59" s="86"/>
      <c r="I59" s="86"/>
      <c r="J59" s="86"/>
      <c r="K59" s="86"/>
      <c r="L59" s="110"/>
      <c r="M59" s="267">
        <v>310.81649484536001</v>
      </c>
      <c r="N59" s="267">
        <v>19.427326999999998</v>
      </c>
      <c r="O59" s="86"/>
      <c r="P59" s="86"/>
      <c r="Q59" s="86"/>
      <c r="R59" s="86"/>
      <c r="S59" s="86"/>
      <c r="T59" s="86"/>
      <c r="U59" s="85" t="e">
        <f t="shared" si="0"/>
        <v>#DIV/0!</v>
      </c>
      <c r="V59" s="86" t="e">
        <f t="shared" si="0"/>
        <v>#DIV/0!</v>
      </c>
      <c r="W59" s="110"/>
      <c r="X59" s="98"/>
      <c r="Y59" s="99"/>
      <c r="Z59" s="99"/>
      <c r="AA59" s="99"/>
      <c r="AB59" s="99"/>
      <c r="AC59" s="99"/>
      <c r="AD59" s="99"/>
      <c r="AE59" s="99"/>
      <c r="AF59" s="99"/>
      <c r="AG59" s="100"/>
      <c r="AH59" s="110"/>
      <c r="AO59" s="240">
        <v>34.423498000000002</v>
      </c>
      <c r="AP59" s="240" cm="1">
        <f t="array" ref="AP59">pareto($D58:$D63,$E58:$E63,2,"rate",$AR$1,$AO59,$AO61)</f>
        <v>310.81649484536001</v>
      </c>
      <c r="AQ59" s="240" cm="1">
        <f t="array" ref="AQ59">pareto($D58:$D63,$E58:$E63,2,"dist",$AR$1,$AO59,$AO61)</f>
        <v>19.427326999999998</v>
      </c>
      <c r="AR59" s="240" cm="1">
        <f t="array" ref="AR59">pareto($M58:$M63,$N58:$N63,2,"rate",$AR$1,$AO59,$AO61)</f>
        <v>310.81649484536001</v>
      </c>
      <c r="AS59" s="240" cm="1">
        <f t="array" ref="AS59">pareto($M58:$M63,$N58:$N63,2,"dist",$AR$1,$AO59,$AO61)</f>
        <v>19.427326999999998</v>
      </c>
    </row>
    <row r="60" spans="1:47" ht="12" customHeight="1" x14ac:dyDescent="0.25">
      <c r="A60" s="74"/>
      <c r="B60" s="133"/>
      <c r="C60" s="107" t="s">
        <v>252</v>
      </c>
      <c r="D60" s="267">
        <v>180.16082474226801</v>
      </c>
      <c r="E60" s="267">
        <v>16.065152000000001</v>
      </c>
      <c r="F60" s="86"/>
      <c r="G60" s="86"/>
      <c r="H60" s="86"/>
      <c r="I60" s="86"/>
      <c r="J60" s="86"/>
      <c r="K60" s="86"/>
      <c r="L60" s="110"/>
      <c r="M60" s="267">
        <v>180.16082474226801</v>
      </c>
      <c r="N60" s="267">
        <v>16.065152000000001</v>
      </c>
      <c r="O60" s="86"/>
      <c r="P60" s="86"/>
      <c r="Q60" s="86"/>
      <c r="R60" s="86"/>
      <c r="S60" s="86"/>
      <c r="T60" s="86"/>
      <c r="U60" s="85" t="e">
        <f t="shared" si="0"/>
        <v>#DIV/0!</v>
      </c>
      <c r="V60" s="86" t="e">
        <f t="shared" si="0"/>
        <v>#DIV/0!</v>
      </c>
      <c r="W60" s="110"/>
      <c r="X60" s="98"/>
      <c r="Y60" s="99"/>
      <c r="Z60" s="99"/>
      <c r="AA60" s="99"/>
      <c r="AB60" s="99"/>
      <c r="AC60" s="99"/>
      <c r="AD60" s="99"/>
      <c r="AE60" s="99"/>
      <c r="AF60" s="99"/>
      <c r="AG60" s="100"/>
      <c r="AH60" s="110"/>
      <c r="AO60" s="240" t="s">
        <v>44</v>
      </c>
      <c r="AP60" s="240" cm="1">
        <f t="array" ref="AP60">pareto($D58:$D63,$E58:$E63,3,"rate",$AR$1,$AO59,$AO61)</f>
        <v>180.16082474226801</v>
      </c>
      <c r="AQ60" s="240" cm="1">
        <f t="array" ref="AQ60">pareto($D58:$D63,$E58:$E63,3,"dist",$AR$1,$AO59,$AO61)</f>
        <v>16.065152000000001</v>
      </c>
      <c r="AR60" s="240" cm="1">
        <f t="array" ref="AR60">pareto($M58:$M63,$N58:$N63,3,"rate",$AR$1,$AO59,$AO61)</f>
        <v>180.16082474226801</v>
      </c>
      <c r="AS60" s="240" cm="1">
        <f t="array" ref="AS60">pareto($M58:$M63,$N58:$N63,3,"dist",$AR$1,$AO59,$AO61)</f>
        <v>16.065152000000001</v>
      </c>
    </row>
    <row r="61" spans="1:47" ht="12" customHeight="1" x14ac:dyDescent="0.25">
      <c r="A61" s="74"/>
      <c r="B61" s="133"/>
      <c r="C61" s="107" t="s">
        <v>253</v>
      </c>
      <c r="D61" s="267">
        <v>107.49278350515399</v>
      </c>
      <c r="E61" s="267">
        <v>12.139759</v>
      </c>
      <c r="F61" s="86"/>
      <c r="G61" s="86"/>
      <c r="H61" s="86"/>
      <c r="I61" s="86"/>
      <c r="J61" s="86"/>
      <c r="K61" s="86"/>
      <c r="L61" s="110"/>
      <c r="M61" s="267">
        <v>107.49278350515399</v>
      </c>
      <c r="N61" s="267">
        <v>12.139759</v>
      </c>
      <c r="O61" s="86"/>
      <c r="P61" s="86"/>
      <c r="Q61" s="86"/>
      <c r="R61" s="86"/>
      <c r="S61" s="86"/>
      <c r="T61" s="86"/>
      <c r="U61" s="85" t="e">
        <f t="shared" si="0"/>
        <v>#DIV/0!</v>
      </c>
      <c r="V61" s="86" t="e">
        <f t="shared" si="0"/>
        <v>#DIV/0!</v>
      </c>
      <c r="W61" s="110"/>
      <c r="X61" s="98"/>
      <c r="Y61" s="99"/>
      <c r="Z61" s="99"/>
      <c r="AA61" s="99"/>
      <c r="AB61" s="99"/>
      <c r="AC61" s="99"/>
      <c r="AD61" s="99"/>
      <c r="AE61" s="99"/>
      <c r="AF61" s="99"/>
      <c r="AG61" s="100"/>
      <c r="AH61" s="110"/>
      <c r="AO61" s="240">
        <v>20</v>
      </c>
      <c r="AP61" s="240" cm="1">
        <f t="array" ref="AP61">pareto($D58:$D63,$E58:$E63,4,"rate",$AR$1,$AO59,$AO61)</f>
        <v>107.49278350515399</v>
      </c>
      <c r="AQ61" s="240" cm="1">
        <f t="array" ref="AQ61">pareto($D58:$D63,$E58:$E63,4,"dist",$AR$1,$AO59,$AO61)</f>
        <v>12.139759</v>
      </c>
      <c r="AR61" s="240" cm="1">
        <f t="array" ref="AR61">pareto($M58:$M63,$N58:$N63,4,"rate",$AR$1,$AO59,$AO61)</f>
        <v>107.49278350515399</v>
      </c>
      <c r="AS61" s="240" cm="1">
        <f t="array" ref="AS61">pareto($M58:$M63,$N58:$N63,4,"dist",$AR$1,$AO59,$AO61)</f>
        <v>12.139759</v>
      </c>
    </row>
    <row r="62" spans="1:47" ht="12" customHeight="1" x14ac:dyDescent="0.25">
      <c r="A62" s="74"/>
      <c r="B62" s="133"/>
      <c r="C62" s="107" t="s">
        <v>254</v>
      </c>
      <c r="D62" s="267">
        <v>64.725773195876201</v>
      </c>
      <c r="E62" s="267">
        <v>10.246857</v>
      </c>
      <c r="F62" s="86"/>
      <c r="G62" s="86"/>
      <c r="H62" s="86"/>
      <c r="I62" s="86"/>
      <c r="J62" s="86"/>
      <c r="K62" s="86"/>
      <c r="L62" s="110"/>
      <c r="M62" s="267">
        <v>64.725773195876201</v>
      </c>
      <c r="N62" s="267">
        <v>10.246857</v>
      </c>
      <c r="O62" s="86"/>
      <c r="P62" s="86"/>
      <c r="Q62" s="86"/>
      <c r="R62" s="86"/>
      <c r="S62" s="86"/>
      <c r="T62" s="86"/>
      <c r="U62" s="85" t="e">
        <f t="shared" ref="U62:V81" si="46">S62/J62</f>
        <v>#DIV/0!</v>
      </c>
      <c r="V62" s="86" t="e">
        <f t="shared" si="46"/>
        <v>#DIV/0!</v>
      </c>
      <c r="W62" s="110"/>
      <c r="X62" s="98"/>
      <c r="Y62" s="99"/>
      <c r="Z62" s="99"/>
      <c r="AA62" s="99"/>
      <c r="AB62" s="99"/>
      <c r="AC62" s="99"/>
      <c r="AD62" s="99"/>
      <c r="AE62" s="99"/>
      <c r="AF62" s="99"/>
      <c r="AG62" s="100"/>
      <c r="AH62" s="110"/>
      <c r="AP62" s="240" cm="1">
        <f t="array" ref="AP62">pareto($D58:$D63,$E58:$E63,5,"rate",$AR$1,$AO59,$AO61)</f>
        <v>64.725773195876201</v>
      </c>
      <c r="AQ62" s="240" cm="1">
        <f t="array" ref="AQ62">pareto($D58:$D63,$E58:$E63,5,"dist",$AR$1,$AO59,$AO61)</f>
        <v>10.246857</v>
      </c>
      <c r="AR62" s="240" cm="1">
        <f t="array" ref="AR62">pareto($M58:$M63,$N58:$N63,5,"rate",$AR$1,$AO59,$AO61)</f>
        <v>64.725773195876201</v>
      </c>
      <c r="AS62" s="240" cm="1">
        <f t="array" ref="AS62">pareto($M58:$M63,$N58:$N63,5,"dist",$AR$1,$AO59,$AO61)</f>
        <v>10.246857</v>
      </c>
    </row>
    <row r="63" spans="1:47" ht="12" customHeight="1" thickBot="1" x14ac:dyDescent="0.3">
      <c r="A63" s="74"/>
      <c r="B63" s="134"/>
      <c r="C63" s="108" t="s">
        <v>255</v>
      </c>
      <c r="D63" s="267">
        <v>38.420618556701001</v>
      </c>
      <c r="E63" s="267">
        <v>8.4276750000000007</v>
      </c>
      <c r="F63" s="94"/>
      <c r="G63" s="94"/>
      <c r="H63" s="94"/>
      <c r="I63" s="94"/>
      <c r="J63" s="94"/>
      <c r="K63" s="94"/>
      <c r="L63" s="110"/>
      <c r="M63" s="267">
        <v>38.420618556701001</v>
      </c>
      <c r="N63" s="267">
        <v>8.4276750000000007</v>
      </c>
      <c r="O63" s="94"/>
      <c r="P63" s="94"/>
      <c r="Q63" s="94"/>
      <c r="R63" s="94"/>
      <c r="S63" s="94"/>
      <c r="T63" s="94"/>
      <c r="U63" s="85" t="e">
        <f t="shared" si="46"/>
        <v>#DIV/0!</v>
      </c>
      <c r="V63" s="86" t="e">
        <f t="shared" si="46"/>
        <v>#DIV/0!</v>
      </c>
      <c r="W63" s="110"/>
      <c r="X63" s="101"/>
      <c r="Y63" s="102"/>
      <c r="Z63" s="102"/>
      <c r="AA63" s="102"/>
      <c r="AB63" s="102"/>
      <c r="AC63" s="102"/>
      <c r="AD63" s="102"/>
      <c r="AE63" s="102"/>
      <c r="AF63" s="102"/>
      <c r="AG63" s="103"/>
      <c r="AH63" s="111"/>
      <c r="AP63" s="240" cm="1">
        <f t="array" ref="AP63">pareto($D58:$D63,$E58:$E63,6,"rate",$AR$1,$AO59,$AO61)</f>
        <v>38.420618556701001</v>
      </c>
      <c r="AQ63" s="240" cm="1">
        <f t="array" ref="AQ63">pareto($D58:$D63,$E58:$E63,6,"dist",$AR$1,$AO59,$AO61)</f>
        <v>8.4276750000000007</v>
      </c>
      <c r="AR63" s="240" cm="1">
        <f t="array" ref="AR63">pareto($M58:$M63,$N58:$N63,6,"rate",$AR$1,$AO59,$AO61)</f>
        <v>38.420618556701001</v>
      </c>
      <c r="AS63" s="240" cm="1">
        <f t="array" ref="AS63">pareto($M58:$M63,$N58:$N63,6,"dist",$AR$1,$AO59,$AO61)</f>
        <v>8.4276750000000007</v>
      </c>
    </row>
    <row r="64" spans="1:47" ht="12" customHeight="1" x14ac:dyDescent="0.25">
      <c r="A64" s="74"/>
      <c r="B64" s="132" t="s">
        <v>72</v>
      </c>
      <c r="C64" s="106" t="s">
        <v>250</v>
      </c>
      <c r="D64" s="267">
        <v>620.96</v>
      </c>
      <c r="E64" s="267">
        <v>34.711035000000003</v>
      </c>
      <c r="F64" s="83"/>
      <c r="G64" s="83"/>
      <c r="H64" s="83"/>
      <c r="I64" s="83"/>
      <c r="J64" s="83"/>
      <c r="K64" s="83"/>
      <c r="L64" s="110"/>
      <c r="M64" s="267">
        <v>620.96</v>
      </c>
      <c r="N64" s="267">
        <v>34.711035000000003</v>
      </c>
      <c r="O64" s="83"/>
      <c r="P64" s="83"/>
      <c r="Q64" s="83"/>
      <c r="R64" s="83"/>
      <c r="S64" s="83"/>
      <c r="T64" s="83"/>
      <c r="U64" s="85" t="e">
        <f t="shared" si="46"/>
        <v>#DIV/0!</v>
      </c>
      <c r="V64" s="86" t="e">
        <f t="shared" si="46"/>
        <v>#DIV/0!</v>
      </c>
      <c r="W64" s="110"/>
      <c r="X64" s="122">
        <f>bdRateExtend($D64:$D69,$E64:$E69,$M64:$M69,$N64:$N69)</f>
        <v>0</v>
      </c>
      <c r="Y64" s="14">
        <f t="shared" ref="Y64" si="47">bdRateExtend($D64:$D68,$E64:$E68,$M64:$M68,$N64:$N68)</f>
        <v>0</v>
      </c>
      <c r="Z64" s="14">
        <f t="shared" ref="Z64" si="48">bdRateExtend($D65:$D69,$E65:$E69,$M65:$M69,$N65:$N69)</f>
        <v>0</v>
      </c>
      <c r="AA64" s="14">
        <f t="shared" ref="AA64" si="49">bdRateExtend($D64:$D67,$E64:$E67,$M64:$M67,$N64:$N67)</f>
        <v>0</v>
      </c>
      <c r="AB64" s="14">
        <f t="shared" ref="AB64" si="50">bdRateExtend($D65:$D68,$E65:$E68,$M65:$M68,$N65:$N68)</f>
        <v>0</v>
      </c>
      <c r="AC64" s="14">
        <f t="shared" ref="AC64" si="51">bdRateExtend($D66:$D69,$E66:$E69,$M66:$M69,$N66:$N69)</f>
        <v>0</v>
      </c>
      <c r="AD64" s="34" cm="1">
        <f t="array" ref="AD64">bdRatePareto(AP64:AP69,AQ64:AQ69,AR64:AR69,AS64:AS69)</f>
        <v>0</v>
      </c>
      <c r="AE64" s="14" t="e">
        <f>bdRateExtend($D64:$D69,F64:F69,$M64:$M69,O64:O69)</f>
        <v>#VALUE!</v>
      </c>
      <c r="AF64" s="14" t="e">
        <f>bdRateExtend($D64:$D69,G64:G69,$M64:$M69,P64:P69)</f>
        <v>#VALUE!</v>
      </c>
      <c r="AG64" s="15" t="e">
        <f>bdRateExtend($D64:$D69,H64:H69,$M64:$M69,Q64:Q69)</f>
        <v>#VALUE!</v>
      </c>
      <c r="AH64" s="72">
        <f>bdPSNRExtend($D64:$D69,$E64:$E69,$M64:$M69,$N64:$N69)</f>
        <v>0</v>
      </c>
      <c r="AO64" s="240" t="s">
        <v>213</v>
      </c>
      <c r="AP64" s="240" cm="1">
        <f t="array" ref="AP64">pareto($D64:$D69,$E64:$E69,1,"rate",$AR$1,$AO65,$AO67)</f>
        <v>620.96</v>
      </c>
      <c r="AQ64" s="240" cm="1">
        <f t="array" ref="AQ64">pareto($D64:$D69,$E64:$E69,1,"dist",$AR$1,$AO65,$AO67)</f>
        <v>34.711035000000003</v>
      </c>
      <c r="AR64" s="240" cm="1">
        <f t="array" ref="AR64">pareto($M64:$M69,$N64:$N69,1,"rate",$AR$1,$AO65,$AO67)</f>
        <v>620.96</v>
      </c>
      <c r="AS64" s="240" cm="1">
        <f t="array" ref="AS64">pareto($M64:$M69,$N64:$N69,1,"dist",$AR$1,$AO65,$AO67)</f>
        <v>34.711035000000003</v>
      </c>
    </row>
    <row r="65" spans="1:45" ht="12" customHeight="1" x14ac:dyDescent="0.25">
      <c r="A65" s="74"/>
      <c r="B65" s="133"/>
      <c r="C65" s="107" t="s">
        <v>251</v>
      </c>
      <c r="D65" s="267">
        <v>276.14511627906899</v>
      </c>
      <c r="E65" s="267">
        <v>34.335250000000002</v>
      </c>
      <c r="F65" s="86"/>
      <c r="G65" s="86"/>
      <c r="H65" s="86"/>
      <c r="I65" s="86"/>
      <c r="J65" s="86"/>
      <c r="K65" s="86"/>
      <c r="L65" s="110"/>
      <c r="M65" s="267">
        <v>276.14511627906899</v>
      </c>
      <c r="N65" s="267">
        <v>34.335250000000002</v>
      </c>
      <c r="O65" s="86"/>
      <c r="P65" s="86"/>
      <c r="Q65" s="86"/>
      <c r="R65" s="86"/>
      <c r="S65" s="86"/>
      <c r="T65" s="86"/>
      <c r="U65" s="85" t="e">
        <f t="shared" si="46"/>
        <v>#DIV/0!</v>
      </c>
      <c r="V65" s="86" t="e">
        <f t="shared" si="46"/>
        <v>#DIV/0!</v>
      </c>
      <c r="W65" s="110"/>
      <c r="X65" s="98"/>
      <c r="Y65" s="99"/>
      <c r="Z65" s="99"/>
      <c r="AA65" s="99"/>
      <c r="AB65" s="99"/>
      <c r="AC65" s="99"/>
      <c r="AD65" s="99"/>
      <c r="AE65" s="99"/>
      <c r="AF65" s="99"/>
      <c r="AG65" s="100"/>
      <c r="AH65" s="110"/>
      <c r="AO65" s="240">
        <v>37.037838999999998</v>
      </c>
      <c r="AP65" s="240" cm="1">
        <f t="array" ref="AP65">pareto($D64:$D69,$E64:$E69,2,"rate",$AR$1,$AO65,$AO67)</f>
        <v>276.14511627906899</v>
      </c>
      <c r="AQ65" s="240" cm="1">
        <f t="array" ref="AQ65">pareto($D64:$D69,$E64:$E69,2,"dist",$AR$1,$AO65,$AO67)</f>
        <v>34.335250000000002</v>
      </c>
      <c r="AR65" s="240" cm="1">
        <f t="array" ref="AR65">pareto($M64:$M69,$N64:$N69,2,"rate",$AR$1,$AO65,$AO67)</f>
        <v>276.14511627906899</v>
      </c>
      <c r="AS65" s="240" cm="1">
        <f t="array" ref="AS65">pareto($M64:$M69,$N64:$N69,2,"dist",$AR$1,$AO65,$AO67)</f>
        <v>34.335250000000002</v>
      </c>
    </row>
    <row r="66" spans="1:45" ht="12" customHeight="1" x14ac:dyDescent="0.25">
      <c r="A66" s="74"/>
      <c r="B66" s="133"/>
      <c r="C66" s="107" t="s">
        <v>252</v>
      </c>
      <c r="D66" s="267">
        <v>139.34139534883701</v>
      </c>
      <c r="E66" s="267">
        <v>31.854331999999999</v>
      </c>
      <c r="F66" s="86"/>
      <c r="G66" s="86"/>
      <c r="H66" s="86"/>
      <c r="I66" s="86"/>
      <c r="J66" s="86"/>
      <c r="K66" s="86"/>
      <c r="L66" s="110"/>
      <c r="M66" s="267">
        <v>139.34139534883701</v>
      </c>
      <c r="N66" s="267">
        <v>31.854331999999999</v>
      </c>
      <c r="O66" s="86"/>
      <c r="P66" s="86"/>
      <c r="Q66" s="86"/>
      <c r="R66" s="86"/>
      <c r="S66" s="86"/>
      <c r="T66" s="86"/>
      <c r="U66" s="85" t="e">
        <f t="shared" si="46"/>
        <v>#DIV/0!</v>
      </c>
      <c r="V66" s="86" t="e">
        <f t="shared" si="46"/>
        <v>#DIV/0!</v>
      </c>
      <c r="W66" s="110"/>
      <c r="X66" s="98"/>
      <c r="Y66" s="99"/>
      <c r="Z66" s="99"/>
      <c r="AA66" s="99"/>
      <c r="AB66" s="99"/>
      <c r="AC66" s="99"/>
      <c r="AD66" s="99"/>
      <c r="AE66" s="99"/>
      <c r="AF66" s="99"/>
      <c r="AG66" s="100"/>
      <c r="AH66" s="110"/>
      <c r="AO66" s="240" t="s">
        <v>44</v>
      </c>
      <c r="AP66" s="240" cm="1">
        <f t="array" ref="AP66">pareto($D64:$D69,$E64:$E69,3,"rate",$AR$1,$AO65,$AO67)</f>
        <v>139.34139534883701</v>
      </c>
      <c r="AQ66" s="240" cm="1">
        <f t="array" ref="AQ66">pareto($D64:$D69,$E64:$E69,3,"dist",$AR$1,$AO65,$AO67)</f>
        <v>31.854331999999999</v>
      </c>
      <c r="AR66" s="240" cm="1">
        <f t="array" ref="AR66">pareto($M64:$M69,$N64:$N69,3,"rate",$AR$1,$AO65,$AO67)</f>
        <v>139.34139534883701</v>
      </c>
      <c r="AS66" s="240" cm="1">
        <f t="array" ref="AS66">pareto($M64:$M69,$N64:$N69,3,"dist",$AR$1,$AO65,$AO67)</f>
        <v>31.854331999999999</v>
      </c>
    </row>
    <row r="67" spans="1:45" ht="12" customHeight="1" x14ac:dyDescent="0.25">
      <c r="A67" s="74"/>
      <c r="B67" s="133"/>
      <c r="C67" s="107" t="s">
        <v>253</v>
      </c>
      <c r="D67" s="267">
        <v>77.477209302325505</v>
      </c>
      <c r="E67" s="267">
        <v>26.329201000000001</v>
      </c>
      <c r="F67" s="86"/>
      <c r="G67" s="86"/>
      <c r="H67" s="86"/>
      <c r="I67" s="86"/>
      <c r="J67" s="86"/>
      <c r="K67" s="86"/>
      <c r="L67" s="110"/>
      <c r="M67" s="267">
        <v>77.477209302325505</v>
      </c>
      <c r="N67" s="267">
        <v>26.329201000000001</v>
      </c>
      <c r="O67" s="86"/>
      <c r="P67" s="86"/>
      <c r="Q67" s="86"/>
      <c r="R67" s="86"/>
      <c r="S67" s="86"/>
      <c r="T67" s="86"/>
      <c r="U67" s="85" t="e">
        <f t="shared" si="46"/>
        <v>#DIV/0!</v>
      </c>
      <c r="V67" s="86" t="e">
        <f t="shared" si="46"/>
        <v>#DIV/0!</v>
      </c>
      <c r="W67" s="110"/>
      <c r="X67" s="98"/>
      <c r="Y67" s="99"/>
      <c r="Z67" s="99"/>
      <c r="AA67" s="99"/>
      <c r="AB67" s="99"/>
      <c r="AC67" s="99"/>
      <c r="AD67" s="99"/>
      <c r="AE67" s="99"/>
      <c r="AF67" s="99"/>
      <c r="AG67" s="100"/>
      <c r="AH67" s="110"/>
      <c r="AO67" s="240">
        <v>20</v>
      </c>
      <c r="AP67" s="240" cm="1">
        <f t="array" ref="AP67">pareto($D64:$D69,$E64:$E69,4,"rate",$AR$1,$AO65,$AO67)</f>
        <v>77.477209302325505</v>
      </c>
      <c r="AQ67" s="240" cm="1">
        <f t="array" ref="AQ67">pareto($D64:$D69,$E64:$E69,4,"dist",$AR$1,$AO65,$AO67)</f>
        <v>26.329201000000001</v>
      </c>
      <c r="AR67" s="240" cm="1">
        <f t="array" ref="AR67">pareto($M64:$M69,$N64:$N69,4,"rate",$AR$1,$AO65,$AO67)</f>
        <v>77.477209302325505</v>
      </c>
      <c r="AS67" s="240" cm="1">
        <f t="array" ref="AS67">pareto($M64:$M69,$N64:$N69,4,"dist",$AR$1,$AO65,$AO67)</f>
        <v>26.329201000000001</v>
      </c>
    </row>
    <row r="68" spans="1:45" ht="12" customHeight="1" x14ac:dyDescent="0.25">
      <c r="A68" s="74"/>
      <c r="B68" s="133"/>
      <c r="C68" s="107" t="s">
        <v>254</v>
      </c>
      <c r="D68" s="267">
        <v>45.291162790697598</v>
      </c>
      <c r="E68" s="267">
        <v>22.565369</v>
      </c>
      <c r="F68" s="86"/>
      <c r="G68" s="86"/>
      <c r="H68" s="86"/>
      <c r="I68" s="86"/>
      <c r="J68" s="86"/>
      <c r="K68" s="86"/>
      <c r="L68" s="110"/>
      <c r="M68" s="267">
        <v>45.291162790697598</v>
      </c>
      <c r="N68" s="267">
        <v>22.565369</v>
      </c>
      <c r="O68" s="86"/>
      <c r="P68" s="86"/>
      <c r="Q68" s="86"/>
      <c r="R68" s="86"/>
      <c r="S68" s="86"/>
      <c r="T68" s="86"/>
      <c r="U68" s="85" t="e">
        <f t="shared" si="46"/>
        <v>#DIV/0!</v>
      </c>
      <c r="V68" s="86" t="e">
        <f t="shared" si="46"/>
        <v>#DIV/0!</v>
      </c>
      <c r="W68" s="110"/>
      <c r="X68" s="98"/>
      <c r="Y68" s="99"/>
      <c r="Z68" s="99"/>
      <c r="AA68" s="99"/>
      <c r="AB68" s="99"/>
      <c r="AC68" s="99"/>
      <c r="AD68" s="99"/>
      <c r="AE68" s="99"/>
      <c r="AF68" s="99"/>
      <c r="AG68" s="100"/>
      <c r="AH68" s="110"/>
      <c r="AP68" s="240" cm="1">
        <f t="array" ref="AP68">pareto($D64:$D69,$E64:$E69,5,"rate",$AR$1,$AO65,$AO67)</f>
        <v>45.291162790697598</v>
      </c>
      <c r="AQ68" s="240" cm="1">
        <f t="array" ref="AQ68">pareto($D64:$D69,$E64:$E69,5,"dist",$AR$1,$AO65,$AO67)</f>
        <v>22.565369</v>
      </c>
      <c r="AR68" s="240" cm="1">
        <f t="array" ref="AR68">pareto($M64:$M69,$N64:$N69,5,"rate",$AR$1,$AO65,$AO67)</f>
        <v>45.291162790697598</v>
      </c>
      <c r="AS68" s="240" cm="1">
        <f t="array" ref="AS68">pareto($M64:$M69,$N64:$N69,5,"dist",$AR$1,$AO65,$AO67)</f>
        <v>22.565369</v>
      </c>
    </row>
    <row r="69" spans="1:45" ht="12" customHeight="1" thickBot="1" x14ac:dyDescent="0.3">
      <c r="A69" s="74"/>
      <c r="B69" s="134"/>
      <c r="C69" s="108" t="s">
        <v>255</v>
      </c>
      <c r="D69" s="267">
        <v>26.377674418604599</v>
      </c>
      <c r="E69" s="267">
        <v>16.518716999999999</v>
      </c>
      <c r="F69" s="94"/>
      <c r="G69" s="94"/>
      <c r="H69" s="94"/>
      <c r="I69" s="94"/>
      <c r="J69" s="94"/>
      <c r="K69" s="94"/>
      <c r="L69" s="110"/>
      <c r="M69" s="267">
        <v>26.377674418604599</v>
      </c>
      <c r="N69" s="267">
        <v>16.518716999999999</v>
      </c>
      <c r="O69" s="94"/>
      <c r="P69" s="94"/>
      <c r="Q69" s="94"/>
      <c r="R69" s="94"/>
      <c r="S69" s="94"/>
      <c r="T69" s="94"/>
      <c r="U69" s="85" t="e">
        <f t="shared" si="46"/>
        <v>#DIV/0!</v>
      </c>
      <c r="V69" s="86" t="e">
        <f t="shared" si="46"/>
        <v>#DIV/0!</v>
      </c>
      <c r="W69" s="110"/>
      <c r="X69" s="101"/>
      <c r="Y69" s="102"/>
      <c r="Z69" s="102"/>
      <c r="AA69" s="102"/>
      <c r="AB69" s="102"/>
      <c r="AC69" s="102"/>
      <c r="AD69" s="102"/>
      <c r="AE69" s="102"/>
      <c r="AF69" s="102"/>
      <c r="AG69" s="103"/>
      <c r="AH69" s="111"/>
      <c r="AP69" s="240" cm="1">
        <f t="array" ref="AP69">pareto($D64:$D69,$E64:$E69,6,"rate",$AR$1,$AO65,$AO67)</f>
        <v>26.377674418604599</v>
      </c>
      <c r="AQ69" s="240" cm="1">
        <f t="array" ref="AQ69">pareto($D64:$D69,$E64:$E69,6,"dist",$AR$1,$AO65,$AO67)</f>
        <v>16.518716999999999</v>
      </c>
      <c r="AR69" s="240" cm="1">
        <f t="array" ref="AR69">pareto($M64:$M69,$N64:$N69,6,"rate",$AR$1,$AO65,$AO67)</f>
        <v>26.377674418604599</v>
      </c>
      <c r="AS69" s="240" cm="1">
        <f t="array" ref="AS69">pareto($M64:$M69,$N64:$N69,6,"dist",$AR$1,$AO65,$AO67)</f>
        <v>16.518716999999999</v>
      </c>
    </row>
    <row r="70" spans="1:45" ht="12" customHeight="1" x14ac:dyDescent="0.25">
      <c r="A70" s="74"/>
      <c r="B70" s="132" t="s">
        <v>73</v>
      </c>
      <c r="C70" s="106" t="s">
        <v>250</v>
      </c>
      <c r="D70" s="267">
        <v>432.47422680412302</v>
      </c>
      <c r="E70" s="267">
        <v>64.861517000000006</v>
      </c>
      <c r="F70" s="83"/>
      <c r="G70" s="83"/>
      <c r="H70" s="83"/>
      <c r="I70" s="83"/>
      <c r="J70" s="83"/>
      <c r="K70" s="83"/>
      <c r="L70" s="110"/>
      <c r="M70" s="267">
        <v>432.47422680412302</v>
      </c>
      <c r="N70" s="267">
        <v>64.861517000000006</v>
      </c>
      <c r="O70" s="83"/>
      <c r="P70" s="83"/>
      <c r="Q70" s="83"/>
      <c r="R70" s="83"/>
      <c r="S70" s="83"/>
      <c r="T70" s="83"/>
      <c r="U70" s="85" t="e">
        <f t="shared" si="46"/>
        <v>#DIV/0!</v>
      </c>
      <c r="V70" s="86" t="e">
        <f t="shared" si="46"/>
        <v>#DIV/0!</v>
      </c>
      <c r="W70" s="110"/>
      <c r="X70" s="122">
        <f>bdRateExtend($D70:$D75,$E70:$E75,$M70:$M75,$N70:$N75)</f>
        <v>0</v>
      </c>
      <c r="Y70" s="14">
        <f t="shared" ref="Y70" si="52">bdRateExtend($D70:$D74,$E70:$E74,$M70:$M74,$N70:$N74)</f>
        <v>0</v>
      </c>
      <c r="Z70" s="14">
        <f t="shared" ref="Z70" si="53">bdRateExtend($D71:$D75,$E71:$E75,$M71:$M75,$N71:$N75)</f>
        <v>0</v>
      </c>
      <c r="AA70" s="14">
        <f t="shared" ref="AA70" si="54">bdRateExtend($D70:$D73,$E70:$E73,$M70:$M73,$N70:$N73)</f>
        <v>0</v>
      </c>
      <c r="AB70" s="14">
        <f t="shared" ref="AB70" si="55">bdRateExtend($D71:$D74,$E71:$E74,$M71:$M74,$N71:$N74)</f>
        <v>0</v>
      </c>
      <c r="AC70" s="14">
        <f t="shared" ref="AC70" si="56">bdRateExtend($D72:$D75,$E72:$E75,$M72:$M75,$N72:$N75)</f>
        <v>0</v>
      </c>
      <c r="AD70" s="34" cm="1">
        <f t="array" ref="AD70">bdRatePareto(AP70:AP75,AQ70:AQ75,AR70:AR75,AS70:AS75)</f>
        <v>0</v>
      </c>
      <c r="AE70" s="14" t="e">
        <f>bdRateExtend($D70:$D75,F70:F75,$M70:$M75,O70:O75)</f>
        <v>#VALUE!</v>
      </c>
      <c r="AF70" s="14" t="e">
        <f>bdRateExtend($D70:$D75,G70:G75,$M70:$M75,P70:P75)</f>
        <v>#VALUE!</v>
      </c>
      <c r="AG70" s="15" t="e">
        <f>bdRateExtend($D70:$D75,H70:H75,$M70:$M75,Q70:Q75)</f>
        <v>#VALUE!</v>
      </c>
      <c r="AH70" s="72">
        <f>bdPSNRExtend($D70:$D75,$E70:$E75,$M70:$M75,$N70:$N75)</f>
        <v>0</v>
      </c>
      <c r="AO70" s="240" t="s">
        <v>213</v>
      </c>
      <c r="AP70" s="240" cm="1">
        <f t="array" ref="AP70">pareto($D70:$D75,$E70:$E75,1,"rate",$AR$1,$AO71,$AO73)</f>
        <v>432.47422680412302</v>
      </c>
      <c r="AQ70" s="240" cm="1">
        <f t="array" ref="AQ70">pareto($D70:$D75,$E70:$E75,1,"dist",$AR$1,$AO71,$AO73)</f>
        <v>64.861517000000006</v>
      </c>
      <c r="AR70" s="240" cm="1">
        <f t="array" ref="AR70">pareto($M70:$M75,$N70:$N75,1,"rate",$AR$1,$AO71,$AO73)</f>
        <v>432.47422680412302</v>
      </c>
      <c r="AS70" s="240" cm="1">
        <f t="array" ref="AS70">pareto($M70:$M75,$N70:$N75,1,"dist",$AR$1,$AO71,$AO73)</f>
        <v>64.861517000000006</v>
      </c>
    </row>
    <row r="71" spans="1:45" ht="12" customHeight="1" x14ac:dyDescent="0.25">
      <c r="A71" s="74"/>
      <c r="B71" s="133"/>
      <c r="C71" s="107" t="s">
        <v>251</v>
      </c>
      <c r="D71" s="267">
        <v>236.55257731958699</v>
      </c>
      <c r="E71" s="267">
        <v>58.633206000000001</v>
      </c>
      <c r="F71" s="86"/>
      <c r="G71" s="86"/>
      <c r="H71" s="86"/>
      <c r="I71" s="86"/>
      <c r="J71" s="86"/>
      <c r="K71" s="86"/>
      <c r="L71" s="110"/>
      <c r="M71" s="267">
        <v>236.55257731958699</v>
      </c>
      <c r="N71" s="267">
        <v>58.633206000000001</v>
      </c>
      <c r="O71" s="86"/>
      <c r="P71" s="86"/>
      <c r="Q71" s="86"/>
      <c r="R71" s="86"/>
      <c r="S71" s="86"/>
      <c r="T71" s="86"/>
      <c r="U71" s="85" t="e">
        <f t="shared" si="46"/>
        <v>#DIV/0!</v>
      </c>
      <c r="V71" s="86" t="e">
        <f t="shared" si="46"/>
        <v>#DIV/0!</v>
      </c>
      <c r="W71" s="110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0">
        <v>66.903647000000007</v>
      </c>
      <c r="AP71" s="240" cm="1">
        <f t="array" ref="AP71">pareto($D70:$D75,$E70:$E75,2,"rate",$AR$1,$AO71,$AO73)</f>
        <v>236.55257731958699</v>
      </c>
      <c r="AQ71" s="240" cm="1">
        <f t="array" ref="AQ71">pareto($D70:$D75,$E70:$E75,2,"dist",$AR$1,$AO71,$AO73)</f>
        <v>58.633206000000001</v>
      </c>
      <c r="AR71" s="240" cm="1">
        <f t="array" ref="AR71">pareto($M70:$M75,$N70:$N75,2,"rate",$AR$1,$AO71,$AO73)</f>
        <v>236.55257731958699</v>
      </c>
      <c r="AS71" s="240" cm="1">
        <f t="array" ref="AS71">pareto($M70:$M75,$N70:$N75,2,"dist",$AR$1,$AO71,$AO73)</f>
        <v>58.633206000000001</v>
      </c>
    </row>
    <row r="72" spans="1:45" ht="12" customHeight="1" x14ac:dyDescent="0.25">
      <c r="A72" s="74"/>
      <c r="B72" s="133"/>
      <c r="C72" s="107" t="s">
        <v>252</v>
      </c>
      <c r="D72" s="267">
        <v>153.567010309278</v>
      </c>
      <c r="E72" s="267">
        <v>47.524872999999999</v>
      </c>
      <c r="F72" s="86"/>
      <c r="G72" s="86"/>
      <c r="H72" s="86"/>
      <c r="I72" s="86"/>
      <c r="J72" s="86"/>
      <c r="K72" s="86"/>
      <c r="L72" s="110"/>
      <c r="M72" s="267">
        <v>153.567010309278</v>
      </c>
      <c r="N72" s="267">
        <v>47.524872999999999</v>
      </c>
      <c r="O72" s="86"/>
      <c r="P72" s="86"/>
      <c r="Q72" s="86"/>
      <c r="R72" s="86"/>
      <c r="S72" s="86"/>
      <c r="T72" s="86"/>
      <c r="U72" s="85" t="e">
        <f t="shared" si="46"/>
        <v>#DIV/0!</v>
      </c>
      <c r="V72" s="86" t="e">
        <f t="shared" si="46"/>
        <v>#DIV/0!</v>
      </c>
      <c r="W72" s="110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0" t="s">
        <v>44</v>
      </c>
      <c r="AP72" s="240" cm="1">
        <f t="array" ref="AP72">pareto($D70:$D75,$E70:$E75,3,"rate",$AR$1,$AO71,$AO73)</f>
        <v>153.567010309278</v>
      </c>
      <c r="AQ72" s="240" cm="1">
        <f t="array" ref="AQ72">pareto($D70:$D75,$E70:$E75,3,"dist",$AR$1,$AO71,$AO73)</f>
        <v>47.524872999999999</v>
      </c>
      <c r="AR72" s="240" cm="1">
        <f t="array" ref="AR72">pareto($M70:$M75,$N70:$N75,3,"rate",$AR$1,$AO71,$AO73)</f>
        <v>153.567010309278</v>
      </c>
      <c r="AS72" s="240" cm="1">
        <f t="array" ref="AS72">pareto($M70:$M75,$N70:$N75,3,"dist",$AR$1,$AO71,$AO73)</f>
        <v>47.524872999999999</v>
      </c>
    </row>
    <row r="73" spans="1:45" ht="12" customHeight="1" x14ac:dyDescent="0.25">
      <c r="A73" s="74"/>
      <c r="B73" s="133"/>
      <c r="C73" s="107" t="s">
        <v>253</v>
      </c>
      <c r="D73" s="267">
        <v>96.622680412371096</v>
      </c>
      <c r="E73" s="267">
        <v>39.011439000000003</v>
      </c>
      <c r="F73" s="86"/>
      <c r="G73" s="86"/>
      <c r="H73" s="86"/>
      <c r="I73" s="86"/>
      <c r="J73" s="86"/>
      <c r="K73" s="86"/>
      <c r="L73" s="110"/>
      <c r="M73" s="267">
        <v>96.622680412371096</v>
      </c>
      <c r="N73" s="267">
        <v>39.011439000000003</v>
      </c>
      <c r="O73" s="86"/>
      <c r="P73" s="86"/>
      <c r="Q73" s="86"/>
      <c r="R73" s="86"/>
      <c r="S73" s="86"/>
      <c r="T73" s="86"/>
      <c r="U73" s="85" t="e">
        <f t="shared" si="46"/>
        <v>#DIV/0!</v>
      </c>
      <c r="V73" s="86" t="e">
        <f t="shared" si="46"/>
        <v>#DIV/0!</v>
      </c>
      <c r="W73" s="110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0">
        <v>20</v>
      </c>
      <c r="AP73" s="240" cm="1">
        <f t="array" ref="AP73">pareto($D70:$D75,$E70:$E75,4,"rate",$AR$1,$AO71,$AO73)</f>
        <v>96.622680412371096</v>
      </c>
      <c r="AQ73" s="240" cm="1">
        <f t="array" ref="AQ73">pareto($D70:$D75,$E70:$E75,4,"dist",$AR$1,$AO71,$AO73)</f>
        <v>39.011439000000003</v>
      </c>
      <c r="AR73" s="240" cm="1">
        <f t="array" ref="AR73">pareto($M70:$M75,$N70:$N75,4,"rate",$AR$1,$AO71,$AO73)</f>
        <v>96.622680412371096</v>
      </c>
      <c r="AS73" s="240" cm="1">
        <f t="array" ref="AS73">pareto($M70:$M75,$N70:$N75,4,"dist",$AR$1,$AO71,$AO73)</f>
        <v>39.011439000000003</v>
      </c>
    </row>
    <row r="74" spans="1:45" ht="12" customHeight="1" x14ac:dyDescent="0.25">
      <c r="A74" s="74"/>
      <c r="B74" s="133"/>
      <c r="C74" s="107" t="s">
        <v>254</v>
      </c>
      <c r="D74" s="267">
        <v>59.480412371134001</v>
      </c>
      <c r="E74" s="267">
        <v>26.802890000000001</v>
      </c>
      <c r="F74" s="86"/>
      <c r="G74" s="86"/>
      <c r="H74" s="86"/>
      <c r="I74" s="86"/>
      <c r="J74" s="86"/>
      <c r="K74" s="86"/>
      <c r="L74" s="110"/>
      <c r="M74" s="267">
        <v>59.480412371134001</v>
      </c>
      <c r="N74" s="267">
        <v>26.802890000000001</v>
      </c>
      <c r="O74" s="86"/>
      <c r="P74" s="86"/>
      <c r="Q74" s="86"/>
      <c r="R74" s="86"/>
      <c r="S74" s="86"/>
      <c r="T74" s="86"/>
      <c r="U74" s="85" t="e">
        <f t="shared" si="46"/>
        <v>#DIV/0!</v>
      </c>
      <c r="V74" s="86" t="e">
        <f t="shared" si="46"/>
        <v>#DIV/0!</v>
      </c>
      <c r="W74" s="110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0" cm="1">
        <f t="array" ref="AP74">pareto($D70:$D75,$E70:$E75,5,"rate",$AR$1,$AO71,$AO73)</f>
        <v>59.480412371134001</v>
      </c>
      <c r="AQ74" s="240" cm="1">
        <f t="array" ref="AQ74">pareto($D70:$D75,$E70:$E75,5,"dist",$AR$1,$AO71,$AO73)</f>
        <v>26.802890000000001</v>
      </c>
      <c r="AR74" s="240" cm="1">
        <f t="array" ref="AR74">pareto($M70:$M75,$N70:$N75,5,"rate",$AR$1,$AO71,$AO73)</f>
        <v>59.480412371134001</v>
      </c>
      <c r="AS74" s="240" cm="1">
        <f t="array" ref="AS74">pareto($M70:$M75,$N70:$N75,5,"dist",$AR$1,$AO71,$AO73)</f>
        <v>26.802890000000001</v>
      </c>
    </row>
    <row r="75" spans="1:45" ht="12" customHeight="1" thickBot="1" x14ac:dyDescent="0.3">
      <c r="A75" s="74"/>
      <c r="B75" s="134"/>
      <c r="C75" s="108" t="s">
        <v>255</v>
      </c>
      <c r="D75" s="267">
        <v>35.435051546391698</v>
      </c>
      <c r="E75" s="267">
        <v>24.488962000000001</v>
      </c>
      <c r="F75" s="94"/>
      <c r="G75" s="94"/>
      <c r="H75" s="94"/>
      <c r="I75" s="94"/>
      <c r="J75" s="94"/>
      <c r="K75" s="94"/>
      <c r="L75" s="110"/>
      <c r="M75" s="267">
        <v>35.435051546391698</v>
      </c>
      <c r="N75" s="267">
        <v>24.488962000000001</v>
      </c>
      <c r="O75" s="94"/>
      <c r="P75" s="94"/>
      <c r="Q75" s="94"/>
      <c r="R75" s="94"/>
      <c r="S75" s="94"/>
      <c r="T75" s="94"/>
      <c r="U75" s="85" t="e">
        <f t="shared" si="46"/>
        <v>#DIV/0!</v>
      </c>
      <c r="V75" s="86" t="e">
        <f t="shared" si="46"/>
        <v>#DIV/0!</v>
      </c>
      <c r="W75" s="110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0" cm="1">
        <f t="array" ref="AP75">pareto($D70:$D75,$E70:$E75,6,"rate",$AR$1,$AO71,$AO73)</f>
        <v>35.435051546391698</v>
      </c>
      <c r="AQ75" s="240" cm="1">
        <f t="array" ref="AQ75">pareto($D70:$D75,$E70:$E75,6,"dist",$AR$1,$AO71,$AO73)</f>
        <v>24.488962000000001</v>
      </c>
      <c r="AR75" s="240" cm="1">
        <f t="array" ref="AR75">pareto($M70:$M75,$N70:$N75,6,"rate",$AR$1,$AO71,$AO73)</f>
        <v>35.435051546391698</v>
      </c>
      <c r="AS75" s="240" cm="1">
        <f t="array" ref="AS75">pareto($M70:$M75,$N70:$N75,6,"dist",$AR$1,$AO71,$AO73)</f>
        <v>24.488962000000001</v>
      </c>
    </row>
    <row r="76" spans="1:45" ht="12" customHeight="1" x14ac:dyDescent="0.25">
      <c r="A76" s="74"/>
      <c r="B76" s="132" t="s">
        <v>88</v>
      </c>
      <c r="C76" s="106" t="s">
        <v>250</v>
      </c>
      <c r="D76" s="267">
        <v>408.29538461538402</v>
      </c>
      <c r="E76" s="267">
        <v>41.612127000000001</v>
      </c>
      <c r="F76" s="83"/>
      <c r="G76" s="83"/>
      <c r="H76" s="83"/>
      <c r="I76" s="83"/>
      <c r="J76" s="83"/>
      <c r="K76" s="83"/>
      <c r="L76" s="110"/>
      <c r="M76" s="267">
        <v>408.29538461538402</v>
      </c>
      <c r="N76" s="267">
        <v>41.612127000000001</v>
      </c>
      <c r="O76" s="83"/>
      <c r="P76" s="83"/>
      <c r="Q76" s="83"/>
      <c r="R76" s="83"/>
      <c r="S76" s="83"/>
      <c r="T76" s="83"/>
      <c r="U76" s="85" t="e">
        <f t="shared" si="46"/>
        <v>#DIV/0!</v>
      </c>
      <c r="V76" s="86" t="e">
        <f t="shared" si="46"/>
        <v>#DIV/0!</v>
      </c>
      <c r="W76" s="110"/>
      <c r="X76" s="122">
        <f>bdRateExtend($D76:$D81,$E76:$E81,$M76:$M81,$N76:$N81)</f>
        <v>0</v>
      </c>
      <c r="Y76" s="14">
        <f t="shared" ref="Y76" si="57">bdRateExtend($D76:$D80,$E76:$E80,$M76:$M80,$N76:$N80)</f>
        <v>0</v>
      </c>
      <c r="Z76" s="14">
        <f t="shared" ref="Z76" si="58">bdRateExtend($D77:$D81,$E77:$E81,$M77:$M81,$N77:$N81)</f>
        <v>0</v>
      </c>
      <c r="AA76" s="14">
        <f>bdRateExtend($D76:$D79,$E76:$E79,$M76:$M79,$N76:$N79)</f>
        <v>0</v>
      </c>
      <c r="AB76" s="14">
        <f>bdRateExtend($D77:$D80,$E77:$E80,$M77:$M80,$N77:$N80)</f>
        <v>0</v>
      </c>
      <c r="AC76" s="14">
        <f>bdRateExtend($D78:$D81,$E78:$E81,$M78:$M81,$N78:$N81)</f>
        <v>0</v>
      </c>
      <c r="AD76" s="34" cm="1">
        <f t="array" ref="AD76">bdRatePareto(AP76:AP81,AQ76:AQ81,AR76:AR81,AS76:AS81)</f>
        <v>0</v>
      </c>
      <c r="AE76" s="14" t="e">
        <f>bdRateExtend($D76:$D81,F76:F81,$M76:$M81,O76:O81)</f>
        <v>#VALUE!</v>
      </c>
      <c r="AF76" s="14" t="e">
        <f>bdRateExtend($D76:$D81,G76:G81,$M76:$M81,P76:P81)</f>
        <v>#VALUE!</v>
      </c>
      <c r="AG76" s="15" t="e">
        <f>bdRateExtend($D76:$D81,H76:H81,$M76:$M81,Q76:Q81)</f>
        <v>#VALUE!</v>
      </c>
      <c r="AH76" s="72">
        <f>bdPSNRExtend($D76:$D81,$E76:$E81,$M76:$M81,$N76:$N81)</f>
        <v>0</v>
      </c>
      <c r="AO76" s="240" t="s">
        <v>213</v>
      </c>
      <c r="AP76" s="240" cm="1">
        <f t="array" ref="AP76">pareto($D76:$D81,$E76:$E81,1,"rate",$AR$1,$AO77,$AO79)</f>
        <v>408.29538461538402</v>
      </c>
      <c r="AQ76" s="240" cm="1">
        <f t="array" ref="AQ76">pareto($D76:$D81,$E76:$E81,1,"dist",$AR$1,$AO77,$AO79)</f>
        <v>41.612127000000001</v>
      </c>
      <c r="AR76" s="240" cm="1">
        <f t="array" ref="AR76">pareto($M76:$M81,$N76:$N81,1,"rate",$AR$1,$AO77,$AO79)</f>
        <v>408.29538461538402</v>
      </c>
      <c r="AS76" s="240" cm="1">
        <f t="array" ref="AS76">pareto($M76:$M81,$N76:$N81,1,"dist",$AR$1,$AO77,$AO79)</f>
        <v>41.612127000000001</v>
      </c>
    </row>
    <row r="77" spans="1:45" ht="12" customHeight="1" x14ac:dyDescent="0.25">
      <c r="A77" s="74"/>
      <c r="B77" s="133"/>
      <c r="C77" s="107" t="s">
        <v>251</v>
      </c>
      <c r="D77" s="267">
        <v>226.86646153846101</v>
      </c>
      <c r="E77" s="267">
        <v>40.180706000000001</v>
      </c>
      <c r="F77" s="86"/>
      <c r="G77" s="86"/>
      <c r="H77" s="86"/>
      <c r="I77" s="86"/>
      <c r="J77" s="86"/>
      <c r="K77" s="86"/>
      <c r="L77" s="110"/>
      <c r="M77" s="267">
        <v>226.86646153846101</v>
      </c>
      <c r="N77" s="267">
        <v>40.180706000000001</v>
      </c>
      <c r="O77" s="86"/>
      <c r="P77" s="86"/>
      <c r="Q77" s="86"/>
      <c r="R77" s="86"/>
      <c r="S77" s="86"/>
      <c r="T77" s="86"/>
      <c r="U77" s="85" t="e">
        <f t="shared" si="46"/>
        <v>#DIV/0!</v>
      </c>
      <c r="V77" s="86" t="e">
        <f t="shared" si="46"/>
        <v>#DIV/0!</v>
      </c>
      <c r="W77" s="110"/>
      <c r="X77" s="89"/>
      <c r="Y77" s="90"/>
      <c r="Z77" s="90"/>
      <c r="AA77" s="90"/>
      <c r="AB77" s="90"/>
      <c r="AC77" s="90"/>
      <c r="AD77" s="90"/>
      <c r="AE77" s="90"/>
      <c r="AF77" s="90"/>
      <c r="AG77" s="91"/>
      <c r="AH77" s="110"/>
      <c r="AO77" s="240">
        <v>49.804110999999999</v>
      </c>
      <c r="AP77" s="240" cm="1">
        <f t="array" ref="AP77">pareto($D76:$D81,$E76:$E81,2,"rate",$AR$1,$AO77,$AO79)</f>
        <v>226.86646153846101</v>
      </c>
      <c r="AQ77" s="240" cm="1">
        <f t="array" ref="AQ77">pareto($D76:$D81,$E76:$E81,2,"dist",$AR$1,$AO77,$AO79)</f>
        <v>40.180706000000001</v>
      </c>
      <c r="AR77" s="240" cm="1">
        <f t="array" ref="AR77">pareto($M76:$M81,$N76:$N81,2,"rate",$AR$1,$AO77,$AO79)</f>
        <v>226.86646153846101</v>
      </c>
      <c r="AS77" s="240" cm="1">
        <f t="array" ref="AS77">pareto($M76:$M81,$N76:$N81,2,"dist",$AR$1,$AO77,$AO79)</f>
        <v>40.180706000000001</v>
      </c>
    </row>
    <row r="78" spans="1:45" ht="12" customHeight="1" x14ac:dyDescent="0.25">
      <c r="A78" s="74"/>
      <c r="B78" s="133"/>
      <c r="C78" s="107" t="s">
        <v>252</v>
      </c>
      <c r="D78" s="267">
        <v>129.179076923076</v>
      </c>
      <c r="E78" s="267">
        <v>37.709249</v>
      </c>
      <c r="F78" s="86"/>
      <c r="G78" s="86"/>
      <c r="H78" s="86"/>
      <c r="I78" s="86"/>
      <c r="J78" s="86"/>
      <c r="K78" s="86"/>
      <c r="L78" s="110"/>
      <c r="M78" s="267">
        <v>129.179076923076</v>
      </c>
      <c r="N78" s="267">
        <v>37.709249</v>
      </c>
      <c r="O78" s="86"/>
      <c r="P78" s="86"/>
      <c r="Q78" s="86"/>
      <c r="R78" s="86"/>
      <c r="S78" s="86"/>
      <c r="T78" s="86"/>
      <c r="U78" s="85" t="e">
        <f t="shared" si="46"/>
        <v>#DIV/0!</v>
      </c>
      <c r="V78" s="86" t="e">
        <f t="shared" si="46"/>
        <v>#DIV/0!</v>
      </c>
      <c r="W78" s="110"/>
      <c r="X78" s="89"/>
      <c r="Y78" s="90"/>
      <c r="Z78" s="90"/>
      <c r="AA78" s="90"/>
      <c r="AB78" s="90"/>
      <c r="AC78" s="90"/>
      <c r="AD78" s="90"/>
      <c r="AE78" s="90"/>
      <c r="AF78" s="90"/>
      <c r="AG78" s="91"/>
      <c r="AH78" s="110"/>
      <c r="AO78" s="240" t="s">
        <v>44</v>
      </c>
      <c r="AP78" s="240" cm="1">
        <f t="array" ref="AP78">pareto($D76:$D81,$E76:$E81,3,"rate",$AR$1,$AO77,$AO79)</f>
        <v>129.179076923076</v>
      </c>
      <c r="AQ78" s="240" cm="1">
        <f t="array" ref="AQ78">pareto($D76:$D81,$E76:$E81,3,"dist",$AR$1,$AO77,$AO79)</f>
        <v>37.709249</v>
      </c>
      <c r="AR78" s="240" cm="1">
        <f t="array" ref="AR78">pareto($M76:$M81,$N76:$N81,3,"rate",$AR$1,$AO77,$AO79)</f>
        <v>129.179076923076</v>
      </c>
      <c r="AS78" s="240" cm="1">
        <f t="array" ref="AS78">pareto($M76:$M81,$N76:$N81,3,"dist",$AR$1,$AO77,$AO79)</f>
        <v>37.709249</v>
      </c>
    </row>
    <row r="79" spans="1:45" ht="12" customHeight="1" x14ac:dyDescent="0.25">
      <c r="A79" s="74"/>
      <c r="B79" s="133"/>
      <c r="C79" s="107" t="s">
        <v>253</v>
      </c>
      <c r="D79" s="267">
        <v>75.548307692307702</v>
      </c>
      <c r="E79" s="267">
        <v>29.337112000000001</v>
      </c>
      <c r="F79" s="86"/>
      <c r="G79" s="86"/>
      <c r="H79" s="86"/>
      <c r="I79" s="86"/>
      <c r="J79" s="86"/>
      <c r="K79" s="86"/>
      <c r="L79" s="110"/>
      <c r="M79" s="267">
        <v>75.548307692307702</v>
      </c>
      <c r="N79" s="267">
        <v>29.337112000000001</v>
      </c>
      <c r="O79" s="86"/>
      <c r="P79" s="86"/>
      <c r="Q79" s="86"/>
      <c r="R79" s="86"/>
      <c r="S79" s="86"/>
      <c r="T79" s="86"/>
      <c r="U79" s="85" t="e">
        <f t="shared" si="46"/>
        <v>#DIV/0!</v>
      </c>
      <c r="V79" s="86" t="e">
        <f t="shared" si="46"/>
        <v>#DIV/0!</v>
      </c>
      <c r="W79" s="110"/>
      <c r="X79" s="89"/>
      <c r="Y79" s="90"/>
      <c r="Z79" s="90"/>
      <c r="AA79" s="90"/>
      <c r="AB79" s="90"/>
      <c r="AC79" s="90"/>
      <c r="AD79" s="90"/>
      <c r="AE79" s="90"/>
      <c r="AF79" s="90"/>
      <c r="AG79" s="91"/>
      <c r="AH79" s="110"/>
      <c r="AO79" s="240">
        <v>20</v>
      </c>
      <c r="AP79" s="240" cm="1">
        <f t="array" ref="AP79">pareto($D76:$D81,$E76:$E81,4,"rate",$AR$1,$AO77,$AO79)</f>
        <v>75.548307692307702</v>
      </c>
      <c r="AQ79" s="240" cm="1">
        <f t="array" ref="AQ79">pareto($D76:$D81,$E76:$E81,4,"dist",$AR$1,$AO77,$AO79)</f>
        <v>29.337112000000001</v>
      </c>
      <c r="AR79" s="240" cm="1">
        <f t="array" ref="AR79">pareto($M76:$M81,$N76:$N81,4,"rate",$AR$1,$AO77,$AO79)</f>
        <v>75.548307692307702</v>
      </c>
      <c r="AS79" s="240" cm="1">
        <f t="array" ref="AS79">pareto($M76:$M81,$N76:$N81,4,"dist",$AR$1,$AO77,$AO79)</f>
        <v>29.337112000000001</v>
      </c>
    </row>
    <row r="80" spans="1:45" ht="12" customHeight="1" x14ac:dyDescent="0.25">
      <c r="A80" s="74"/>
      <c r="B80" s="133"/>
      <c r="C80" s="107" t="s">
        <v>254</v>
      </c>
      <c r="D80" s="267">
        <v>44.957538461538398</v>
      </c>
      <c r="E80" s="267">
        <v>22.407547999999998</v>
      </c>
      <c r="F80" s="86"/>
      <c r="G80" s="86"/>
      <c r="H80" s="86"/>
      <c r="I80" s="86"/>
      <c r="J80" s="86"/>
      <c r="K80" s="86"/>
      <c r="L80" s="110"/>
      <c r="M80" s="267">
        <v>44.957538461538398</v>
      </c>
      <c r="N80" s="267">
        <v>22.407547999999998</v>
      </c>
      <c r="O80" s="86"/>
      <c r="P80" s="86"/>
      <c r="Q80" s="86"/>
      <c r="R80" s="86"/>
      <c r="S80" s="86"/>
      <c r="T80" s="86"/>
      <c r="U80" s="85" t="e">
        <f t="shared" si="46"/>
        <v>#DIV/0!</v>
      </c>
      <c r="V80" s="86" t="e">
        <f t="shared" si="46"/>
        <v>#DIV/0!</v>
      </c>
      <c r="W80" s="110"/>
      <c r="X80" s="89"/>
      <c r="Y80" s="90"/>
      <c r="Z80" s="90"/>
      <c r="AA80" s="90"/>
      <c r="AB80" s="90"/>
      <c r="AC80" s="90"/>
      <c r="AD80" s="90"/>
      <c r="AE80" s="90"/>
      <c r="AF80" s="90"/>
      <c r="AG80" s="91"/>
      <c r="AH80" s="110"/>
      <c r="AP80" s="240" cm="1">
        <f t="array" ref="AP80">pareto($D76:$D81,$E76:$E81,5,"rate",$AR$1,$AO77,$AO79)</f>
        <v>44.957538461538398</v>
      </c>
      <c r="AQ80" s="240" cm="1">
        <f t="array" ref="AQ80">pareto($D76:$D81,$E76:$E81,5,"dist",$AR$1,$AO77,$AO79)</f>
        <v>22.407547999999998</v>
      </c>
      <c r="AR80" s="240" cm="1">
        <f t="array" ref="AR80">pareto($M76:$M81,$N76:$N81,5,"rate",$AR$1,$AO77,$AO79)</f>
        <v>44.957538461538398</v>
      </c>
      <c r="AS80" s="240" cm="1">
        <f t="array" ref="AS80">pareto($M76:$M81,$N76:$N81,5,"dist",$AR$1,$AO77,$AO79)</f>
        <v>22.407547999999998</v>
      </c>
    </row>
    <row r="81" spans="1:47" ht="12" customHeight="1" thickBot="1" x14ac:dyDescent="0.3">
      <c r="A81" s="92"/>
      <c r="B81" s="134"/>
      <c r="C81" s="108" t="s">
        <v>255</v>
      </c>
      <c r="D81" s="267">
        <v>27.094153846153802</v>
      </c>
      <c r="E81" s="267">
        <v>12.940504000000001</v>
      </c>
      <c r="F81" s="94"/>
      <c r="G81" s="94"/>
      <c r="H81" s="94"/>
      <c r="I81" s="94"/>
      <c r="J81" s="94"/>
      <c r="K81" s="94"/>
      <c r="L81" s="111"/>
      <c r="M81" s="267">
        <v>27.094153846153802</v>
      </c>
      <c r="N81" s="267">
        <v>12.940504000000001</v>
      </c>
      <c r="O81" s="94"/>
      <c r="P81" s="94"/>
      <c r="Q81" s="94"/>
      <c r="R81" s="94"/>
      <c r="S81" s="94"/>
      <c r="T81" s="94"/>
      <c r="U81" s="93" t="e">
        <f t="shared" si="46"/>
        <v>#DIV/0!</v>
      </c>
      <c r="V81" s="94" t="e">
        <f t="shared" si="46"/>
        <v>#DIV/0!</v>
      </c>
      <c r="W81" s="111"/>
      <c r="X81" s="95"/>
      <c r="Y81" s="96"/>
      <c r="Z81" s="96"/>
      <c r="AA81" s="96"/>
      <c r="AB81" s="96"/>
      <c r="AC81" s="96"/>
      <c r="AD81" s="96"/>
      <c r="AE81" s="96"/>
      <c r="AF81" s="96"/>
      <c r="AG81" s="97"/>
      <c r="AH81" s="111"/>
      <c r="AP81" s="240" cm="1">
        <f t="array" ref="AP81">pareto($D76:$D81,$E76:$E81,6,"rate",$AR$1,$AO77,$AO79)</f>
        <v>27.094153846153802</v>
      </c>
      <c r="AQ81" s="240" cm="1">
        <f t="array" ref="AQ81">pareto($D76:$D81,$E76:$E81,6,"dist",$AR$1,$AO77,$AO79)</f>
        <v>12.940504000000001</v>
      </c>
      <c r="AR81" s="240" cm="1">
        <f t="array" ref="AR81">pareto($M76:$M81,$N76:$N81,6,"rate",$AR$1,$AO77,$AO79)</f>
        <v>27.094153846153802</v>
      </c>
      <c r="AS81" s="240" cm="1">
        <f t="array" ref="AS81">pareto($M76:$M81,$N76:$N81,6,"dist",$AR$1,$AO77,$AO79)</f>
        <v>12.940504000000001</v>
      </c>
    </row>
    <row r="82" spans="1:47" ht="12" customHeight="1" x14ac:dyDescent="0.25">
      <c r="A82" s="81" t="s">
        <v>222</v>
      </c>
      <c r="B82" s="132" t="s">
        <v>223</v>
      </c>
      <c r="C82" s="106" t="s">
        <v>250</v>
      </c>
      <c r="D82" s="82"/>
      <c r="E82" s="137"/>
      <c r="F82" s="83"/>
      <c r="G82" s="83"/>
      <c r="H82" s="83"/>
      <c r="I82" s="83"/>
      <c r="J82" s="83"/>
      <c r="K82" s="83"/>
      <c r="L82" s="110"/>
      <c r="M82" s="82"/>
      <c r="N82" s="137"/>
      <c r="O82" s="83"/>
      <c r="P82" s="83"/>
      <c r="Q82" s="83"/>
      <c r="R82" s="83"/>
      <c r="S82" s="83"/>
      <c r="T82" s="83"/>
      <c r="U82" s="82" t="e">
        <f t="shared" ref="U82:V93" si="59">S82/J82</f>
        <v>#DIV/0!</v>
      </c>
      <c r="V82" s="84" t="e">
        <f t="shared" si="59"/>
        <v>#DIV/0!</v>
      </c>
      <c r="W82" s="127"/>
      <c r="X82" s="122" t="e">
        <f>bdRateExtend($D82:$D87,$E82:$E87,$M82:$M87,$N82:$N87)</f>
        <v>#VALUE!</v>
      </c>
      <c r="Y82" s="14" t="e">
        <f>bdRateExtend($D82:$D86,$E82:$E86,$M82:$M86,$N82:$N86)</f>
        <v>#VALUE!</v>
      </c>
      <c r="Z82" s="14" t="e">
        <f>bdRateExtend($D83:$D87,$E83:$E87,$M83:$M87,$N83:$N87)</f>
        <v>#VALUE!</v>
      </c>
      <c r="AA82" s="14" t="e">
        <f>bdRateExtend($D82:$D85,$E82:$E85,$M82:$M85,$N82:$N85)</f>
        <v>#VALUE!</v>
      </c>
      <c r="AB82" s="14" t="e">
        <f>bdRateExtend($D83:$D86,$E83:$E86,$M83:$M86,$N83:$N86)</f>
        <v>#VALUE!</v>
      </c>
      <c r="AC82" s="14" t="e">
        <f>bdRateExtend($D84:$D87,$E84:$E87,$M84:$M87,$N84:$N87)</f>
        <v>#VALUE!</v>
      </c>
      <c r="AD82" s="34" t="e" cm="1">
        <f t="array" ref="AD82">bdRatePareto(AP82:AP87,AQ82:AQ87,AR82:AR87,AS82:AS87)</f>
        <v>#VALUE!</v>
      </c>
      <c r="AE82" s="14" t="e">
        <f>bdRateExtend($D82:$D87,F82:F87,$M82:$M87,O82:O87)</f>
        <v>#VALUE!</v>
      </c>
      <c r="AF82" s="14" t="e">
        <f>bdRateExtend($D82:$D87,G82:G87,$M82:$M87,P82:P87)</f>
        <v>#VALUE!</v>
      </c>
      <c r="AG82" s="15" t="e">
        <f>bdRateExtend($D82:$D87,H82:H87,$M82:$M87,Q82:Q87)</f>
        <v>#VALUE!</v>
      </c>
      <c r="AH82" s="129" t="e">
        <f>bdPSNRExtend($D82:$D87,$E82:$E87,$M82:$M87,$N82:$N87)</f>
        <v>#VALUE!</v>
      </c>
      <c r="AO82" s="240" t="s">
        <v>213</v>
      </c>
      <c r="AP82" s="240" t="e" cm="1">
        <f t="array" ref="AP82">pareto($D82:$D87,$E82:$E87,1,"rate",$AR$1,$AO83,$AO85)</f>
        <v>#N/A</v>
      </c>
      <c r="AQ82" s="240" t="e" cm="1">
        <f t="array" ref="AQ82">pareto($D82:$D87,$E82:$E87,1,"dist",$AR$1,$AO83,$AO85)</f>
        <v>#N/A</v>
      </c>
      <c r="AR82" s="240" t="e" cm="1">
        <f t="array" ref="AR82">pareto($M82:$M87,$N82:$N87,1,"rate",$AR$1,$AO83,$AO85)</f>
        <v>#N/A</v>
      </c>
      <c r="AS82" s="240" t="e" cm="1">
        <f t="array" ref="AS82">pareto($M82:$M87,$N82:$N87,1,"dist",$AR$1,$AO83,$AO85)</f>
        <v>#N/A</v>
      </c>
      <c r="AT82" s="1"/>
      <c r="AU82" s="243"/>
    </row>
    <row r="83" spans="1:47" ht="12" customHeight="1" x14ac:dyDescent="0.25">
      <c r="A83" s="136"/>
      <c r="B83" s="133"/>
      <c r="C83" s="107" t="s">
        <v>251</v>
      </c>
      <c r="D83" s="85"/>
      <c r="E83" s="138"/>
      <c r="F83" s="86"/>
      <c r="G83" s="86"/>
      <c r="H83" s="86"/>
      <c r="I83" s="86"/>
      <c r="J83" s="86"/>
      <c r="K83" s="86"/>
      <c r="L83" s="110"/>
      <c r="M83" s="85"/>
      <c r="N83" s="138"/>
      <c r="O83" s="86"/>
      <c r="P83" s="86"/>
      <c r="Q83" s="86"/>
      <c r="R83" s="86"/>
      <c r="S83" s="86"/>
      <c r="T83" s="86"/>
      <c r="U83" s="85" t="e">
        <f t="shared" si="59"/>
        <v>#DIV/0!</v>
      </c>
      <c r="V83" s="87" t="e">
        <f t="shared" si="59"/>
        <v>#DIV/0!</v>
      </c>
      <c r="W83" s="128"/>
      <c r="X83" s="89"/>
      <c r="Y83" s="90"/>
      <c r="Z83" s="90"/>
      <c r="AA83" s="90"/>
      <c r="AB83" s="90"/>
      <c r="AC83" s="90"/>
      <c r="AD83" s="90"/>
      <c r="AE83" s="90"/>
      <c r="AF83" s="90"/>
      <c r="AG83" s="91"/>
      <c r="AH83" s="130"/>
      <c r="AO83" s="240">
        <v>77.041349999999994</v>
      </c>
      <c r="AP83" s="240" t="e" cm="1">
        <f t="array" ref="AP83">pareto($D82:$D87,$E82:$E87,2,"rate",$AR$1,$AO83,$AO85)</f>
        <v>#N/A</v>
      </c>
      <c r="AQ83" s="240" t="e" cm="1">
        <f t="array" ref="AQ83">pareto($D82:$D87,$E82:$E87,2,"dist",$AR$1,$AO83,$AO85)</f>
        <v>#N/A</v>
      </c>
      <c r="AR83" s="240" t="e" cm="1">
        <f t="array" ref="AR83">pareto($M82:$M87,$N82:$N87,2,"rate",$AR$1,$AO83,$AO85)</f>
        <v>#N/A</v>
      </c>
      <c r="AS83" s="240" t="e" cm="1">
        <f t="array" ref="AS83">pareto($M82:$M87,$N82:$N87,2,"dist",$AR$1,$AO83,$AO85)</f>
        <v>#N/A</v>
      </c>
      <c r="AT83" s="1"/>
      <c r="AU83" s="244"/>
    </row>
    <row r="84" spans="1:47" ht="12" customHeight="1" x14ac:dyDescent="0.25">
      <c r="A84" s="74"/>
      <c r="B84" s="133"/>
      <c r="C84" s="107" t="s">
        <v>252</v>
      </c>
      <c r="D84" s="85"/>
      <c r="E84" s="138"/>
      <c r="F84" s="86"/>
      <c r="G84" s="86"/>
      <c r="H84" s="86"/>
      <c r="I84" s="86"/>
      <c r="J84" s="86"/>
      <c r="K84" s="86"/>
      <c r="L84" s="110"/>
      <c r="M84" s="85"/>
      <c r="N84" s="138"/>
      <c r="O84" s="86"/>
      <c r="P84" s="86"/>
      <c r="Q84" s="86"/>
      <c r="R84" s="86"/>
      <c r="S84" s="86"/>
      <c r="T84" s="86"/>
      <c r="U84" s="85" t="e">
        <f t="shared" si="59"/>
        <v>#DIV/0!</v>
      </c>
      <c r="V84" s="87" t="e">
        <f t="shared" si="59"/>
        <v>#DIV/0!</v>
      </c>
      <c r="W84" s="128"/>
      <c r="X84" s="89"/>
      <c r="Y84" s="90"/>
      <c r="Z84" s="90"/>
      <c r="AA84" s="90"/>
      <c r="AB84" s="90"/>
      <c r="AC84" s="90"/>
      <c r="AD84" s="90"/>
      <c r="AE84" s="90"/>
      <c r="AF84" s="90"/>
      <c r="AG84" s="91"/>
      <c r="AH84" s="130"/>
      <c r="AO84" s="240" t="s">
        <v>44</v>
      </c>
      <c r="AP84" s="240" t="e" cm="1">
        <f t="array" ref="AP84">pareto($D82:$D87,$E82:$E87,3,"rate",$AR$1,$AO83,$AO85)</f>
        <v>#N/A</v>
      </c>
      <c r="AQ84" s="240" t="e" cm="1">
        <f t="array" ref="AQ84">pareto($D82:$D87,$E82:$E87,3,"dist",$AR$1,$AO83,$AO85)</f>
        <v>#N/A</v>
      </c>
      <c r="AR84" s="240" t="e" cm="1">
        <f t="array" ref="AR84">pareto($M82:$M87,$N82:$N87,3,"rate",$AR$1,$AO83,$AO85)</f>
        <v>#N/A</v>
      </c>
      <c r="AS84" s="240" t="e" cm="1">
        <f t="array" ref="AS84">pareto($M82:$M87,$N82:$N87,3,"dist",$AR$1,$AO83,$AO85)</f>
        <v>#N/A</v>
      </c>
      <c r="AT84" s="1"/>
      <c r="AU84" s="244"/>
    </row>
    <row r="85" spans="1:47" ht="12" customHeight="1" x14ac:dyDescent="0.25">
      <c r="A85" s="74"/>
      <c r="B85" s="133"/>
      <c r="C85" s="107" t="s">
        <v>253</v>
      </c>
      <c r="D85" s="85"/>
      <c r="E85" s="138"/>
      <c r="F85" s="86"/>
      <c r="G85" s="86"/>
      <c r="H85" s="86"/>
      <c r="I85" s="86"/>
      <c r="J85" s="86"/>
      <c r="K85" s="86"/>
      <c r="L85" s="110"/>
      <c r="M85" s="85"/>
      <c r="N85" s="138"/>
      <c r="O85" s="86"/>
      <c r="P85" s="86"/>
      <c r="Q85" s="86"/>
      <c r="R85" s="86"/>
      <c r="S85" s="86"/>
      <c r="T85" s="86"/>
      <c r="U85" s="85" t="e">
        <f t="shared" si="59"/>
        <v>#DIV/0!</v>
      </c>
      <c r="V85" s="87" t="e">
        <f t="shared" si="59"/>
        <v>#DIV/0!</v>
      </c>
      <c r="W85" s="128"/>
      <c r="X85" s="89"/>
      <c r="Y85" s="90"/>
      <c r="Z85" s="90"/>
      <c r="AA85" s="90"/>
      <c r="AB85" s="90"/>
      <c r="AC85" s="90"/>
      <c r="AD85" s="90"/>
      <c r="AE85" s="90"/>
      <c r="AF85" s="90"/>
      <c r="AG85" s="91"/>
      <c r="AH85" s="130"/>
      <c r="AO85" s="240">
        <v>20</v>
      </c>
      <c r="AP85" s="240" t="e" cm="1">
        <f t="array" ref="AP85">pareto($D82:$D87,$E82:$E87,4,"rate",$AR$1,$AO83,$AO85)</f>
        <v>#N/A</v>
      </c>
      <c r="AQ85" s="240" t="e" cm="1">
        <f t="array" ref="AQ85">pareto($D82:$D87,$E82:$E87,4,"dist",$AR$1,$AO83,$AO85)</f>
        <v>#N/A</v>
      </c>
      <c r="AR85" s="240" t="e" cm="1">
        <f t="array" ref="AR85">pareto($M82:$M87,$N82:$N87,4,"rate",$AR$1,$AO83,$AO85)</f>
        <v>#N/A</v>
      </c>
      <c r="AS85" s="240" t="e" cm="1">
        <f t="array" ref="AS85">pareto($M82:$M87,$N82:$N87,4,"dist",$AR$1,$AO83,$AO85)</f>
        <v>#N/A</v>
      </c>
      <c r="AT85" s="1"/>
      <c r="AU85" s="244"/>
    </row>
    <row r="86" spans="1:47" ht="12" customHeight="1" x14ac:dyDescent="0.25">
      <c r="A86" s="74"/>
      <c r="B86" s="133"/>
      <c r="C86" s="107" t="s">
        <v>254</v>
      </c>
      <c r="D86" s="85"/>
      <c r="E86" s="138"/>
      <c r="F86" s="86"/>
      <c r="G86" s="86"/>
      <c r="H86" s="86"/>
      <c r="I86" s="86"/>
      <c r="J86" s="86"/>
      <c r="K86" s="86"/>
      <c r="L86" s="110"/>
      <c r="M86" s="85"/>
      <c r="N86" s="138"/>
      <c r="O86" s="86"/>
      <c r="P86" s="86"/>
      <c r="Q86" s="86"/>
      <c r="R86" s="86"/>
      <c r="S86" s="86"/>
      <c r="T86" s="86"/>
      <c r="U86" s="85" t="e">
        <f t="shared" si="59"/>
        <v>#DIV/0!</v>
      </c>
      <c r="V86" s="87" t="e">
        <f t="shared" si="59"/>
        <v>#DIV/0!</v>
      </c>
      <c r="W86" s="128"/>
      <c r="X86" s="89"/>
      <c r="Y86" s="90"/>
      <c r="Z86" s="90"/>
      <c r="AA86" s="90"/>
      <c r="AB86" s="90"/>
      <c r="AC86" s="90"/>
      <c r="AD86" s="90"/>
      <c r="AE86" s="90"/>
      <c r="AF86" s="90"/>
      <c r="AG86" s="91"/>
      <c r="AH86" s="130"/>
      <c r="AO86" s="240"/>
      <c r="AP86" s="240" t="e" cm="1">
        <f t="array" ref="AP86">pareto($D82:$D87,$E82:$E87,5,"rate",$AR$1,$AO83,$AO85)</f>
        <v>#N/A</v>
      </c>
      <c r="AQ86" s="240" t="e" cm="1">
        <f t="array" ref="AQ86">pareto($D82:$D87,$E82:$E87,5,"dist",$AR$1,$AO83,$AO85)</f>
        <v>#N/A</v>
      </c>
      <c r="AR86" s="240" t="e" cm="1">
        <f t="array" ref="AR86">pareto($M82:$M87,$N82:$N87,5,"rate",$AR$1,$AO83,$AO85)</f>
        <v>#N/A</v>
      </c>
      <c r="AS86" s="240" t="e" cm="1">
        <f t="array" ref="AS86">pareto($M82:$M87,$N82:$N87,5,"dist",$AR$1,$AO83,$AO85)</f>
        <v>#N/A</v>
      </c>
      <c r="AT86" s="240"/>
      <c r="AU86" s="240"/>
    </row>
    <row r="87" spans="1:47" ht="12" customHeight="1" thickBot="1" x14ac:dyDescent="0.3">
      <c r="A87" s="92"/>
      <c r="B87" s="134"/>
      <c r="C87" s="108" t="s">
        <v>255</v>
      </c>
      <c r="D87" s="93"/>
      <c r="E87" s="269"/>
      <c r="F87" s="94"/>
      <c r="G87" s="94"/>
      <c r="H87" s="94"/>
      <c r="I87" s="94"/>
      <c r="J87" s="94"/>
      <c r="K87" s="94"/>
      <c r="L87" s="111"/>
      <c r="M87" s="93"/>
      <c r="N87" s="269"/>
      <c r="O87" s="94"/>
      <c r="P87" s="94"/>
      <c r="Q87" s="94"/>
      <c r="R87" s="94"/>
      <c r="S87" s="94"/>
      <c r="T87" s="94"/>
      <c r="U87" s="93" t="e">
        <f t="shared" si="59"/>
        <v>#DIV/0!</v>
      </c>
      <c r="V87" s="252" t="e">
        <f t="shared" si="59"/>
        <v>#DIV/0!</v>
      </c>
      <c r="W87" s="128"/>
      <c r="X87" s="95"/>
      <c r="Y87" s="96"/>
      <c r="Z87" s="96"/>
      <c r="AA87" s="96"/>
      <c r="AB87" s="96"/>
      <c r="AC87" s="96"/>
      <c r="AD87" s="96"/>
      <c r="AE87" s="96"/>
      <c r="AF87" s="96"/>
      <c r="AG87" s="97"/>
      <c r="AH87" s="131"/>
      <c r="AO87" s="240"/>
      <c r="AP87" s="240" t="e" cm="1">
        <f t="array" ref="AP87">pareto($D82:$D87,$E82:$E87,6,"rate",$AR$1,$AO83,$AO85)</f>
        <v>#N/A</v>
      </c>
      <c r="AQ87" s="240" t="e" cm="1">
        <f t="array" ref="AQ87">pareto($D82:$D87,$E82:$E87,6,"dist",$AR$1,$AO83,$AO85)</f>
        <v>#N/A</v>
      </c>
      <c r="AR87" s="240" t="e" cm="1">
        <f t="array" ref="AR87">pareto($M82:$M87,$N82:$N87,6,"rate",$AR$1,$AO83,$AO85)</f>
        <v>#N/A</v>
      </c>
      <c r="AS87" s="240" t="e" cm="1">
        <f t="array" ref="AS87">pareto($M82:$M87,$N82:$N87,6,"dist",$AR$1,$AO83,$AO85)</f>
        <v>#N/A</v>
      </c>
      <c r="AT87" s="240"/>
      <c r="AU87" s="240"/>
    </row>
    <row r="88" spans="1:47" ht="12" customHeight="1" x14ac:dyDescent="0.25">
      <c r="A88" s="81" t="s">
        <v>256</v>
      </c>
      <c r="B88" s="132"/>
      <c r="C88" s="106" t="s">
        <v>250</v>
      </c>
      <c r="D88" s="82">
        <f>AVERAGE(D4,D10,D16,D22,D28,D34,D40,D46,D52,D58,D64,D70,D76)</f>
        <v>423.94280246209303</v>
      </c>
      <c r="E88" s="270">
        <f>AVERAGE(E4,E10,E16,E22,E28,E34,E40,E46,E52,E58,E64,E70,E76)</f>
        <v>42.303458923076924</v>
      </c>
      <c r="F88" s="83"/>
      <c r="G88" s="83"/>
      <c r="H88" s="83"/>
      <c r="I88" s="83"/>
      <c r="J88" s="83"/>
      <c r="K88" s="83"/>
      <c r="L88" s="110"/>
      <c r="M88" s="82">
        <f>AVERAGE(M4,M10,M16,M22,M28,M34,M40,M46,M52,M58,M64,M70,M76)</f>
        <v>423.94280246209303</v>
      </c>
      <c r="N88" s="270">
        <f>AVERAGE(N4,N10,N16,N22,N28,N34,N40,N46,N52,N58,N64,N70,N76)</f>
        <v>42.303458923076924</v>
      </c>
      <c r="O88" s="83"/>
      <c r="P88" s="83"/>
      <c r="Q88" s="83"/>
      <c r="R88" s="83"/>
      <c r="S88" s="83"/>
      <c r="T88" s="83"/>
      <c r="U88" s="82" t="e">
        <f t="shared" si="59"/>
        <v>#DIV/0!</v>
      </c>
      <c r="V88" s="84" t="e">
        <f t="shared" si="59"/>
        <v>#DIV/0!</v>
      </c>
      <c r="W88" s="127"/>
      <c r="X88" s="122">
        <f>bdRateExtend($D88:$D93,$E88:$E93,$M88:$M93,$N88:$N93)</f>
        <v>0</v>
      </c>
      <c r="Y88" s="14">
        <f>bdRateExtend($D88:$D92,$E88:$E92,$M88:$M92,$N88:$N92)</f>
        <v>0</v>
      </c>
      <c r="Z88" s="14">
        <f>bdRateExtend($D89:$D93,$E89:$E93,$M89:$M93,$N89:$N93)</f>
        <v>0</v>
      </c>
      <c r="AA88" s="14">
        <f>bdRateExtend($D88:$D91,$E88:$E91,$M88:$M91,$N88:$N91)</f>
        <v>0</v>
      </c>
      <c r="AB88" s="14">
        <f>bdRateExtend($D89:$D92,$E89:$E92,$M89:$M92,$N89:$N92)</f>
        <v>0</v>
      </c>
      <c r="AC88" s="14">
        <f>bdRateExtend($D90:$D93,$E90:$E93,$M90:$M93,$N90:$N93)</f>
        <v>0</v>
      </c>
      <c r="AD88" s="34" cm="1">
        <f t="array" ref="AD88">bdRatePareto(AP88:AP93,AQ88:AQ93,AR88:AR93,AS88:AS93)</f>
        <v>0</v>
      </c>
      <c r="AE88" s="14" t="e">
        <f>bdRateExtend($D88:$D93,F88:F93,$M88:$M93,O88:O93)</f>
        <v>#VALUE!</v>
      </c>
      <c r="AF88" s="14" t="e">
        <f>bdRateExtend($D88:$D93,G88:G93,$M88:$M93,P88:P93)</f>
        <v>#VALUE!</v>
      </c>
      <c r="AG88" s="15" t="e">
        <f>bdRateExtend($D88:$D93,H88:H93,$M88:$M93,Q88:Q93)</f>
        <v>#VALUE!</v>
      </c>
      <c r="AH88" s="129">
        <f>bdPSNRExtend($D88:$D93,$E88:$E93,$M88:$M93,$N88:$N93)</f>
        <v>0</v>
      </c>
      <c r="AO88" s="240" t="s">
        <v>213</v>
      </c>
      <c r="AP88" s="240" cm="1">
        <f t="array" ref="AP88">pareto($D88:$D93,$E88:$E93,1,"rate",$AR$1,$AO89,$AO91)</f>
        <v>423.94280246209303</v>
      </c>
      <c r="AQ88" s="240" cm="1">
        <f t="array" ref="AQ88">pareto($D88:$D93,$E88:$E93,1,"dist",$AR$1,$AO89,$AO91)</f>
        <v>42.303458923076924</v>
      </c>
      <c r="AR88" s="240" cm="1">
        <f t="array" ref="AR88">pareto($M88:$M93,$N88:$N93,1,"rate",$AR$1,$AO89,$AO91)</f>
        <v>423.94280246209303</v>
      </c>
      <c r="AS88" s="240" cm="1">
        <f t="array" ref="AS88">pareto($M88:$M93,$N88:$N93,1,"dist",$AR$1,$AO89,$AO91)</f>
        <v>42.303458923076924</v>
      </c>
      <c r="AT88" s="1"/>
      <c r="AU88" s="243"/>
    </row>
    <row r="89" spans="1:47" ht="12" customHeight="1" x14ac:dyDescent="0.25">
      <c r="A89" s="136"/>
      <c r="B89" s="133"/>
      <c r="C89" s="107" t="s">
        <v>251</v>
      </c>
      <c r="D89" s="85">
        <f>AVERAGE(D5,D11,D17,D23,D29,D35,D41,D47,D53,D59,D65,D71,D77)</f>
        <v>242.7742607798483</v>
      </c>
      <c r="E89" s="271">
        <f t="shared" ref="E89:E93" si="60">AVERAGE(E5,E11,E17,E23,E29,E35,E41,E47,E53,E59,E65,E71,E77)</f>
        <v>39.387919384615387</v>
      </c>
      <c r="F89" s="86"/>
      <c r="G89" s="86"/>
      <c r="H89" s="86"/>
      <c r="I89" s="86"/>
      <c r="J89" s="86"/>
      <c r="K89" s="86"/>
      <c r="L89" s="110"/>
      <c r="M89" s="85">
        <f>AVERAGE(M5,M11,M17,M23,M29,M35,M41,M47,M53,M59,M65,M71,M77)</f>
        <v>242.7742607798483</v>
      </c>
      <c r="N89" s="271">
        <f>AVERAGE(N5,N11,N17,N23,N29,N35,N41,N47,N53,N59,N65,N71,N77)</f>
        <v>39.387919384615387</v>
      </c>
      <c r="O89" s="86"/>
      <c r="P89" s="86"/>
      <c r="Q89" s="86"/>
      <c r="R89" s="86"/>
      <c r="S89" s="86"/>
      <c r="T89" s="86"/>
      <c r="U89" s="85" t="e">
        <f t="shared" si="59"/>
        <v>#DIV/0!</v>
      </c>
      <c r="V89" s="87" t="e">
        <f t="shared" si="59"/>
        <v>#DIV/0!</v>
      </c>
      <c r="W89" s="128"/>
      <c r="X89" s="89"/>
      <c r="Y89" s="90"/>
      <c r="Z89" s="90"/>
      <c r="AA89" s="90"/>
      <c r="AB89" s="90"/>
      <c r="AC89" s="90"/>
      <c r="AD89" s="90"/>
      <c r="AE89" s="90"/>
      <c r="AF89" s="90"/>
      <c r="AG89" s="91"/>
      <c r="AH89" s="130"/>
      <c r="AO89" s="240">
        <v>77.041349999999994</v>
      </c>
      <c r="AP89" s="240" cm="1">
        <f t="array" ref="AP89">pareto($D88:$D93,$E88:$E93,2,"rate",$AR$1,$AO89,$AO91)</f>
        <v>242.7742607798483</v>
      </c>
      <c r="AQ89" s="240" cm="1">
        <f t="array" ref="AQ89">pareto($D88:$D93,$E88:$E93,2,"dist",$AR$1,$AO89,$AO91)</f>
        <v>39.387919384615387</v>
      </c>
      <c r="AR89" s="240" cm="1">
        <f t="array" ref="AR89">pareto($M88:$M93,$N88:$N93,2,"rate",$AR$1,$AO89,$AO91)</f>
        <v>242.7742607798483</v>
      </c>
      <c r="AS89" s="240" cm="1">
        <f t="array" ref="AS89">pareto($M88:$M93,$N88:$N93,2,"dist",$AR$1,$AO89,$AO91)</f>
        <v>39.387919384615387</v>
      </c>
      <c r="AT89" s="1"/>
      <c r="AU89" s="244"/>
    </row>
    <row r="90" spans="1:47" ht="12" customHeight="1" x14ac:dyDescent="0.25">
      <c r="A90" s="74"/>
      <c r="B90" s="133"/>
      <c r="C90" s="107" t="s">
        <v>252</v>
      </c>
      <c r="D90" s="85">
        <f>AVERAGE(D6,D12,D18,D24,D30,D36,D42,D48,D54,D60,D66,D72,D78)</f>
        <v>139.01094236247093</v>
      </c>
      <c r="E90" s="271">
        <f t="shared" si="60"/>
        <v>33.65963046153847</v>
      </c>
      <c r="F90" s="86"/>
      <c r="G90" s="86"/>
      <c r="H90" s="86"/>
      <c r="I90" s="86"/>
      <c r="J90" s="86"/>
      <c r="K90" s="86"/>
      <c r="L90" s="110"/>
      <c r="M90" s="85">
        <f t="shared" ref="M90:M93" si="61">AVERAGE(M6,M12,M18,M24,M30,M36,M42,M48,M54,M60,M66,M72,M78)</f>
        <v>139.01094236247093</v>
      </c>
      <c r="N90" s="271">
        <f>AVERAGE(N6,N12,N18,N24,N30,N36,N42,N48,N54,N60,N66,N72,N78)</f>
        <v>33.65963046153847</v>
      </c>
      <c r="O90" s="86"/>
      <c r="P90" s="86"/>
      <c r="Q90" s="86"/>
      <c r="R90" s="86"/>
      <c r="S90" s="86"/>
      <c r="T90" s="86"/>
      <c r="U90" s="85" t="e">
        <f t="shared" si="59"/>
        <v>#DIV/0!</v>
      </c>
      <c r="V90" s="87" t="e">
        <f t="shared" si="59"/>
        <v>#DIV/0!</v>
      </c>
      <c r="W90" s="128"/>
      <c r="X90" s="89"/>
      <c r="Y90" s="90"/>
      <c r="Z90" s="90"/>
      <c r="AA90" s="90"/>
      <c r="AB90" s="90"/>
      <c r="AC90" s="90"/>
      <c r="AD90" s="90"/>
      <c r="AE90" s="90"/>
      <c r="AF90" s="90"/>
      <c r="AG90" s="91"/>
      <c r="AH90" s="130"/>
      <c r="AO90" s="240" t="s">
        <v>44</v>
      </c>
      <c r="AP90" s="240" cm="1">
        <f t="array" ref="AP90">pareto($D88:$D93,$E88:$E93,3,"rate",$AR$1,$AO89,$AO91)</f>
        <v>139.01094236247093</v>
      </c>
      <c r="AQ90" s="240" cm="1">
        <f t="array" ref="AQ90">pareto($D88:$D93,$E88:$E93,3,"dist",$AR$1,$AO89,$AO91)</f>
        <v>33.65963046153847</v>
      </c>
      <c r="AR90" s="240" cm="1">
        <f t="array" ref="AR90">pareto($M88:$M93,$N88:$N93,3,"rate",$AR$1,$AO89,$AO91)</f>
        <v>139.01094236247093</v>
      </c>
      <c r="AS90" s="240" cm="1">
        <f t="array" ref="AS90">pareto($M88:$M93,$N88:$N93,3,"dist",$AR$1,$AO89,$AO91)</f>
        <v>33.65963046153847</v>
      </c>
      <c r="AT90" s="1"/>
      <c r="AU90" s="244"/>
    </row>
    <row r="91" spans="1:47" ht="12" customHeight="1" x14ac:dyDescent="0.25">
      <c r="A91" s="74"/>
      <c r="B91" s="133"/>
      <c r="C91" s="107" t="s">
        <v>253</v>
      </c>
      <c r="D91" s="85">
        <f t="shared" ref="D91:D93" si="62">AVERAGE(D7,D13,D19,D25,D31,D37,D43,D49,D55,D61,D67,D73,D79)</f>
        <v>84.816631276511401</v>
      </c>
      <c r="E91" s="271">
        <f t="shared" si="60"/>
        <v>26.646921615384613</v>
      </c>
      <c r="F91" s="86"/>
      <c r="G91" s="86"/>
      <c r="H91" s="86"/>
      <c r="I91" s="86"/>
      <c r="J91" s="86"/>
      <c r="K91" s="86"/>
      <c r="L91" s="110"/>
      <c r="M91" s="85">
        <f t="shared" si="61"/>
        <v>84.816631276511401</v>
      </c>
      <c r="N91" s="271">
        <f>AVERAGE(N7,N13,N19,N25,N31,N37,N43,N49,N55,N61,N67,N73,N79)</f>
        <v>26.646921615384613</v>
      </c>
      <c r="O91" s="86"/>
      <c r="P91" s="86"/>
      <c r="Q91" s="86"/>
      <c r="R91" s="86"/>
      <c r="S91" s="86"/>
      <c r="T91" s="86"/>
      <c r="U91" s="85" t="e">
        <f t="shared" si="59"/>
        <v>#DIV/0!</v>
      </c>
      <c r="V91" s="87" t="e">
        <f t="shared" si="59"/>
        <v>#DIV/0!</v>
      </c>
      <c r="W91" s="128"/>
      <c r="X91" s="89"/>
      <c r="Y91" s="90"/>
      <c r="Z91" s="90"/>
      <c r="AA91" s="90"/>
      <c r="AB91" s="90"/>
      <c r="AC91" s="90"/>
      <c r="AD91" s="90"/>
      <c r="AE91" s="90"/>
      <c r="AF91" s="90"/>
      <c r="AG91" s="91"/>
      <c r="AH91" s="130"/>
      <c r="AO91" s="240">
        <v>20</v>
      </c>
      <c r="AP91" s="240" cm="1">
        <f t="array" ref="AP91">pareto($D88:$D93,$E88:$E93,4,"rate",$AR$1,$AO89,$AO91)</f>
        <v>84.816631276511401</v>
      </c>
      <c r="AQ91" s="240" cm="1">
        <f t="array" ref="AQ91">pareto($D88:$D93,$E88:$E93,4,"dist",$AR$1,$AO89,$AO91)</f>
        <v>26.646921615384613</v>
      </c>
      <c r="AR91" s="240" cm="1">
        <f t="array" ref="AR91">pareto($M88:$M93,$N88:$N93,4,"rate",$AR$1,$AO89,$AO91)</f>
        <v>84.816631276511401</v>
      </c>
      <c r="AS91" s="240" cm="1">
        <f t="array" ref="AS91">pareto($M88:$M93,$N88:$N93,4,"dist",$AR$1,$AO89,$AO91)</f>
        <v>26.646921615384613</v>
      </c>
      <c r="AT91" s="1"/>
      <c r="AU91" s="244"/>
    </row>
    <row r="92" spans="1:47" ht="12" customHeight="1" x14ac:dyDescent="0.25">
      <c r="A92" s="74"/>
      <c r="B92" s="133"/>
      <c r="C92" s="107" t="s">
        <v>254</v>
      </c>
      <c r="D92" s="85">
        <f t="shared" si="62"/>
        <v>48.718410333704767</v>
      </c>
      <c r="E92" s="271">
        <f t="shared" si="60"/>
        <v>17.871040307692308</v>
      </c>
      <c r="F92" s="86"/>
      <c r="G92" s="86"/>
      <c r="H92" s="86"/>
      <c r="I92" s="86"/>
      <c r="J92" s="86"/>
      <c r="K92" s="86"/>
      <c r="L92" s="110"/>
      <c r="M92" s="85">
        <f t="shared" si="61"/>
        <v>48.718410333704767</v>
      </c>
      <c r="N92" s="271">
        <f>AVERAGE(N8,N14,N20,N26,N32,N38,N44,N50,N56,N62,N68,N74,N80)</f>
        <v>17.871040307692308</v>
      </c>
      <c r="O92" s="86"/>
      <c r="P92" s="86"/>
      <c r="Q92" s="86"/>
      <c r="R92" s="86"/>
      <c r="S92" s="86"/>
      <c r="T92" s="86"/>
      <c r="U92" s="85" t="e">
        <f t="shared" si="59"/>
        <v>#DIV/0!</v>
      </c>
      <c r="V92" s="87" t="e">
        <f t="shared" si="59"/>
        <v>#DIV/0!</v>
      </c>
      <c r="W92" s="128"/>
      <c r="X92" s="89"/>
      <c r="Y92" s="90"/>
      <c r="Z92" s="90"/>
      <c r="AA92" s="90"/>
      <c r="AB92" s="90"/>
      <c r="AC92" s="90"/>
      <c r="AD92" s="90"/>
      <c r="AE92" s="90"/>
      <c r="AF92" s="90"/>
      <c r="AG92" s="91"/>
      <c r="AH92" s="130"/>
      <c r="AO92" s="240"/>
      <c r="AP92" s="240" cm="1">
        <f t="array" ref="AP92">pareto($D88:$D93,$E88:$E93,5,"rate",$AR$1,$AO89,$AO91)</f>
        <v>48.718410333704767</v>
      </c>
      <c r="AQ92" s="240" cm="1">
        <f t="array" ref="AQ92">pareto($D88:$D93,$E88:$E93,5,"dist",$AR$1,$AO89,$AO91)</f>
        <v>17.871040307692308</v>
      </c>
      <c r="AR92" s="240" cm="1">
        <f t="array" ref="AR92">pareto($M88:$M93,$N88:$N93,5,"rate",$AR$1,$AO89,$AO91)</f>
        <v>48.718410333704767</v>
      </c>
      <c r="AS92" s="240" cm="1">
        <f t="array" ref="AS92">pareto($M88:$M93,$N88:$N93,5,"dist",$AR$1,$AO89,$AO91)</f>
        <v>17.871040307692308</v>
      </c>
      <c r="AT92" s="240"/>
      <c r="AU92" s="240"/>
    </row>
    <row r="93" spans="1:47" ht="12" customHeight="1" thickBot="1" x14ac:dyDescent="0.3">
      <c r="A93" s="92"/>
      <c r="B93" s="134"/>
      <c r="C93" s="108" t="s">
        <v>255</v>
      </c>
      <c r="D93" s="93">
        <f t="shared" si="62"/>
        <v>28.709025359532443</v>
      </c>
      <c r="E93" s="272">
        <f t="shared" si="60"/>
        <v>10.007783999999999</v>
      </c>
      <c r="F93" s="94"/>
      <c r="G93" s="94"/>
      <c r="H93" s="94"/>
      <c r="I93" s="94"/>
      <c r="J93" s="94"/>
      <c r="K93" s="94"/>
      <c r="L93" s="111"/>
      <c r="M93" s="93">
        <f t="shared" si="61"/>
        <v>28.709025359532443</v>
      </c>
      <c r="N93" s="272">
        <f>AVERAGE(N9,N15,N21,N27,N33,N39,N45,N51,N57,N63,N69,N75,N81)</f>
        <v>10.007783999999999</v>
      </c>
      <c r="O93" s="94"/>
      <c r="P93" s="94"/>
      <c r="Q93" s="94"/>
      <c r="R93" s="94"/>
      <c r="S93" s="94"/>
      <c r="T93" s="94"/>
      <c r="U93" s="93" t="e">
        <f t="shared" si="59"/>
        <v>#DIV/0!</v>
      </c>
      <c r="V93" s="252" t="e">
        <f t="shared" si="59"/>
        <v>#DIV/0!</v>
      </c>
      <c r="W93" s="128"/>
      <c r="X93" s="95"/>
      <c r="Y93" s="96"/>
      <c r="Z93" s="96"/>
      <c r="AA93" s="96"/>
      <c r="AB93" s="96"/>
      <c r="AC93" s="96"/>
      <c r="AD93" s="96"/>
      <c r="AE93" s="96"/>
      <c r="AF93" s="96"/>
      <c r="AG93" s="97"/>
      <c r="AH93" s="131"/>
      <c r="AO93" s="240"/>
      <c r="AP93" s="240" cm="1">
        <f t="array" ref="AP93">pareto($D88:$D93,$E88:$E93,6,"rate",$AR$1,$AO89,$AO91)</f>
        <v>28.709025359532443</v>
      </c>
      <c r="AQ93" s="240" cm="1">
        <f t="array" ref="AQ93">pareto($D88:$D93,$E88:$E93,6,"dist",$AR$1,$AO89,$AO91)</f>
        <v>10.007783999999999</v>
      </c>
      <c r="AR93" s="240" cm="1">
        <f t="array" ref="AR93">pareto($M88:$M93,$N88:$N93,6,"rate",$AR$1,$AO89,$AO91)</f>
        <v>28.709025359532443</v>
      </c>
      <c r="AS93" s="240" cm="1">
        <f t="array" ref="AS93">pareto($M88:$M93,$N88:$N93,6,"dist",$AR$1,$AO89,$AO91)</f>
        <v>10.007783999999999</v>
      </c>
      <c r="AT93" s="240"/>
      <c r="AU93" s="240"/>
    </row>
    <row r="94" spans="1:47" ht="12" customHeight="1" x14ac:dyDescent="0.25">
      <c r="A94" s="73"/>
      <c r="B94" s="73" t="s">
        <v>57</v>
      </c>
      <c r="C94" s="73"/>
      <c r="D94" s="73"/>
      <c r="E94" s="73"/>
      <c r="F94" s="73"/>
      <c r="G94" s="73"/>
      <c r="H94" s="73"/>
      <c r="I94" s="73"/>
      <c r="J94" s="73" t="e">
        <f>GEOMEAN(J4:J9)</f>
        <v>#NUM!</v>
      </c>
      <c r="K94" s="73" t="e">
        <f>GEOMEAN(K4:K9)</f>
        <v>#NUM!</v>
      </c>
      <c r="L94" s="88"/>
      <c r="M94" s="88"/>
      <c r="N94" s="73"/>
      <c r="O94" s="73"/>
      <c r="P94" s="73"/>
      <c r="Q94" s="73"/>
      <c r="R94" s="73"/>
      <c r="S94" s="73" t="e">
        <f>GEOMEAN(S4:S9)</f>
        <v>#NUM!</v>
      </c>
      <c r="T94" s="73" t="e">
        <f>GEOMEAN(T4:T9)</f>
        <v>#NUM!</v>
      </c>
      <c r="U94" s="73" t="e">
        <f>GEOMEAN(U4:U9)</f>
        <v>#DIV/0!</v>
      </c>
      <c r="V94" s="73" t="e">
        <f>GEOMEAN(V4:V9)</f>
        <v>#DIV/0!</v>
      </c>
      <c r="W94" s="88"/>
      <c r="X94" s="4">
        <f>AVERAGE(X4:X9)</f>
        <v>0</v>
      </c>
      <c r="Y94" s="4">
        <f t="shared" ref="Y94:AH94" si="63">AVERAGE(Y4:Y9)</f>
        <v>0</v>
      </c>
      <c r="Z94" s="4">
        <f t="shared" si="63"/>
        <v>0</v>
      </c>
      <c r="AA94" s="4">
        <f t="shared" si="63"/>
        <v>0</v>
      </c>
      <c r="AB94" s="4">
        <f t="shared" si="63"/>
        <v>0</v>
      </c>
      <c r="AC94" s="4">
        <f t="shared" si="63"/>
        <v>0</v>
      </c>
      <c r="AD94" s="4">
        <f t="shared" si="63"/>
        <v>0</v>
      </c>
      <c r="AE94" s="4" t="e">
        <f t="shared" si="63"/>
        <v>#VALUE!</v>
      </c>
      <c r="AF94" s="4" t="e">
        <f t="shared" si="63"/>
        <v>#VALUE!</v>
      </c>
      <c r="AG94" s="4" t="e">
        <f t="shared" si="63"/>
        <v>#VALUE!</v>
      </c>
      <c r="AH94" s="4">
        <f t="shared" si="63"/>
        <v>0</v>
      </c>
    </row>
    <row r="95" spans="1:47" ht="12" customHeight="1" x14ac:dyDescent="0.25">
      <c r="A95" s="73"/>
      <c r="B95" s="73" t="s">
        <v>59</v>
      </c>
      <c r="C95" s="73"/>
      <c r="D95" s="73"/>
      <c r="E95" s="73"/>
      <c r="F95" s="73"/>
      <c r="G95" s="73"/>
      <c r="H95" s="73"/>
      <c r="I95" s="73"/>
      <c r="J95" s="73" t="e">
        <f>GEOMEAN(J10:J33)</f>
        <v>#NUM!</v>
      </c>
      <c r="K95" s="73" t="e">
        <f>GEOMEAN(K10:K33)</f>
        <v>#NUM!</v>
      </c>
      <c r="L95" s="88"/>
      <c r="M95" s="88"/>
      <c r="N95" s="73"/>
      <c r="O95" s="73"/>
      <c r="P95" s="73"/>
      <c r="Q95" s="73"/>
      <c r="R95" s="73"/>
      <c r="S95" s="73" t="e">
        <f>GEOMEAN(S10:S33)</f>
        <v>#NUM!</v>
      </c>
      <c r="T95" s="73" t="e">
        <f>GEOMEAN(T10:T33)</f>
        <v>#NUM!</v>
      </c>
      <c r="U95" s="73" t="e">
        <f>GEOMEAN(U10:U33)</f>
        <v>#DIV/0!</v>
      </c>
      <c r="V95" s="73" t="e">
        <f>GEOMEAN(V10:V33)</f>
        <v>#DIV/0!</v>
      </c>
      <c r="W95" s="88"/>
      <c r="X95" s="4">
        <f t="shared" ref="X95:AH95" si="64">AVERAGE(X10:X33)</f>
        <v>2.5E+307</v>
      </c>
      <c r="Y95" s="4">
        <f t="shared" si="64"/>
        <v>2.5E+307</v>
      </c>
      <c r="Z95" s="4">
        <f t="shared" si="64"/>
        <v>0</v>
      </c>
      <c r="AA95" s="4">
        <f t="shared" si="64"/>
        <v>2.5E+307</v>
      </c>
      <c r="AB95" s="4">
        <f t="shared" si="64"/>
        <v>0</v>
      </c>
      <c r="AC95" s="4">
        <f t="shared" si="64"/>
        <v>0</v>
      </c>
      <c r="AD95" s="4">
        <f t="shared" si="64"/>
        <v>0</v>
      </c>
      <c r="AE95" s="4" t="e">
        <f t="shared" si="64"/>
        <v>#VALUE!</v>
      </c>
      <c r="AF95" s="4" t="e">
        <f t="shared" si="64"/>
        <v>#VALUE!</v>
      </c>
      <c r="AG95" s="4" t="e">
        <f t="shared" si="64"/>
        <v>#VALUE!</v>
      </c>
      <c r="AH95" s="4">
        <f t="shared" si="64"/>
        <v>0</v>
      </c>
    </row>
    <row r="96" spans="1:47" ht="12" customHeight="1" x14ac:dyDescent="0.25">
      <c r="A96" s="73"/>
      <c r="B96" s="73" t="s">
        <v>65</v>
      </c>
      <c r="C96" s="73"/>
      <c r="D96" s="73"/>
      <c r="E96" s="73"/>
      <c r="F96" s="73"/>
      <c r="G96" s="73"/>
      <c r="H96" s="73"/>
      <c r="I96" s="73"/>
      <c r="J96" s="73" t="e">
        <f>GEOMEAN(J34:J57)</f>
        <v>#NUM!</v>
      </c>
      <c r="K96" s="73" t="e">
        <f>GEOMEAN(K34:K57)</f>
        <v>#NUM!</v>
      </c>
      <c r="L96" s="88"/>
      <c r="M96" s="88"/>
      <c r="N96" s="73"/>
      <c r="O96" s="73"/>
      <c r="P96" s="73"/>
      <c r="Q96" s="73"/>
      <c r="R96" s="73"/>
      <c r="S96" s="73" t="e">
        <f>GEOMEAN(S34:S57)</f>
        <v>#NUM!</v>
      </c>
      <c r="T96" s="73" t="e">
        <f>GEOMEAN(T34:T57)</f>
        <v>#NUM!</v>
      </c>
      <c r="U96" s="73" t="e">
        <f>GEOMEAN(U34:U57)</f>
        <v>#DIV/0!</v>
      </c>
      <c r="V96" s="73" t="e">
        <f>GEOMEAN(V34:V57)</f>
        <v>#DIV/0!</v>
      </c>
      <c r="W96" s="88"/>
      <c r="X96" s="4">
        <f t="shared" ref="X96:AH96" si="65">AVERAGE(X34:X57)</f>
        <v>0</v>
      </c>
      <c r="Y96" s="4">
        <f t="shared" si="65"/>
        <v>0</v>
      </c>
      <c r="Z96" s="4">
        <f t="shared" si="65"/>
        <v>0</v>
      </c>
      <c r="AA96" s="4">
        <f t="shared" si="65"/>
        <v>0</v>
      </c>
      <c r="AB96" s="4">
        <f t="shared" si="65"/>
        <v>0</v>
      </c>
      <c r="AC96" s="4">
        <f t="shared" si="65"/>
        <v>0</v>
      </c>
      <c r="AD96" s="4">
        <f t="shared" si="65"/>
        <v>0</v>
      </c>
      <c r="AE96" s="4" t="e">
        <f t="shared" si="65"/>
        <v>#VALUE!</v>
      </c>
      <c r="AF96" s="4" t="e">
        <f t="shared" si="65"/>
        <v>#VALUE!</v>
      </c>
      <c r="AG96" s="4" t="e">
        <f t="shared" si="65"/>
        <v>#VALUE!</v>
      </c>
      <c r="AH96" s="4">
        <f t="shared" si="65"/>
        <v>0</v>
      </c>
    </row>
    <row r="97" spans="1:34" ht="12" customHeight="1" x14ac:dyDescent="0.25">
      <c r="A97" s="73"/>
      <c r="B97" s="73" t="s">
        <v>70</v>
      </c>
      <c r="C97" s="73"/>
      <c r="D97" s="73"/>
      <c r="E97" s="73"/>
      <c r="F97" s="73"/>
      <c r="G97" s="73"/>
      <c r="H97" s="73"/>
      <c r="I97" s="73"/>
      <c r="J97" s="73" t="e">
        <f>GEOMEAN(J58:J81)</f>
        <v>#NUM!</v>
      </c>
      <c r="K97" s="73" t="e">
        <f>GEOMEAN(K58:K81)</f>
        <v>#NUM!</v>
      </c>
      <c r="L97" s="88"/>
      <c r="M97" s="88"/>
      <c r="N97" s="73"/>
      <c r="O97" s="73"/>
      <c r="P97" s="73"/>
      <c r="Q97" s="73"/>
      <c r="R97" s="73"/>
      <c r="S97" s="73" t="e">
        <f>GEOMEAN(S58:S81)</f>
        <v>#NUM!</v>
      </c>
      <c r="T97" s="73" t="e">
        <f>GEOMEAN(T58:T81)</f>
        <v>#NUM!</v>
      </c>
      <c r="U97" s="73" t="e">
        <f>GEOMEAN(U58:U81)</f>
        <v>#DIV/0!</v>
      </c>
      <c r="V97" s="73" t="e">
        <f>GEOMEAN(V58:V81)</f>
        <v>#DIV/0!</v>
      </c>
      <c r="W97" s="88"/>
      <c r="X97" s="4">
        <f t="shared" ref="X97:AH97" si="66">AVERAGE(X58:X81)</f>
        <v>0</v>
      </c>
      <c r="Y97" s="4">
        <f t="shared" si="66"/>
        <v>0</v>
      </c>
      <c r="Z97" s="4">
        <f t="shared" si="66"/>
        <v>0</v>
      </c>
      <c r="AA97" s="4">
        <f t="shared" si="66"/>
        <v>0</v>
      </c>
      <c r="AB97" s="4">
        <f t="shared" si="66"/>
        <v>0</v>
      </c>
      <c r="AC97" s="4">
        <f t="shared" si="66"/>
        <v>0</v>
      </c>
      <c r="AD97" s="4">
        <f t="shared" si="66"/>
        <v>0</v>
      </c>
      <c r="AE97" s="4" t="e">
        <f t="shared" si="66"/>
        <v>#VALUE!</v>
      </c>
      <c r="AF97" s="4" t="e">
        <f t="shared" si="66"/>
        <v>#VALUE!</v>
      </c>
      <c r="AG97" s="4" t="e">
        <f t="shared" si="66"/>
        <v>#VALUE!</v>
      </c>
      <c r="AH97" s="4">
        <f t="shared" si="66"/>
        <v>0</v>
      </c>
    </row>
    <row r="98" spans="1:34" ht="12" customHeight="1" x14ac:dyDescent="0.25">
      <c r="A98" s="73"/>
      <c r="B98" s="73" t="s">
        <v>101</v>
      </c>
      <c r="C98" s="73"/>
      <c r="D98" s="73"/>
      <c r="E98" s="73"/>
      <c r="F98" s="73"/>
      <c r="G98" s="73"/>
      <c r="H98" s="73"/>
      <c r="I98" s="73"/>
      <c r="J98" s="73" t="e">
        <f>GEOMEAN(J4:J81)</f>
        <v>#NUM!</v>
      </c>
      <c r="K98" s="73" t="e">
        <f>GEOMEAN(K4:K81)</f>
        <v>#NUM!</v>
      </c>
      <c r="L98" s="88"/>
      <c r="M98" s="88"/>
      <c r="N98" s="73"/>
      <c r="O98" s="73"/>
      <c r="P98" s="73"/>
      <c r="Q98" s="73"/>
      <c r="R98" s="73"/>
      <c r="S98" s="73" t="e">
        <f>GEOMEAN(S4:S81)</f>
        <v>#NUM!</v>
      </c>
      <c r="T98" s="73" t="e">
        <f>GEOMEAN(T4:T81)</f>
        <v>#NUM!</v>
      </c>
      <c r="U98" s="73" t="e">
        <f>GEOMEAN(U4:U81)</f>
        <v>#DIV/0!</v>
      </c>
      <c r="V98" s="73" t="e">
        <f>GEOMEAN(V4:V81)</f>
        <v>#DIV/0!</v>
      </c>
      <c r="W98" s="88"/>
      <c r="X98" s="4">
        <f>AVERAGE(X4:X81)</f>
        <v>7.692307692307693E+306</v>
      </c>
      <c r="Y98" s="227">
        <f t="shared" ref="Y98:AG98" si="67">AVERAGE(Y4:Y81)</f>
        <v>7.692307692307693E+306</v>
      </c>
      <c r="Z98" s="227">
        <f t="shared" si="67"/>
        <v>0</v>
      </c>
      <c r="AA98" s="227">
        <f>AVERAGE(AA4:AA81)</f>
        <v>7.692307692307693E+306</v>
      </c>
      <c r="AB98" s="227">
        <f t="shared" si="67"/>
        <v>0</v>
      </c>
      <c r="AC98" s="227">
        <f t="shared" si="67"/>
        <v>0</v>
      </c>
      <c r="AD98" s="265">
        <f>AVERAGE(AD4:AD81)</f>
        <v>0</v>
      </c>
      <c r="AE98" s="4" t="e">
        <f t="shared" si="67"/>
        <v>#VALUE!</v>
      </c>
      <c r="AF98" s="4" t="e">
        <f t="shared" si="67"/>
        <v>#VALUE!</v>
      </c>
      <c r="AG98" s="4" t="e">
        <f t="shared" si="67"/>
        <v>#VALUE!</v>
      </c>
      <c r="AH98" s="4">
        <f>AVERAGE(AH4:AH81)</f>
        <v>0</v>
      </c>
    </row>
    <row r="99" spans="1:34" s="264" customFormat="1" ht="12.75" customHeight="1" x14ac:dyDescent="0.2">
      <c r="A99" s="264" t="s">
        <v>224</v>
      </c>
      <c r="B99" s="73" t="s">
        <v>222</v>
      </c>
      <c r="J99" s="264" t="e">
        <f>GEOMEAN(J82:J87)</f>
        <v>#NUM!</v>
      </c>
      <c r="K99" s="264" t="e">
        <f>GEOMEAN(K82:K87)</f>
        <v>#NUM!</v>
      </c>
      <c r="S99" s="73" t="e">
        <f>GEOMEAN(S82:S87)</f>
        <v>#NUM!</v>
      </c>
      <c r="T99" s="73" t="e">
        <f>GEOMEAN(T82:T87)</f>
        <v>#NUM!</v>
      </c>
      <c r="U99" s="73" t="e">
        <f>GEOMEAN(U82:U87)</f>
        <v>#DIV/0!</v>
      </c>
      <c r="V99" s="73" t="e">
        <f>GEOMEAN(V82:V87)</f>
        <v>#DIV/0!</v>
      </c>
      <c r="X99" s="263" t="e">
        <f t="shared" ref="X99:AG99" si="68">AVERAGE(X82:X87)</f>
        <v>#VALUE!</v>
      </c>
      <c r="Y99" s="263" t="e">
        <f t="shared" si="68"/>
        <v>#VALUE!</v>
      </c>
      <c r="Z99" s="263" t="e">
        <f t="shared" si="68"/>
        <v>#VALUE!</v>
      </c>
      <c r="AA99" s="263" t="e">
        <f t="shared" si="68"/>
        <v>#VALUE!</v>
      </c>
      <c r="AB99" s="263" t="e">
        <f t="shared" si="68"/>
        <v>#VALUE!</v>
      </c>
      <c r="AC99" s="263" t="e">
        <f t="shared" si="68"/>
        <v>#VALUE!</v>
      </c>
      <c r="AD99" s="263" t="e">
        <f t="shared" si="68"/>
        <v>#VALUE!</v>
      </c>
      <c r="AE99" s="263" t="e">
        <f t="shared" si="68"/>
        <v>#VALUE!</v>
      </c>
      <c r="AF99" s="263" t="e">
        <f t="shared" si="68"/>
        <v>#VALUE!</v>
      </c>
      <c r="AG99" s="263" t="e">
        <f t="shared" si="68"/>
        <v>#VALUE!</v>
      </c>
      <c r="AH99" s="263" t="e">
        <f>AVERAGE(AH82:AH87)</f>
        <v>#VALUE!</v>
      </c>
    </row>
    <row r="100" spans="1:34" x14ac:dyDescent="0.25">
      <c r="B100" s="73" t="s">
        <v>256</v>
      </c>
      <c r="J100" s="264" t="e">
        <f>GEOMEAN(J88:J93)</f>
        <v>#NUM!</v>
      </c>
      <c r="K100" s="264" t="e">
        <f>GEOMEAN(K88:K93)</f>
        <v>#NUM!</v>
      </c>
      <c r="S100" s="73" t="e">
        <f>GEOMEAN(S88:S93)</f>
        <v>#NUM!</v>
      </c>
      <c r="T100" s="73" t="e">
        <f>GEOMEAN(T88:T93)</f>
        <v>#NUM!</v>
      </c>
      <c r="U100" s="73" t="e">
        <f>GEOMEAN(U88:U93)</f>
        <v>#DIV/0!</v>
      </c>
      <c r="V100" s="73" t="e">
        <f>GEOMEAN(V88:V93)</f>
        <v>#DIV/0!</v>
      </c>
      <c r="W100" s="264"/>
      <c r="X100" s="263">
        <f>X88</f>
        <v>0</v>
      </c>
      <c r="Y100" s="263">
        <f t="shared" ref="Y100:AH100" si="69">Y88</f>
        <v>0</v>
      </c>
      <c r="Z100" s="263">
        <f t="shared" si="69"/>
        <v>0</v>
      </c>
      <c r="AA100" s="263">
        <f t="shared" si="69"/>
        <v>0</v>
      </c>
      <c r="AB100" s="263">
        <f t="shared" si="69"/>
        <v>0</v>
      </c>
      <c r="AC100" s="263">
        <f t="shared" si="69"/>
        <v>0</v>
      </c>
      <c r="AD100" s="263">
        <f t="shared" si="69"/>
        <v>0</v>
      </c>
      <c r="AE100" s="263" t="e">
        <f t="shared" si="69"/>
        <v>#VALUE!</v>
      </c>
      <c r="AF100" s="263" t="e">
        <f t="shared" si="69"/>
        <v>#VALUE!</v>
      </c>
      <c r="AG100" s="263" t="e">
        <f t="shared" si="69"/>
        <v>#VALUE!</v>
      </c>
      <c r="AH100" s="263">
        <f t="shared" si="69"/>
        <v>0</v>
      </c>
    </row>
  </sheetData>
  <mergeCells count="4">
    <mergeCell ref="A1:AH1"/>
    <mergeCell ref="D2:K2"/>
    <mergeCell ref="M2:T2"/>
    <mergeCell ref="X2:AG2"/>
  </mergeCells>
  <phoneticPr fontId="8" type="noConversion"/>
  <conditionalFormatting sqref="AD5:AD9 AD11:AD15 AD17:AD21 AD23:AD27 AD29:AD33 AD35:AD39 AD41:AD45 AD47:AD51 AD53:AD57 AD59:AD63 AD65:AD69 AD71:AD75 AD77:AD81">
    <cfRule type="cellIs" dxfId="261" priority="31" operator="greaterThan">
      <formula>0.03</formula>
    </cfRule>
    <cfRule type="cellIs" dxfId="260" priority="32" stopIfTrue="1" operator="lessThan">
      <formula>-0.03</formula>
    </cfRule>
  </conditionalFormatting>
  <conditionalFormatting sqref="AE11:AH15 AE17:AH21">
    <cfRule type="cellIs" dxfId="259" priority="29" operator="greaterThan">
      <formula>0.03</formula>
    </cfRule>
    <cfRule type="cellIs" dxfId="258" priority="30" stopIfTrue="1" operator="lessThan">
      <formula>-0.03</formula>
    </cfRule>
  </conditionalFormatting>
  <conditionalFormatting sqref="AE23:AH27 AE29:AH33">
    <cfRule type="cellIs" dxfId="257" priority="27" operator="greaterThan">
      <formula>0.03</formula>
    </cfRule>
    <cfRule type="cellIs" dxfId="256" priority="28" stopIfTrue="1" operator="lessThan">
      <formula>-0.03</formula>
    </cfRule>
  </conditionalFormatting>
  <conditionalFormatting sqref="AE35:AH39 AE41:AH45 AE47:AH51 AE53:AH57">
    <cfRule type="cellIs" dxfId="255" priority="25" operator="greaterThan">
      <formula>0.03</formula>
    </cfRule>
    <cfRule type="cellIs" dxfId="254" priority="26" stopIfTrue="1" operator="lessThan">
      <formula>-0.03</formula>
    </cfRule>
  </conditionalFormatting>
  <conditionalFormatting sqref="AE59:AH63 AE65:AH69 AE71:AH75 AE77:AH81">
    <cfRule type="cellIs" dxfId="253" priority="23" operator="greaterThan">
      <formula>0.03</formula>
    </cfRule>
    <cfRule type="cellIs" dxfId="252" priority="24" stopIfTrue="1" operator="lessThan">
      <formula>-0.03</formula>
    </cfRule>
  </conditionalFormatting>
  <conditionalFormatting sqref="AE5:AH9">
    <cfRule type="cellIs" dxfId="251" priority="33" operator="greaterThan">
      <formula>0.03</formula>
    </cfRule>
    <cfRule type="cellIs" dxfId="250" priority="34" stopIfTrue="1" operator="lessThan">
      <formula>-0.03</formula>
    </cfRule>
  </conditionalFormatting>
  <conditionalFormatting sqref="X11:AC15 X17:AC21">
    <cfRule type="cellIs" dxfId="249" priority="19" operator="greaterThan">
      <formula>0.03</formula>
    </cfRule>
    <cfRule type="cellIs" dxfId="248" priority="20" stopIfTrue="1" operator="lessThan">
      <formula>-0.03</formula>
    </cfRule>
  </conditionalFormatting>
  <conditionalFormatting sqref="X23:AC27 X29:AC33">
    <cfRule type="cellIs" dxfId="247" priority="17" operator="greaterThan">
      <formula>0.03</formula>
    </cfRule>
    <cfRule type="cellIs" dxfId="246" priority="18" stopIfTrue="1" operator="lessThan">
      <formula>-0.03</formula>
    </cfRule>
  </conditionalFormatting>
  <conditionalFormatting sqref="X35:AC39 X41:AC45 X47:AC51 X53:AC57">
    <cfRule type="cellIs" dxfId="245" priority="15" operator="greaterThan">
      <formula>0.03</formula>
    </cfRule>
    <cfRule type="cellIs" dxfId="244" priority="16" stopIfTrue="1" operator="lessThan">
      <formula>-0.03</formula>
    </cfRule>
  </conditionalFormatting>
  <conditionalFormatting sqref="X59:AC63 X65:AC69 X71:AC75 X77:AC81">
    <cfRule type="cellIs" dxfId="243" priority="13" operator="greaterThan">
      <formula>0.03</formula>
    </cfRule>
    <cfRule type="cellIs" dxfId="242" priority="14" stopIfTrue="1" operator="lessThan">
      <formula>-0.03</formula>
    </cfRule>
  </conditionalFormatting>
  <conditionalFormatting sqref="X5:AC9">
    <cfRule type="cellIs" dxfId="241" priority="21" operator="greaterThan">
      <formula>0.03</formula>
    </cfRule>
    <cfRule type="cellIs" dxfId="240" priority="22" stopIfTrue="1" operator="lessThan">
      <formula>-0.03</formula>
    </cfRule>
  </conditionalFormatting>
  <conditionalFormatting sqref="AD83:AD87">
    <cfRule type="cellIs" dxfId="239" priority="9" operator="greaterThan">
      <formula>0.03</formula>
    </cfRule>
    <cfRule type="cellIs" dxfId="238" priority="10" stopIfTrue="1" operator="lessThan">
      <formula>-0.03</formula>
    </cfRule>
  </conditionalFormatting>
  <conditionalFormatting sqref="AE83:AH87">
    <cfRule type="cellIs" dxfId="237" priority="11" operator="greaterThan">
      <formula>0.03</formula>
    </cfRule>
    <cfRule type="cellIs" dxfId="236" priority="12" stopIfTrue="1" operator="lessThan">
      <formula>-0.03</formula>
    </cfRule>
  </conditionalFormatting>
  <conditionalFormatting sqref="X83:AC87">
    <cfRule type="cellIs" dxfId="235" priority="7" operator="greaterThan">
      <formula>0.03</formula>
    </cfRule>
    <cfRule type="cellIs" dxfId="234" priority="8" stopIfTrue="1" operator="lessThan">
      <formula>-0.03</formula>
    </cfRule>
  </conditionalFormatting>
  <conditionalFormatting sqref="AD89:AD93">
    <cfRule type="cellIs" dxfId="233" priority="3" operator="greaterThan">
      <formula>0.03</formula>
    </cfRule>
    <cfRule type="cellIs" dxfId="232" priority="4" stopIfTrue="1" operator="lessThan">
      <formula>-0.03</formula>
    </cfRule>
  </conditionalFormatting>
  <conditionalFormatting sqref="AE89:AH93">
    <cfRule type="cellIs" dxfId="231" priority="5" operator="greaterThan">
      <formula>0.03</formula>
    </cfRule>
    <cfRule type="cellIs" dxfId="230" priority="6" stopIfTrue="1" operator="lessThan">
      <formula>-0.03</formula>
    </cfRule>
  </conditionalFormatting>
  <conditionalFormatting sqref="X89:AC93">
    <cfRule type="cellIs" dxfId="229" priority="1" operator="greaterThan">
      <formula>0.03</formula>
    </cfRule>
    <cfRule type="cellIs" dxfId="228" priority="2" stopIfTrue="1" operator="lessThan">
      <formula>-0.03</formula>
    </cfRule>
  </conditionalFormatting>
  <dataValidations count="1">
    <dataValidation type="list" allowBlank="1" showInputMessage="1" showErrorMessage="1" sqref="AR1" xr:uid="{00000000-0002-0000-0200-000000000000}">
      <formula1>$AU$3:$AU$7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U100"/>
  <sheetViews>
    <sheetView topLeftCell="A46" zoomScale="80" zoomScaleNormal="80" workbookViewId="0">
      <selection activeCell="P99" sqref="P99"/>
    </sheetView>
  </sheetViews>
  <sheetFormatPr defaultColWidth="8.875" defaultRowHeight="16.5" x14ac:dyDescent="0.25"/>
  <cols>
    <col min="2" max="2" width="26" bestFit="1" customWidth="1"/>
    <col min="10" max="11" width="9" bestFit="1" customWidth="1"/>
    <col min="12" max="12" width="2.5" customWidth="1"/>
    <col min="19" max="22" width="9" bestFit="1" customWidth="1"/>
    <col min="23" max="23" width="2.5" customWidth="1"/>
    <col min="24" max="24" width="12" customWidth="1"/>
    <col min="25" max="25" width="10.625" customWidth="1"/>
    <col min="26" max="27" width="10.375" customWidth="1"/>
    <col min="28" max="28" width="11.375" customWidth="1"/>
    <col min="29" max="29" width="9.625" customWidth="1"/>
    <col min="30" max="30" width="10.125" bestFit="1" customWidth="1"/>
    <col min="34" max="34" width="10.125" bestFit="1" customWidth="1"/>
    <col min="41" max="41" width="12" customWidth="1"/>
  </cols>
  <sheetData>
    <row r="1" spans="1:47" ht="17.25" thickBot="1" x14ac:dyDescent="0.3">
      <c r="A1" s="297" t="s">
        <v>80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9"/>
      <c r="AO1" s="245" t="s">
        <v>214</v>
      </c>
      <c r="AP1" s="1"/>
      <c r="AQ1" s="241" t="s">
        <v>216</v>
      </c>
      <c r="AR1" s="242" t="s">
        <v>22</v>
      </c>
      <c r="AS1" s="240"/>
      <c r="AT1" s="240"/>
      <c r="AU1" s="240"/>
    </row>
    <row r="2" spans="1:47" ht="15" customHeight="1" thickBot="1" x14ac:dyDescent="0.3">
      <c r="A2" s="73"/>
      <c r="B2" s="73"/>
      <c r="C2" s="73"/>
      <c r="D2" s="295" t="str">
        <f>"Reference: "&amp;Summary!O4</f>
        <v>Reference: Anchor (v0.6.1 VTM inner)</v>
      </c>
      <c r="E2" s="296"/>
      <c r="F2" s="296"/>
      <c r="G2" s="296"/>
      <c r="H2" s="296"/>
      <c r="I2" s="296"/>
      <c r="J2" s="296"/>
      <c r="K2" s="296"/>
      <c r="L2" s="112"/>
      <c r="M2" s="297" t="str">
        <f>_xlfn.CONCAT("Test: ",Summary!$O$5)</f>
        <v>Test: Test</v>
      </c>
      <c r="N2" s="298"/>
      <c r="O2" s="298"/>
      <c r="P2" s="298"/>
      <c r="Q2" s="298"/>
      <c r="R2" s="298"/>
      <c r="S2" s="298"/>
      <c r="T2" s="299"/>
      <c r="U2" s="119"/>
      <c r="V2" s="120"/>
      <c r="W2" s="114"/>
      <c r="X2" s="300" t="s">
        <v>55</v>
      </c>
      <c r="Y2" s="301"/>
      <c r="Z2" s="301"/>
      <c r="AA2" s="301"/>
      <c r="AB2" s="301"/>
      <c r="AC2" s="301"/>
      <c r="AD2" s="301"/>
      <c r="AE2" s="301"/>
      <c r="AF2" s="301"/>
      <c r="AG2" s="302"/>
      <c r="AH2" s="121" t="s">
        <v>79</v>
      </c>
      <c r="AO2" s="1"/>
      <c r="AS2" s="240"/>
      <c r="AT2" s="240"/>
      <c r="AU2" s="240"/>
    </row>
    <row r="3" spans="1:47" ht="12" customHeight="1" thickBot="1" x14ac:dyDescent="0.3">
      <c r="A3" s="75"/>
      <c r="B3" s="76" t="s">
        <v>89</v>
      </c>
      <c r="C3" s="77" t="s">
        <v>30</v>
      </c>
      <c r="D3" s="104" t="s">
        <v>56</v>
      </c>
      <c r="E3" s="105" t="s">
        <v>25</v>
      </c>
      <c r="F3" s="105" t="s">
        <v>0</v>
      </c>
      <c r="G3" s="105" t="s">
        <v>1</v>
      </c>
      <c r="H3" s="105" t="s">
        <v>2</v>
      </c>
      <c r="I3" s="105" t="s">
        <v>113</v>
      </c>
      <c r="J3" s="105" t="s">
        <v>226</v>
      </c>
      <c r="K3" s="105" t="s">
        <v>227</v>
      </c>
      <c r="L3" s="113"/>
      <c r="M3" s="78" t="s">
        <v>56</v>
      </c>
      <c r="N3" s="79" t="s">
        <v>25</v>
      </c>
      <c r="O3" s="79" t="s">
        <v>0</v>
      </c>
      <c r="P3" s="79" t="s">
        <v>1</v>
      </c>
      <c r="Q3" s="79" t="s">
        <v>2</v>
      </c>
      <c r="R3" s="79" t="s">
        <v>113</v>
      </c>
      <c r="S3" s="79" t="s">
        <v>226</v>
      </c>
      <c r="T3" s="79" t="s">
        <v>227</v>
      </c>
      <c r="U3" s="104" t="s">
        <v>3</v>
      </c>
      <c r="V3" s="105" t="s">
        <v>4</v>
      </c>
      <c r="W3" s="104"/>
      <c r="X3" s="78" t="s">
        <v>184</v>
      </c>
      <c r="Y3" s="79" t="s">
        <v>185</v>
      </c>
      <c r="Z3" s="79" t="s">
        <v>186</v>
      </c>
      <c r="AA3" s="79" t="s">
        <v>187</v>
      </c>
      <c r="AB3" s="79" t="s">
        <v>188</v>
      </c>
      <c r="AC3" s="79" t="s">
        <v>189</v>
      </c>
      <c r="AD3" s="2" t="s">
        <v>42</v>
      </c>
      <c r="AE3" s="79" t="s">
        <v>32</v>
      </c>
      <c r="AF3" s="79" t="s">
        <v>33</v>
      </c>
      <c r="AG3" s="80" t="s">
        <v>34</v>
      </c>
      <c r="AH3" s="126"/>
      <c r="AP3" s="242" t="s">
        <v>217</v>
      </c>
      <c r="AQ3" s="242"/>
      <c r="AR3" s="242" t="s">
        <v>218</v>
      </c>
      <c r="AS3" s="240"/>
      <c r="AT3" s="1"/>
      <c r="AU3" s="243" t="s">
        <v>19</v>
      </c>
    </row>
    <row r="4" spans="1:47" ht="12" customHeight="1" x14ac:dyDescent="0.25">
      <c r="A4" s="81" t="s">
        <v>57</v>
      </c>
      <c r="B4" s="132" t="s">
        <v>58</v>
      </c>
      <c r="C4" s="106" t="s">
        <v>250</v>
      </c>
      <c r="D4" s="267">
        <v>887.53454545454497</v>
      </c>
      <c r="E4" s="267">
        <v>34.684688000000001</v>
      </c>
      <c r="F4" s="83"/>
      <c r="G4" s="83"/>
      <c r="H4" s="83"/>
      <c r="I4" s="83"/>
      <c r="J4" s="83"/>
      <c r="K4" s="83"/>
      <c r="L4" s="110"/>
      <c r="M4" s="267">
        <v>887.53454545454497</v>
      </c>
      <c r="N4" s="267">
        <v>34.684688000000001</v>
      </c>
      <c r="O4" s="83"/>
      <c r="P4" s="83"/>
      <c r="Q4" s="83"/>
      <c r="R4" s="83"/>
      <c r="S4" s="83"/>
      <c r="T4" s="83"/>
      <c r="U4" s="82" t="e">
        <f t="shared" ref="U4:V61" si="0">S4/J4</f>
        <v>#DIV/0!</v>
      </c>
      <c r="V4" s="83" t="e">
        <f t="shared" si="0"/>
        <v>#DIV/0!</v>
      </c>
      <c r="W4" s="127"/>
      <c r="X4" s="122">
        <f>bdRateExtend($D4:$D9,$E4:$E9,$M4:$M9,$N4:$N9)</f>
        <v>1E+308</v>
      </c>
      <c r="Y4" s="14">
        <f>bdRateExtend($D4:$D8,$E4:$E8,$M4:$M8,$N4:$N8)</f>
        <v>1E+308</v>
      </c>
      <c r="Z4" s="14">
        <f>bdRateExtend($D5:$D9,$E5:$E9,$M5:$M9,$N5:$N9)</f>
        <v>0</v>
      </c>
      <c r="AA4" s="14">
        <f>bdRateExtend($D4:$D7,$E4:$E7,$M4:$M7,$N4:$N7)</f>
        <v>1E+308</v>
      </c>
      <c r="AB4" s="14">
        <f>bdRateExtend($D5:$D8,$E5:$E8,$M5:$M8,$N5:$N8)</f>
        <v>0</v>
      </c>
      <c r="AC4" s="14">
        <f>bdRateExtend($D6:$D9,$E6:$E9,$M6:$M9,$N6:$N9)</f>
        <v>0</v>
      </c>
      <c r="AD4" s="34" cm="1">
        <f t="array" ref="AD4">bdRatePareto(AP4:AP9,AQ4:AQ9,AR4:AR9,AS4:AS9)</f>
        <v>0</v>
      </c>
      <c r="AE4" s="14" t="e">
        <f>bdRateExtend($D4:$D9,F4:F9,$M4:$M9,O4:O9)</f>
        <v>#VALUE!</v>
      </c>
      <c r="AF4" s="14" t="e">
        <f>bdRateExtend($D4:$D9,G4:G9,$M4:$M9,P4:P9)</f>
        <v>#VALUE!</v>
      </c>
      <c r="AG4" s="15" t="e">
        <f>bdRateExtend($D4:$D9,H4:H9,$M4:$M9,Q4:Q9)</f>
        <v>#VALUE!</v>
      </c>
      <c r="AH4" s="129">
        <f>bdPSNRExtend($D4:$D9,$E4:$E9,$M4:$M9,$N4:$N9)</f>
        <v>0</v>
      </c>
      <c r="AO4" s="240" t="s">
        <v>213</v>
      </c>
      <c r="AP4" s="240" cm="1">
        <f t="array" ref="AP4">pareto($D4:$D9,$E4:$E9,1,"rate",$AR$1,$AO5,$AO7)</f>
        <v>613.076363636363</v>
      </c>
      <c r="AQ4" s="240" cm="1">
        <f t="array" ref="AQ4">pareto($D4:$D9,$E4:$E9,1,"dist",$AR$1,$AO5,$AO7)</f>
        <v>36.140495999999999</v>
      </c>
      <c r="AR4" s="240" cm="1">
        <f t="array" ref="AR4">pareto($M4:$M9,$N4:$N9,1,"rate",$AR$1,$AO5,$AO7)</f>
        <v>613.076363636363</v>
      </c>
      <c r="AS4" s="240" cm="1">
        <f t="array" ref="AS4">pareto($M4:$M9,$N4:$N9,1,"dist",$AR$1,$AO5,$AO7)</f>
        <v>36.140495999999999</v>
      </c>
      <c r="AT4" s="1"/>
      <c r="AU4" s="243" t="s">
        <v>20</v>
      </c>
    </row>
    <row r="5" spans="1:47" ht="12" customHeight="1" x14ac:dyDescent="0.25">
      <c r="A5" s="136"/>
      <c r="B5" s="133"/>
      <c r="C5" s="107" t="s">
        <v>251</v>
      </c>
      <c r="D5" s="267">
        <v>613.076363636363</v>
      </c>
      <c r="E5" s="267">
        <v>36.140495999999999</v>
      </c>
      <c r="F5" s="86"/>
      <c r="G5" s="86"/>
      <c r="H5" s="86"/>
      <c r="I5" s="86"/>
      <c r="J5" s="86"/>
      <c r="K5" s="86"/>
      <c r="L5" s="110"/>
      <c r="M5" s="267">
        <v>613.076363636363</v>
      </c>
      <c r="N5" s="267">
        <v>36.140495999999999</v>
      </c>
      <c r="O5" s="86"/>
      <c r="P5" s="86"/>
      <c r="Q5" s="86"/>
      <c r="R5" s="86"/>
      <c r="S5" s="86"/>
      <c r="T5" s="86"/>
      <c r="U5" s="85" t="e">
        <f t="shared" si="0"/>
        <v>#DIV/0!</v>
      </c>
      <c r="V5" s="86" t="e">
        <f t="shared" si="0"/>
        <v>#DIV/0!</v>
      </c>
      <c r="W5" s="128"/>
      <c r="X5" s="89"/>
      <c r="Y5" s="90"/>
      <c r="Z5" s="90"/>
      <c r="AA5" s="90"/>
      <c r="AB5" s="90"/>
      <c r="AC5" s="90"/>
      <c r="AD5" s="90"/>
      <c r="AE5" s="90"/>
      <c r="AF5" s="90"/>
      <c r="AG5" s="91"/>
      <c r="AH5" s="130"/>
      <c r="AO5" s="240">
        <v>44.241199000000002</v>
      </c>
      <c r="AP5" s="240" cm="1">
        <f t="array" ref="AP5">pareto($D4:$D9,$E4:$E9,2,"rate",$AR$1,$AO5,$AO7)</f>
        <v>471.58545454545401</v>
      </c>
      <c r="AQ5" s="240" cm="1">
        <f t="array" ref="AQ5">pareto($D4:$D9,$E4:$E9,2,"dist",$AR$1,$AO5,$AO7)</f>
        <v>34.622422999999998</v>
      </c>
      <c r="AR5" s="240" cm="1">
        <f t="array" ref="AR5">pareto($M4:$M9,$N4:$N9,2,"rate",$AR$1,$AO5,$AO7)</f>
        <v>471.58545454545401</v>
      </c>
      <c r="AS5" s="240" cm="1">
        <f t="array" ref="AS5">pareto($M4:$M9,$N4:$N9,2,"dist",$AR$1,$AO5,$AO7)</f>
        <v>34.622422999999998</v>
      </c>
      <c r="AT5" s="1"/>
      <c r="AU5" s="244" t="s">
        <v>21</v>
      </c>
    </row>
    <row r="6" spans="1:47" ht="12" customHeight="1" x14ac:dyDescent="0.25">
      <c r="A6" s="74"/>
      <c r="B6" s="133"/>
      <c r="C6" s="107" t="s">
        <v>252</v>
      </c>
      <c r="D6" s="267">
        <v>471.58545454545401</v>
      </c>
      <c r="E6" s="267">
        <v>34.622422999999998</v>
      </c>
      <c r="F6" s="86"/>
      <c r="G6" s="86"/>
      <c r="H6" s="86"/>
      <c r="I6" s="86"/>
      <c r="J6" s="86"/>
      <c r="K6" s="86"/>
      <c r="L6" s="110"/>
      <c r="M6" s="267">
        <v>471.58545454545401</v>
      </c>
      <c r="N6" s="267">
        <v>34.622422999999998</v>
      </c>
      <c r="O6" s="86"/>
      <c r="P6" s="86"/>
      <c r="Q6" s="86"/>
      <c r="R6" s="86"/>
      <c r="S6" s="86"/>
      <c r="T6" s="86"/>
      <c r="U6" s="85" t="e">
        <f t="shared" si="0"/>
        <v>#DIV/0!</v>
      </c>
      <c r="V6" s="86" t="e">
        <f t="shared" si="0"/>
        <v>#DIV/0!</v>
      </c>
      <c r="W6" s="128"/>
      <c r="X6" s="89"/>
      <c r="Y6" s="90"/>
      <c r="Z6" s="90"/>
      <c r="AA6" s="90"/>
      <c r="AB6" s="90"/>
      <c r="AC6" s="90"/>
      <c r="AD6" s="90"/>
      <c r="AE6" s="90"/>
      <c r="AF6" s="90"/>
      <c r="AG6" s="91"/>
      <c r="AH6" s="130"/>
      <c r="AO6" s="240" t="s">
        <v>44</v>
      </c>
      <c r="AP6" s="240" cm="1">
        <f t="array" ref="AP6">pareto($D4:$D9,$E4:$E9,3,"rate",$AR$1,$AO5,$AO7)</f>
        <v>269.607272727272</v>
      </c>
      <c r="AQ6" s="240" cm="1">
        <f t="array" ref="AQ6">pareto($D4:$D9,$E4:$E9,3,"dist",$AR$1,$AO5,$AO7)</f>
        <v>29.695416999999999</v>
      </c>
      <c r="AR6" s="240" cm="1">
        <f t="array" ref="AR6">pareto($M4:$M9,$N4:$N9,3,"rate",$AR$1,$AO5,$AO7)</f>
        <v>269.607272727272</v>
      </c>
      <c r="AS6" s="240" cm="1">
        <f t="array" ref="AS6">pareto($M4:$M9,$N4:$N9,3,"dist",$AR$1,$AO5,$AO7)</f>
        <v>29.695416999999999</v>
      </c>
      <c r="AT6" s="1"/>
      <c r="AU6" s="244" t="s">
        <v>22</v>
      </c>
    </row>
    <row r="7" spans="1:47" ht="12" customHeight="1" x14ac:dyDescent="0.25">
      <c r="A7" s="74"/>
      <c r="B7" s="133"/>
      <c r="C7" s="107" t="s">
        <v>253</v>
      </c>
      <c r="D7" s="267">
        <v>269.607272727272</v>
      </c>
      <c r="E7" s="267">
        <v>29.695416999999999</v>
      </c>
      <c r="F7" s="86"/>
      <c r="G7" s="86"/>
      <c r="H7" s="86"/>
      <c r="I7" s="86"/>
      <c r="J7" s="86"/>
      <c r="K7" s="86"/>
      <c r="L7" s="110"/>
      <c r="M7" s="267">
        <v>269.607272727272</v>
      </c>
      <c r="N7" s="267">
        <v>29.695416999999999</v>
      </c>
      <c r="O7" s="86"/>
      <c r="P7" s="86"/>
      <c r="Q7" s="86"/>
      <c r="R7" s="86"/>
      <c r="S7" s="86"/>
      <c r="T7" s="86"/>
      <c r="U7" s="85" t="e">
        <f t="shared" si="0"/>
        <v>#DIV/0!</v>
      </c>
      <c r="V7" s="86" t="e">
        <f t="shared" si="0"/>
        <v>#DIV/0!</v>
      </c>
      <c r="W7" s="128"/>
      <c r="X7" s="89"/>
      <c r="Y7" s="90"/>
      <c r="Z7" s="90"/>
      <c r="AA7" s="90"/>
      <c r="AB7" s="90"/>
      <c r="AC7" s="90"/>
      <c r="AD7" s="90"/>
      <c r="AE7" s="90"/>
      <c r="AF7" s="90"/>
      <c r="AG7" s="91"/>
      <c r="AH7" s="130"/>
      <c r="AO7" s="240">
        <v>20</v>
      </c>
      <c r="AP7" s="240" cm="1">
        <f t="array" ref="AP7">pareto($D4:$D9,$E4:$E9,4,"rate",$AR$1,$AO5,$AO7)</f>
        <v>173.16363636363599</v>
      </c>
      <c r="AQ7" s="240" cm="1">
        <f t="array" ref="AQ7">pareto($D4:$D9,$E4:$E9,4,"dist",$AR$1,$AO5,$AO7)</f>
        <v>12.069731000000001</v>
      </c>
      <c r="AR7" s="240" cm="1">
        <f t="array" ref="AR7">pareto($M4:$M9,$N4:$N9,4,"rate",$AR$1,$AO5,$AO7)</f>
        <v>173.16363636363599</v>
      </c>
      <c r="AS7" s="240" cm="1">
        <f t="array" ref="AS7">pareto($M4:$M9,$N4:$N9,4,"dist",$AR$1,$AO5,$AO7)</f>
        <v>12.069731000000001</v>
      </c>
      <c r="AT7" s="1"/>
      <c r="AU7" s="244" t="s">
        <v>45</v>
      </c>
    </row>
    <row r="8" spans="1:47" ht="12" customHeight="1" x14ac:dyDescent="0.25">
      <c r="A8" s="74"/>
      <c r="B8" s="133"/>
      <c r="C8" s="107" t="s">
        <v>254</v>
      </c>
      <c r="D8" s="267">
        <v>173.16363636363599</v>
      </c>
      <c r="E8" s="267">
        <v>12.069731000000001</v>
      </c>
      <c r="F8" s="86"/>
      <c r="G8" s="86"/>
      <c r="H8" s="86"/>
      <c r="I8" s="86"/>
      <c r="J8" s="86"/>
      <c r="K8" s="86"/>
      <c r="L8" s="110"/>
      <c r="M8" s="267">
        <v>173.16363636363599</v>
      </c>
      <c r="N8" s="267">
        <v>12.069731000000001</v>
      </c>
      <c r="O8" s="86"/>
      <c r="P8" s="86"/>
      <c r="Q8" s="86"/>
      <c r="R8" s="86"/>
      <c r="S8" s="86"/>
      <c r="T8" s="86"/>
      <c r="U8" s="85" t="e">
        <f t="shared" si="0"/>
        <v>#DIV/0!</v>
      </c>
      <c r="V8" s="86" t="e">
        <f t="shared" si="0"/>
        <v>#DIV/0!</v>
      </c>
      <c r="W8" s="128"/>
      <c r="X8" s="89"/>
      <c r="Y8" s="90"/>
      <c r="Z8" s="90"/>
      <c r="AA8" s="90"/>
      <c r="AB8" s="90"/>
      <c r="AC8" s="90"/>
      <c r="AD8" s="90"/>
      <c r="AE8" s="90"/>
      <c r="AF8" s="90"/>
      <c r="AG8" s="91"/>
      <c r="AH8" s="130"/>
      <c r="AO8" s="240"/>
      <c r="AP8" s="240" cm="1">
        <f t="array" ref="AP8">pareto($D4:$D9,$E4:$E9,5,"rate",$AR$1,$AO5,$AO7)</f>
        <v>105.796363636363</v>
      </c>
      <c r="AQ8" s="240" cm="1">
        <f t="array" ref="AQ8">pareto($D4:$D9,$E4:$E9,5,"dist",$AR$1,$AO5,$AO7)</f>
        <v>1.3868910000000001</v>
      </c>
      <c r="AR8" s="240" cm="1">
        <f t="array" ref="AR8">pareto($M4:$M9,$N4:$N9,5,"rate",$AR$1,$AO5,$AO7)</f>
        <v>105.796363636363</v>
      </c>
      <c r="AS8" s="240" cm="1">
        <f t="array" ref="AS8">pareto($M4:$M9,$N4:$N9,5,"dist",$AR$1,$AO5,$AO7)</f>
        <v>1.3868910000000001</v>
      </c>
      <c r="AT8" s="240"/>
      <c r="AU8" s="240"/>
    </row>
    <row r="9" spans="1:47" ht="12" customHeight="1" thickBot="1" x14ac:dyDescent="0.3">
      <c r="A9" s="74"/>
      <c r="B9" s="134"/>
      <c r="C9" s="108" t="s">
        <v>255</v>
      </c>
      <c r="D9" s="267">
        <v>105.796363636363</v>
      </c>
      <c r="E9" s="267">
        <v>1.3868910000000001</v>
      </c>
      <c r="F9" s="94"/>
      <c r="G9" s="94"/>
      <c r="H9" s="94"/>
      <c r="I9" s="94"/>
      <c r="J9" s="94"/>
      <c r="K9" s="94"/>
      <c r="L9" s="111"/>
      <c r="M9" s="267">
        <v>105.796363636363</v>
      </c>
      <c r="N9" s="267">
        <v>1.3868910000000001</v>
      </c>
      <c r="O9" s="94"/>
      <c r="P9" s="94"/>
      <c r="Q9" s="94"/>
      <c r="R9" s="94"/>
      <c r="S9" s="94"/>
      <c r="T9" s="94"/>
      <c r="U9" s="85" t="e">
        <f t="shared" si="0"/>
        <v>#DIV/0!</v>
      </c>
      <c r="V9" s="86" t="e">
        <f t="shared" si="0"/>
        <v>#DIV/0!</v>
      </c>
      <c r="W9" s="128"/>
      <c r="X9" s="95"/>
      <c r="Y9" s="96"/>
      <c r="Z9" s="96"/>
      <c r="AA9" s="96"/>
      <c r="AB9" s="96"/>
      <c r="AC9" s="96"/>
      <c r="AD9" s="96"/>
      <c r="AE9" s="96"/>
      <c r="AF9" s="96"/>
      <c r="AG9" s="97"/>
      <c r="AH9" s="131"/>
      <c r="AO9" s="240"/>
      <c r="AP9" s="240" t="e" cm="1">
        <f t="array" ref="AP9">pareto($D4:$D9,$E4:$E9,6,"rate",$AR$1,$AO5,$AO7)</f>
        <v>#N/A</v>
      </c>
      <c r="AQ9" s="240" t="e" cm="1">
        <f t="array" ref="AQ9">pareto($D4:$D9,$E4:$E9,6,"dist",$AR$1,$AO5,$AO7)</f>
        <v>#N/A</v>
      </c>
      <c r="AR9" s="240" t="e" cm="1">
        <f t="array" ref="AR9">pareto($M4:$M9,$N4:$N9,6,"rate",$AR$1,$AO5,$AO7)</f>
        <v>#N/A</v>
      </c>
      <c r="AS9" s="240" t="e" cm="1">
        <f t="array" ref="AS9">pareto($M4:$M9,$N4:$N9,6,"dist",$AR$1,$AO5,$AO7)</f>
        <v>#N/A</v>
      </c>
      <c r="AT9" s="240"/>
      <c r="AU9" s="240"/>
    </row>
    <row r="10" spans="1:47" ht="12" customHeight="1" x14ac:dyDescent="0.25">
      <c r="A10" s="81" t="s">
        <v>59</v>
      </c>
      <c r="B10" s="132" t="s">
        <v>61</v>
      </c>
      <c r="C10" s="106" t="s">
        <v>250</v>
      </c>
      <c r="D10" s="267">
        <v>432.70981818181798</v>
      </c>
      <c r="E10" s="267">
        <v>44.494627999999999</v>
      </c>
      <c r="F10" s="83"/>
      <c r="G10" s="83"/>
      <c r="H10" s="83"/>
      <c r="I10" s="83"/>
      <c r="J10" s="83"/>
      <c r="K10" s="83"/>
      <c r="L10" s="110"/>
      <c r="M10" s="267">
        <v>432.70981818181798</v>
      </c>
      <c r="N10" s="267">
        <v>44.494627999999999</v>
      </c>
      <c r="O10" s="83"/>
      <c r="P10" s="83"/>
      <c r="Q10" s="83"/>
      <c r="R10" s="83"/>
      <c r="S10" s="83"/>
      <c r="T10" s="83"/>
      <c r="U10" s="85" t="e">
        <f t="shared" si="0"/>
        <v>#DIV/0!</v>
      </c>
      <c r="V10" s="87" t="e">
        <f t="shared" si="0"/>
        <v>#DIV/0!</v>
      </c>
      <c r="W10" s="118"/>
      <c r="X10" s="122">
        <f>bdRateExtend($D10:$D15,$E10:$E15,$M10:$M15,$N10:$N15)</f>
        <v>1E+308</v>
      </c>
      <c r="Y10" s="14">
        <f t="shared" ref="Y10" si="1">bdRateExtend($D10:$D14,$E10:$E14,$M10:$M14,$N10:$N14)</f>
        <v>1E+308</v>
      </c>
      <c r="Z10" s="14">
        <f t="shared" ref="Z10" si="2">bdRateExtend($D11:$D15,$E11:$E15,$M11:$M15,$N11:$N15)</f>
        <v>1E+308</v>
      </c>
      <c r="AA10" s="14">
        <f t="shared" ref="AA10" si="3">bdRateExtend($D10:$D13,$E10:$E13,$M10:$M13,$N10:$N13)</f>
        <v>1E+308</v>
      </c>
      <c r="AB10" s="14">
        <f t="shared" ref="AB10" si="4">bdRateExtend($D11:$D14,$E11:$E14,$M11:$M14,$N11:$N14)</f>
        <v>1E+308</v>
      </c>
      <c r="AC10" s="14">
        <f t="shared" ref="AC10" si="5">bdRateExtend($D12:$D15,$E12:$E15,$M12:$M15,$N12:$N15)</f>
        <v>1E+308</v>
      </c>
      <c r="AD10" s="34" cm="1">
        <f t="array" ref="AD10">bdRatePareto(AP10:AP15,AQ10:AQ15,AR10:AR15,AS10:AS15)</f>
        <v>0</v>
      </c>
      <c r="AE10" s="14" t="e">
        <f>bdRateExtend($D10:$D15,F10:F15,$M10:$M15,O10:O15)</f>
        <v>#VALUE!</v>
      </c>
      <c r="AF10" s="14" t="e">
        <f>bdRateExtend($D10:$D15,G10:G15,$M10:$M15,P10:P15)</f>
        <v>#VALUE!</v>
      </c>
      <c r="AG10" s="15" t="e">
        <f>bdRateExtend($D10:$D15,H10:H15,$M10:$M15,Q10:Q15)</f>
        <v>#VALUE!</v>
      </c>
      <c r="AH10" s="72">
        <f>bdPSNRExtend($D10:$D15,$E10:$E15,$M10:$M15,$N10:$N15)</f>
        <v>0</v>
      </c>
      <c r="AO10" s="240" t="s">
        <v>213</v>
      </c>
      <c r="AP10" s="240" cm="1">
        <f t="array" ref="AP10">pareto($D10:$D15,$E10:$E15,1,"rate",$AR$1,$AO11,$AO13)</f>
        <v>240.71563636363601</v>
      </c>
      <c r="AQ10" s="240" cm="1">
        <f t="array" ref="AQ10">pareto($D10:$D15,$E10:$E15,1,"dist",$AR$1,$AO11,$AO13)</f>
        <v>44.889552000000002</v>
      </c>
      <c r="AR10" s="240" cm="1">
        <f t="array" ref="AR10">pareto($M10:$M15,$N10:$N15,1,"rate",$AR$1,$AO11,$AO13)</f>
        <v>240.71563636363601</v>
      </c>
      <c r="AS10" s="240" cm="1">
        <f t="array" ref="AS10">pareto($M10:$M15,$N10:$N15,1,"dist",$AR$1,$AO11,$AO13)</f>
        <v>44.889552000000002</v>
      </c>
      <c r="AT10" s="240"/>
      <c r="AU10" s="240"/>
    </row>
    <row r="11" spans="1:47" ht="12" customHeight="1" x14ac:dyDescent="0.25">
      <c r="A11" s="136"/>
      <c r="B11" s="133"/>
      <c r="C11" s="107" t="s">
        <v>251</v>
      </c>
      <c r="D11" s="267">
        <v>240.71563636363601</v>
      </c>
      <c r="E11" s="267">
        <v>44.889552000000002</v>
      </c>
      <c r="F11" s="86"/>
      <c r="G11" s="86"/>
      <c r="H11" s="86"/>
      <c r="I11" s="86"/>
      <c r="J11" s="86"/>
      <c r="K11" s="86"/>
      <c r="L11" s="110"/>
      <c r="M11" s="267">
        <v>240.71563636363601</v>
      </c>
      <c r="N11" s="267">
        <v>44.889552000000002</v>
      </c>
      <c r="O11" s="86"/>
      <c r="P11" s="86"/>
      <c r="Q11" s="86"/>
      <c r="R11" s="86"/>
      <c r="S11" s="86"/>
      <c r="T11" s="86"/>
      <c r="U11" s="85" t="e">
        <f t="shared" si="0"/>
        <v>#DIV/0!</v>
      </c>
      <c r="V11" s="87" t="e">
        <f t="shared" si="0"/>
        <v>#DIV/0!</v>
      </c>
      <c r="W11" s="11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15"/>
      <c r="AO11" s="240">
        <v>57.383850000000002</v>
      </c>
      <c r="AP11" s="240" cm="1">
        <f t="array" ref="AP11">pareto($D10:$D15,$E10:$E15,2,"rate",$AR$1,$AO11,$AO13)</f>
        <v>105.37309090909</v>
      </c>
      <c r="AQ11" s="240" cm="1">
        <f t="array" ref="AQ11">pareto($D10:$D15,$E10:$E15,2,"dist",$AR$1,$AO11,$AO13)</f>
        <v>40.795668999999997</v>
      </c>
      <c r="AR11" s="240" cm="1">
        <f t="array" ref="AR11">pareto($M10:$M15,$N10:$N15,2,"rate",$AR$1,$AO11,$AO13)</f>
        <v>105.37309090909</v>
      </c>
      <c r="AS11" s="240" cm="1">
        <f t="array" ref="AS11">pareto($M10:$M15,$N10:$N15,2,"dist",$AR$1,$AO11,$AO13)</f>
        <v>40.795668999999997</v>
      </c>
      <c r="AT11" s="240"/>
      <c r="AU11" s="240"/>
    </row>
    <row r="12" spans="1:47" ht="12" customHeight="1" x14ac:dyDescent="0.25">
      <c r="A12" s="74"/>
      <c r="B12" s="133"/>
      <c r="C12" s="107" t="s">
        <v>252</v>
      </c>
      <c r="D12" s="267">
        <v>105.37309090909</v>
      </c>
      <c r="E12" s="267">
        <v>40.795668999999997</v>
      </c>
      <c r="F12" s="86"/>
      <c r="G12" s="86"/>
      <c r="H12" s="86"/>
      <c r="I12" s="86"/>
      <c r="J12" s="86"/>
      <c r="K12" s="86"/>
      <c r="L12" s="110"/>
      <c r="M12" s="267">
        <v>105.37309090909</v>
      </c>
      <c r="N12" s="267">
        <v>40.795668999999997</v>
      </c>
      <c r="O12" s="86"/>
      <c r="P12" s="86"/>
      <c r="Q12" s="86"/>
      <c r="R12" s="86"/>
      <c r="S12" s="86"/>
      <c r="T12" s="86"/>
      <c r="U12" s="85" t="e">
        <f t="shared" si="0"/>
        <v>#DIV/0!</v>
      </c>
      <c r="V12" s="87" t="e">
        <f t="shared" si="0"/>
        <v>#DIV/0!</v>
      </c>
      <c r="W12" s="11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15"/>
      <c r="AO12" s="240" t="s">
        <v>44</v>
      </c>
      <c r="AP12" s="240" cm="1">
        <f t="array" ref="AP12">pareto($D10:$D15,$E10:$E15,3,"rate",$AR$1,$AO11,$AO13)</f>
        <v>62.6443636363636</v>
      </c>
      <c r="AQ12" s="240" cm="1">
        <f t="array" ref="AQ12">pareto($D10:$D15,$E10:$E15,3,"dist",$AR$1,$AO11,$AO13)</f>
        <v>33.991084999999998</v>
      </c>
      <c r="AR12" s="240" cm="1">
        <f t="array" ref="AR12">pareto($M10:$M15,$N10:$N15,3,"rate",$AR$1,$AO11,$AO13)</f>
        <v>62.6443636363636</v>
      </c>
      <c r="AS12" s="240" cm="1">
        <f t="array" ref="AS12">pareto($M10:$M15,$N10:$N15,3,"dist",$AR$1,$AO11,$AO13)</f>
        <v>33.991084999999998</v>
      </c>
      <c r="AT12" s="240"/>
      <c r="AU12" s="240"/>
    </row>
    <row r="13" spans="1:47" ht="12" customHeight="1" x14ac:dyDescent="0.25">
      <c r="A13" s="74"/>
      <c r="B13" s="133"/>
      <c r="C13" s="107" t="s">
        <v>253</v>
      </c>
      <c r="D13" s="267">
        <v>80.762181818181801</v>
      </c>
      <c r="E13" s="267">
        <v>31.918164999999998</v>
      </c>
      <c r="F13" s="86"/>
      <c r="G13" s="86"/>
      <c r="H13" s="86"/>
      <c r="I13" s="86"/>
      <c r="J13" s="86"/>
      <c r="K13" s="86"/>
      <c r="L13" s="110"/>
      <c r="M13" s="267">
        <v>80.762181818181801</v>
      </c>
      <c r="N13" s="267">
        <v>31.918164999999998</v>
      </c>
      <c r="O13" s="86"/>
      <c r="P13" s="86"/>
      <c r="Q13" s="86"/>
      <c r="R13" s="86"/>
      <c r="S13" s="86"/>
      <c r="T13" s="86"/>
      <c r="U13" s="85" t="e">
        <f t="shared" si="0"/>
        <v>#DIV/0!</v>
      </c>
      <c r="V13" s="87" t="e">
        <f t="shared" si="0"/>
        <v>#DIV/0!</v>
      </c>
      <c r="W13" s="11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15"/>
      <c r="AO13" s="240">
        <v>20</v>
      </c>
      <c r="AP13" s="240" cm="1">
        <f t="array" ref="AP13">pareto($D10:$D15,$E10:$E15,4,"rate",$AR$1,$AO11,$AO13)</f>
        <v>37.707636363636297</v>
      </c>
      <c r="AQ13" s="240" cm="1">
        <f t="array" ref="AQ13">pareto($D10:$D15,$E10:$E15,4,"dist",$AR$1,$AO11,$AO13)</f>
        <v>17.678847000000001</v>
      </c>
      <c r="AR13" s="240" cm="1">
        <f t="array" ref="AR13">pareto($M10:$M15,$N10:$N15,4,"rate",$AR$1,$AO11,$AO13)</f>
        <v>37.707636363636297</v>
      </c>
      <c r="AS13" s="240" cm="1">
        <f t="array" ref="AS13">pareto($M10:$M15,$N10:$N15,4,"dist",$AR$1,$AO11,$AO13)</f>
        <v>17.678847000000001</v>
      </c>
      <c r="AT13" s="240"/>
      <c r="AU13" s="240"/>
    </row>
    <row r="14" spans="1:47" ht="12" customHeight="1" x14ac:dyDescent="0.25">
      <c r="A14" s="74"/>
      <c r="B14" s="133"/>
      <c r="C14" s="107" t="s">
        <v>254</v>
      </c>
      <c r="D14" s="267">
        <v>62.6443636363636</v>
      </c>
      <c r="E14" s="267">
        <v>33.991084999999998</v>
      </c>
      <c r="F14" s="86"/>
      <c r="G14" s="86"/>
      <c r="H14" s="86"/>
      <c r="I14" s="86"/>
      <c r="J14" s="86"/>
      <c r="K14" s="86"/>
      <c r="L14" s="110"/>
      <c r="M14" s="267">
        <v>62.6443636363636</v>
      </c>
      <c r="N14" s="267">
        <v>33.991084999999998</v>
      </c>
      <c r="O14" s="86"/>
      <c r="P14" s="86"/>
      <c r="Q14" s="86"/>
      <c r="R14" s="86"/>
      <c r="S14" s="86"/>
      <c r="T14" s="86"/>
      <c r="U14" s="85" t="e">
        <f t="shared" si="0"/>
        <v>#DIV/0!</v>
      </c>
      <c r="V14" s="87" t="e">
        <f t="shared" si="0"/>
        <v>#DIV/0!</v>
      </c>
      <c r="W14" s="11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15"/>
      <c r="AO14" s="240"/>
      <c r="AP14" s="240" t="e" cm="1">
        <f t="array" ref="AP14">pareto($D10:$D15,$E10:$E15,5,"rate",$AR$1,$AO11,$AO13)</f>
        <v>#N/A</v>
      </c>
      <c r="AQ14" s="240" t="e" cm="1">
        <f t="array" ref="AQ14">pareto($D10:$D15,$E10:$E15,5,"dist",$AR$1,$AO11,$AO13)</f>
        <v>#N/A</v>
      </c>
      <c r="AR14" s="240" t="e" cm="1">
        <f t="array" ref="AR14">pareto($M10:$M15,$N10:$N15,5,"rate",$AR$1,$AO11,$AO13)</f>
        <v>#N/A</v>
      </c>
      <c r="AS14" s="240" t="e" cm="1">
        <f t="array" ref="AS14">pareto($M10:$M15,$N10:$N15,5,"dist",$AR$1,$AO11,$AO13)</f>
        <v>#N/A</v>
      </c>
      <c r="AT14" s="240"/>
      <c r="AU14" s="240"/>
    </row>
    <row r="15" spans="1:47" ht="12" customHeight="1" thickBot="1" x14ac:dyDescent="0.3">
      <c r="A15" s="74"/>
      <c r="B15" s="134"/>
      <c r="C15" s="108" t="s">
        <v>255</v>
      </c>
      <c r="D15" s="267">
        <v>37.707636363636297</v>
      </c>
      <c r="E15" s="267">
        <v>17.678847000000001</v>
      </c>
      <c r="F15" s="94"/>
      <c r="G15" s="94"/>
      <c r="H15" s="94"/>
      <c r="I15" s="94"/>
      <c r="J15" s="94"/>
      <c r="K15" s="94"/>
      <c r="L15" s="110"/>
      <c r="M15" s="267">
        <v>37.707636363636297</v>
      </c>
      <c r="N15" s="267">
        <v>17.678847000000001</v>
      </c>
      <c r="O15" s="94"/>
      <c r="P15" s="94"/>
      <c r="Q15" s="94"/>
      <c r="R15" s="94"/>
      <c r="S15" s="94"/>
      <c r="T15" s="94"/>
      <c r="U15" s="85" t="e">
        <f t="shared" si="0"/>
        <v>#DIV/0!</v>
      </c>
      <c r="V15" s="87" t="e">
        <f t="shared" si="0"/>
        <v>#DIV/0!</v>
      </c>
      <c r="W15" s="11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16"/>
      <c r="AO15" s="240"/>
      <c r="AP15" s="240" t="e" cm="1">
        <f t="array" ref="AP15">pareto($D10:$D15,$E10:$E15,6,"rate",$AR$1,$AO11,$AO13)</f>
        <v>#N/A</v>
      </c>
      <c r="AQ15" s="240" t="e" cm="1">
        <f t="array" ref="AQ15">pareto($D10:$D15,$E10:$E15,6,"dist",$AR$1,$AO11,$AO13)</f>
        <v>#N/A</v>
      </c>
      <c r="AR15" s="240" t="e" cm="1">
        <f t="array" ref="AR15">pareto($M10:$M15,$N10:$N15,6,"rate",$AR$1,$AO11,$AO13)</f>
        <v>#N/A</v>
      </c>
      <c r="AS15" s="240" t="e" cm="1">
        <f t="array" ref="AS15">pareto($M10:$M15,$N10:$N15,6,"dist",$AR$1,$AO11,$AO13)</f>
        <v>#N/A</v>
      </c>
      <c r="AT15" s="240"/>
      <c r="AU15" s="240"/>
    </row>
    <row r="16" spans="1:47" ht="12" customHeight="1" x14ac:dyDescent="0.25">
      <c r="A16" s="74"/>
      <c r="B16" s="132" t="s">
        <v>62</v>
      </c>
      <c r="C16" s="106" t="s">
        <v>250</v>
      </c>
      <c r="D16" s="267">
        <v>474.68453608247398</v>
      </c>
      <c r="E16" s="267">
        <v>65.304693999999998</v>
      </c>
      <c r="F16" s="83"/>
      <c r="G16" s="83"/>
      <c r="H16" s="83"/>
      <c r="I16" s="83"/>
      <c r="J16" s="83"/>
      <c r="K16" s="83"/>
      <c r="L16" s="110"/>
      <c r="M16" s="267">
        <v>474.68453608247398</v>
      </c>
      <c r="N16" s="267">
        <v>65.304693999999998</v>
      </c>
      <c r="O16" s="83"/>
      <c r="P16" s="83"/>
      <c r="Q16" s="83"/>
      <c r="R16" s="83"/>
      <c r="S16" s="83"/>
      <c r="T16" s="83"/>
      <c r="U16" s="85" t="e">
        <f t="shared" si="0"/>
        <v>#DIV/0!</v>
      </c>
      <c r="V16" s="87" t="e">
        <f t="shared" si="0"/>
        <v>#DIV/0!</v>
      </c>
      <c r="W16" s="118"/>
      <c r="X16" s="122">
        <f>bdRateExtend($D16:$D21,$E16:$E21,$M16:$M21,$N16:$N21)</f>
        <v>0</v>
      </c>
      <c r="Y16" s="14">
        <f t="shared" ref="Y16" si="6">bdRateExtend($D16:$D20,$E16:$E20,$M16:$M20,$N16:$N20)</f>
        <v>0</v>
      </c>
      <c r="Z16" s="14">
        <f t="shared" ref="Z16" si="7">bdRateExtend($D17:$D21,$E17:$E21,$M17:$M21,$N17:$N21)</f>
        <v>0</v>
      </c>
      <c r="AA16" s="14">
        <f t="shared" ref="AA16" si="8">bdRateExtend($D16:$D19,$E16:$E19,$M16:$M19,$N16:$N19)</f>
        <v>0</v>
      </c>
      <c r="AB16" s="14">
        <f t="shared" ref="AB16" si="9">bdRateExtend($D17:$D20,$E17:$E20,$M17:$M20,$N17:$N20)</f>
        <v>0</v>
      </c>
      <c r="AC16" s="14">
        <f t="shared" ref="AC16" si="10">bdRateExtend($D18:$D21,$E18:$E21,$M18:$M21,$N18:$N21)</f>
        <v>0</v>
      </c>
      <c r="AD16" s="34" cm="1">
        <f t="array" ref="AD16">bdRatePareto(AP16:AP21,AQ16:AQ21,AR16:AR21,AS16:AS21)</f>
        <v>0</v>
      </c>
      <c r="AE16" s="14" t="e">
        <f>bdRateExtend($D16:$D21,F16:F21,$M16:$M21,O16:O21)</f>
        <v>#VALUE!</v>
      </c>
      <c r="AF16" s="14" t="e">
        <f>bdRateExtend($D16:$D21,G16:G21,$M16:$M21,P16:P21)</f>
        <v>#VALUE!</v>
      </c>
      <c r="AG16" s="15" t="e">
        <f>bdRateExtend($D16:$D21,H16:H21,$M16:$M21,Q16:Q21)</f>
        <v>#VALUE!</v>
      </c>
      <c r="AH16" s="72">
        <f>bdPSNRExtend($D16:$D21,$E16:$E21,$M16:$M21,$N16:$N21)</f>
        <v>0</v>
      </c>
      <c r="AO16" s="240" t="s">
        <v>213</v>
      </c>
      <c r="AP16" s="240" cm="1">
        <f t="array" ref="AP16">pareto($D16:$D21,$E16:$E21,1,"rate",$AR$1,$AO17,$AO19)</f>
        <v>474.68453608247398</v>
      </c>
      <c r="AQ16" s="240" cm="1">
        <f t="array" ref="AQ16">pareto($D16:$D21,$E16:$E21,1,"dist",$AR$1,$AO17,$AO19)</f>
        <v>65.304693999999998</v>
      </c>
      <c r="AR16" s="240" cm="1">
        <f t="array" ref="AR16">pareto($M16:$M21,$N16:$N21,1,"rate",$AR$1,$AO17,$AO19)</f>
        <v>474.68453608247398</v>
      </c>
      <c r="AS16" s="240" cm="1">
        <f t="array" ref="AS16">pareto($M16:$M21,$N16:$N21,1,"dist",$AR$1,$AO17,$AO19)</f>
        <v>65.304693999999998</v>
      </c>
      <c r="AT16" s="240"/>
      <c r="AU16" s="240"/>
    </row>
    <row r="17" spans="1:47" ht="12" customHeight="1" x14ac:dyDescent="0.25">
      <c r="A17" s="74"/>
      <c r="B17" s="133"/>
      <c r="C17" s="107" t="s">
        <v>251</v>
      </c>
      <c r="D17" s="267">
        <v>356.82061855670099</v>
      </c>
      <c r="E17" s="267">
        <v>62.886867000000002</v>
      </c>
      <c r="F17" s="86"/>
      <c r="G17" s="86"/>
      <c r="H17" s="86"/>
      <c r="I17" s="86"/>
      <c r="J17" s="86"/>
      <c r="K17" s="86"/>
      <c r="L17" s="110"/>
      <c r="M17" s="267">
        <v>356.82061855670099</v>
      </c>
      <c r="N17" s="267">
        <v>62.886867000000002</v>
      </c>
      <c r="O17" s="86"/>
      <c r="P17" s="86"/>
      <c r="Q17" s="86"/>
      <c r="R17" s="86"/>
      <c r="S17" s="86"/>
      <c r="T17" s="86"/>
      <c r="U17" s="85" t="e">
        <f t="shared" si="0"/>
        <v>#DIV/0!</v>
      </c>
      <c r="V17" s="87" t="e">
        <f t="shared" si="0"/>
        <v>#DIV/0!</v>
      </c>
      <c r="W17" s="118"/>
      <c r="X17" s="89"/>
      <c r="Y17" s="90"/>
      <c r="Z17" s="90"/>
      <c r="AA17" s="90"/>
      <c r="AB17" s="90"/>
      <c r="AC17" s="90"/>
      <c r="AD17" s="90"/>
      <c r="AE17" s="90"/>
      <c r="AF17" s="90"/>
      <c r="AG17" s="91"/>
      <c r="AH17" s="115"/>
      <c r="AO17" s="240">
        <v>70.148171000000005</v>
      </c>
      <c r="AP17" s="240" cm="1">
        <f t="array" ref="AP17">pareto($D16:$D21,$E16:$E21,2,"rate",$AR$1,$AO17,$AO19)</f>
        <v>356.82061855670099</v>
      </c>
      <c r="AQ17" s="240" cm="1">
        <f t="array" ref="AQ17">pareto($D16:$D21,$E16:$E21,2,"dist",$AR$1,$AO17,$AO19)</f>
        <v>62.886867000000002</v>
      </c>
      <c r="AR17" s="240" cm="1">
        <f t="array" ref="AR17">pareto($M16:$M21,$N16:$N21,2,"rate",$AR$1,$AO17,$AO19)</f>
        <v>356.82061855670099</v>
      </c>
      <c r="AS17" s="240" cm="1">
        <f t="array" ref="AS17">pareto($M16:$M21,$N16:$N21,2,"dist",$AR$1,$AO17,$AO19)</f>
        <v>62.886867000000002</v>
      </c>
      <c r="AT17" s="240"/>
      <c r="AU17" s="240"/>
    </row>
    <row r="18" spans="1:47" ht="12" customHeight="1" x14ac:dyDescent="0.25">
      <c r="A18" s="74"/>
      <c r="B18" s="133"/>
      <c r="C18" s="107" t="s">
        <v>252</v>
      </c>
      <c r="D18" s="267">
        <v>198.070103092783</v>
      </c>
      <c r="E18" s="267">
        <v>50.779637000000001</v>
      </c>
      <c r="F18" s="86"/>
      <c r="G18" s="86"/>
      <c r="H18" s="86"/>
      <c r="I18" s="86"/>
      <c r="J18" s="86"/>
      <c r="K18" s="86"/>
      <c r="L18" s="110"/>
      <c r="M18" s="267">
        <v>198.070103092783</v>
      </c>
      <c r="N18" s="267">
        <v>50.779637000000001</v>
      </c>
      <c r="O18" s="86"/>
      <c r="P18" s="86"/>
      <c r="Q18" s="86"/>
      <c r="R18" s="86"/>
      <c r="S18" s="86"/>
      <c r="T18" s="86"/>
      <c r="U18" s="85" t="e">
        <f t="shared" si="0"/>
        <v>#DIV/0!</v>
      </c>
      <c r="V18" s="87" t="e">
        <f t="shared" si="0"/>
        <v>#DIV/0!</v>
      </c>
      <c r="W18" s="118"/>
      <c r="X18" s="89"/>
      <c r="Y18" s="90"/>
      <c r="Z18" s="90"/>
      <c r="AA18" s="90"/>
      <c r="AB18" s="90"/>
      <c r="AC18" s="90"/>
      <c r="AD18" s="90"/>
      <c r="AE18" s="90"/>
      <c r="AF18" s="90"/>
      <c r="AG18" s="91"/>
      <c r="AH18" s="115"/>
      <c r="AO18" s="240" t="s">
        <v>44</v>
      </c>
      <c r="AP18" s="240" cm="1">
        <f t="array" ref="AP18">pareto($D16:$D21,$E16:$E21,3,"rate",$AR$1,$AO17,$AO19)</f>
        <v>198.070103092783</v>
      </c>
      <c r="AQ18" s="240" cm="1">
        <f t="array" ref="AQ18">pareto($D16:$D21,$E16:$E21,3,"dist",$AR$1,$AO17,$AO19)</f>
        <v>50.779637000000001</v>
      </c>
      <c r="AR18" s="240" cm="1">
        <f t="array" ref="AR18">pareto($M16:$M21,$N16:$N21,3,"rate",$AR$1,$AO17,$AO19)</f>
        <v>198.070103092783</v>
      </c>
      <c r="AS18" s="240" cm="1">
        <f t="array" ref="AS18">pareto($M16:$M21,$N16:$N21,3,"dist",$AR$1,$AO17,$AO19)</f>
        <v>50.779637000000001</v>
      </c>
      <c r="AT18" s="240"/>
      <c r="AU18" s="240"/>
    </row>
    <row r="19" spans="1:47" ht="12" customHeight="1" x14ac:dyDescent="0.25">
      <c r="A19" s="74"/>
      <c r="B19" s="133"/>
      <c r="C19" s="107" t="s">
        <v>253</v>
      </c>
      <c r="D19" s="267">
        <v>148.59793814432899</v>
      </c>
      <c r="E19" s="267">
        <v>43.380943000000002</v>
      </c>
      <c r="F19" s="86"/>
      <c r="G19" s="86"/>
      <c r="H19" s="86"/>
      <c r="I19" s="86"/>
      <c r="J19" s="86"/>
      <c r="K19" s="86"/>
      <c r="L19" s="110"/>
      <c r="M19" s="267">
        <v>148.59793814432899</v>
      </c>
      <c r="N19" s="267">
        <v>43.380943000000002</v>
      </c>
      <c r="O19" s="86"/>
      <c r="P19" s="86"/>
      <c r="Q19" s="86"/>
      <c r="R19" s="86"/>
      <c r="S19" s="86"/>
      <c r="T19" s="86"/>
      <c r="U19" s="85" t="e">
        <f t="shared" si="0"/>
        <v>#DIV/0!</v>
      </c>
      <c r="V19" s="87" t="e">
        <f t="shared" si="0"/>
        <v>#DIV/0!</v>
      </c>
      <c r="W19" s="118"/>
      <c r="X19" s="89"/>
      <c r="Y19" s="90"/>
      <c r="Z19" s="90"/>
      <c r="AA19" s="90"/>
      <c r="AB19" s="90"/>
      <c r="AC19" s="90"/>
      <c r="AD19" s="90"/>
      <c r="AE19" s="90"/>
      <c r="AF19" s="90"/>
      <c r="AG19" s="91"/>
      <c r="AH19" s="115"/>
      <c r="AO19" s="240">
        <v>20</v>
      </c>
      <c r="AP19" s="240" cm="1">
        <f t="array" ref="AP19">pareto($D16:$D21,$E16:$E21,4,"rate",$AR$1,$AO17,$AO19)</f>
        <v>148.59793814432899</v>
      </c>
      <c r="AQ19" s="240" cm="1">
        <f t="array" ref="AQ19">pareto($D16:$D21,$E16:$E21,4,"dist",$AR$1,$AO17,$AO19)</f>
        <v>43.380943000000002</v>
      </c>
      <c r="AR19" s="240" cm="1">
        <f t="array" ref="AR19">pareto($M16:$M21,$N16:$N21,4,"rate",$AR$1,$AO17,$AO19)</f>
        <v>148.59793814432899</v>
      </c>
      <c r="AS19" s="240" cm="1">
        <f t="array" ref="AS19">pareto($M16:$M21,$N16:$N21,4,"dist",$AR$1,$AO17,$AO19)</f>
        <v>43.380943000000002</v>
      </c>
      <c r="AT19" s="240"/>
      <c r="AU19" s="240"/>
    </row>
    <row r="20" spans="1:47" ht="12" customHeight="1" x14ac:dyDescent="0.25">
      <c r="A20" s="74"/>
      <c r="B20" s="133"/>
      <c r="C20" s="107" t="s">
        <v>254</v>
      </c>
      <c r="D20" s="267">
        <v>127.901030927835</v>
      </c>
      <c r="E20" s="267">
        <v>36.368994999999998</v>
      </c>
      <c r="F20" s="86"/>
      <c r="G20" s="86"/>
      <c r="H20" s="86"/>
      <c r="I20" s="86"/>
      <c r="J20" s="86"/>
      <c r="K20" s="86"/>
      <c r="L20" s="110"/>
      <c r="M20" s="267">
        <v>127.901030927835</v>
      </c>
      <c r="N20" s="267">
        <v>36.368994999999998</v>
      </c>
      <c r="O20" s="86"/>
      <c r="P20" s="86"/>
      <c r="Q20" s="86"/>
      <c r="R20" s="86"/>
      <c r="S20" s="86"/>
      <c r="T20" s="86"/>
      <c r="U20" s="85" t="e">
        <f t="shared" si="0"/>
        <v>#DIV/0!</v>
      </c>
      <c r="V20" s="87" t="e">
        <f t="shared" si="0"/>
        <v>#DIV/0!</v>
      </c>
      <c r="W20" s="118"/>
      <c r="X20" s="89"/>
      <c r="Y20" s="90"/>
      <c r="Z20" s="90"/>
      <c r="AA20" s="90"/>
      <c r="AB20" s="90"/>
      <c r="AC20" s="90"/>
      <c r="AD20" s="90"/>
      <c r="AE20" s="90"/>
      <c r="AF20" s="90"/>
      <c r="AG20" s="91"/>
      <c r="AH20" s="115"/>
      <c r="AO20" s="240"/>
      <c r="AP20" s="240" cm="1">
        <f t="array" ref="AP20">pareto($D16:$D21,$E16:$E21,5,"rate",$AR$1,$AO17,$AO19)</f>
        <v>127.901030927835</v>
      </c>
      <c r="AQ20" s="240" cm="1">
        <f t="array" ref="AQ20">pareto($D16:$D21,$E16:$E21,5,"dist",$AR$1,$AO17,$AO19)</f>
        <v>36.368994999999998</v>
      </c>
      <c r="AR20" s="240" cm="1">
        <f t="array" ref="AR20">pareto($M16:$M21,$N16:$N21,5,"rate",$AR$1,$AO17,$AO19)</f>
        <v>127.901030927835</v>
      </c>
      <c r="AS20" s="240" cm="1">
        <f t="array" ref="AS20">pareto($M16:$M21,$N16:$N21,5,"dist",$AR$1,$AO17,$AO19)</f>
        <v>36.368994999999998</v>
      </c>
      <c r="AT20" s="240"/>
      <c r="AU20" s="240"/>
    </row>
    <row r="21" spans="1:47" ht="12" customHeight="1" thickBot="1" x14ac:dyDescent="0.3">
      <c r="A21" s="74"/>
      <c r="B21" s="134"/>
      <c r="C21" s="108" t="s">
        <v>255</v>
      </c>
      <c r="D21" s="267">
        <v>108.997938144329</v>
      </c>
      <c r="E21" s="267">
        <v>26.822433</v>
      </c>
      <c r="F21" s="94"/>
      <c r="G21" s="94"/>
      <c r="H21" s="94"/>
      <c r="I21" s="94"/>
      <c r="J21" s="94"/>
      <c r="K21" s="94"/>
      <c r="L21" s="110"/>
      <c r="M21" s="267">
        <v>108.997938144329</v>
      </c>
      <c r="N21" s="267">
        <v>26.822433</v>
      </c>
      <c r="O21" s="94"/>
      <c r="P21" s="94"/>
      <c r="Q21" s="94"/>
      <c r="R21" s="94"/>
      <c r="S21" s="94"/>
      <c r="T21" s="94"/>
      <c r="U21" s="85" t="e">
        <f t="shared" si="0"/>
        <v>#DIV/0!</v>
      </c>
      <c r="V21" s="87" t="e">
        <f t="shared" si="0"/>
        <v>#DIV/0!</v>
      </c>
      <c r="W21" s="118"/>
      <c r="X21" s="95"/>
      <c r="Y21" s="96"/>
      <c r="Z21" s="96"/>
      <c r="AA21" s="96"/>
      <c r="AB21" s="96"/>
      <c r="AC21" s="96"/>
      <c r="AD21" s="96"/>
      <c r="AE21" s="96"/>
      <c r="AF21" s="96"/>
      <c r="AG21" s="97"/>
      <c r="AH21" s="116"/>
      <c r="AO21" s="240"/>
      <c r="AP21" s="240" cm="1">
        <f t="array" ref="AP21">pareto($D16:$D21,$E16:$E21,6,"rate",$AR$1,$AO17,$AO19)</f>
        <v>108.997938144329</v>
      </c>
      <c r="AQ21" s="240" cm="1">
        <f t="array" ref="AQ21">pareto($D16:$D21,$E16:$E21,6,"dist",$AR$1,$AO17,$AO19)</f>
        <v>26.822433</v>
      </c>
      <c r="AR21" s="240" cm="1">
        <f t="array" ref="AR21">pareto($M16:$M21,$N16:$N21,6,"rate",$AR$1,$AO17,$AO19)</f>
        <v>108.997938144329</v>
      </c>
      <c r="AS21" s="240" cm="1">
        <f t="array" ref="AS21">pareto($M16:$M21,$N16:$N21,6,"dist",$AR$1,$AO17,$AO19)</f>
        <v>26.822433</v>
      </c>
      <c r="AT21" s="240"/>
      <c r="AU21" s="240"/>
    </row>
    <row r="22" spans="1:47" ht="12" customHeight="1" x14ac:dyDescent="0.25">
      <c r="A22" s="74"/>
      <c r="B22" s="132" t="s">
        <v>63</v>
      </c>
      <c r="C22" s="106" t="s">
        <v>250</v>
      </c>
      <c r="D22" s="267">
        <v>964.457731958762</v>
      </c>
      <c r="E22" s="267">
        <v>39.240817</v>
      </c>
      <c r="F22" s="83"/>
      <c r="G22" s="83"/>
      <c r="H22" s="83"/>
      <c r="I22" s="83"/>
      <c r="J22" s="83"/>
      <c r="K22" s="83"/>
      <c r="L22" s="110"/>
      <c r="M22" s="267">
        <v>964.457731958762</v>
      </c>
      <c r="N22" s="267">
        <v>39.240817</v>
      </c>
      <c r="O22" s="83"/>
      <c r="P22" s="83"/>
      <c r="Q22" s="83"/>
      <c r="R22" s="83"/>
      <c r="S22" s="83"/>
      <c r="T22" s="83"/>
      <c r="U22" s="85" t="e">
        <f t="shared" si="0"/>
        <v>#DIV/0!</v>
      </c>
      <c r="V22" s="87" t="e">
        <f t="shared" si="0"/>
        <v>#DIV/0!</v>
      </c>
      <c r="W22" s="118"/>
      <c r="X22" s="122">
        <f>bdRateExtend($D22:$D27,$E22:$E27,$M22:$M27,$N22:$N27)</f>
        <v>0</v>
      </c>
      <c r="Y22" s="14">
        <f t="shared" ref="Y22" si="11">bdRateExtend($D22:$D26,$E22:$E26,$M22:$M26,$N22:$N26)</f>
        <v>0</v>
      </c>
      <c r="Z22" s="14">
        <f t="shared" ref="Z22" si="12">bdRateExtend($D23:$D27,$E23:$E27,$M23:$M27,$N23:$N27)</f>
        <v>0</v>
      </c>
      <c r="AA22" s="14">
        <f t="shared" ref="AA22" si="13">bdRateExtend($D22:$D25,$E22:$E25,$M22:$M25,$N22:$N25)</f>
        <v>0</v>
      </c>
      <c r="AB22" s="14">
        <f t="shared" ref="AB22" si="14">bdRateExtend($D23:$D26,$E23:$E26,$M23:$M26,$N23:$N26)</f>
        <v>0</v>
      </c>
      <c r="AC22" s="14">
        <f t="shared" ref="AC22" si="15">bdRateExtend($D24:$D27,$E24:$E27,$M24:$M27,$N24:$N27)</f>
        <v>0</v>
      </c>
      <c r="AD22" s="34" cm="1">
        <f t="array" ref="AD22">bdRatePareto(AP22:AP27,AQ22:AQ27,AR22:AR27,AS22:AS27)</f>
        <v>0</v>
      </c>
      <c r="AE22" s="14" t="e">
        <f>bdRateExtend($D22:$D27,F22:F27,$M22:$M27,O22:O27)</f>
        <v>#VALUE!</v>
      </c>
      <c r="AF22" s="14" t="e">
        <f>bdRateExtend($D22:$D27,G22:G27,$M22:$M27,P22:P27)</f>
        <v>#VALUE!</v>
      </c>
      <c r="AG22" s="15" t="e">
        <f>bdRateExtend($D22:$D27,H22:H27,$M22:$M27,Q22:Q27)</f>
        <v>#VALUE!</v>
      </c>
      <c r="AH22" s="72">
        <f>bdPSNRExtend($D22:$D27,$E22:$E27,$M22:$M27,$N22:$N27)</f>
        <v>0</v>
      </c>
      <c r="AO22" s="240" t="s">
        <v>213</v>
      </c>
      <c r="AP22" s="240" cm="1">
        <f t="array" ref="AP22">pareto($D22:$D27,$E22:$E27,1,"rate",$AR$1,$AO23,$AO25)</f>
        <v>964.457731958762</v>
      </c>
      <c r="AQ22" s="240" cm="1">
        <f t="array" ref="AQ22">pareto($D22:$D27,$E22:$E27,1,"dist",$AR$1,$AO23,$AO25)</f>
        <v>39.240817</v>
      </c>
      <c r="AR22" s="240" cm="1">
        <f t="array" ref="AR22">pareto($M22:$M27,$N22:$N27,1,"rate",$AR$1,$AO23,$AO25)</f>
        <v>964.457731958762</v>
      </c>
      <c r="AS22" s="240" cm="1">
        <f t="array" ref="AS22">pareto($M22:$M27,$N22:$N27,1,"dist",$AR$1,$AO23,$AO25)</f>
        <v>39.240817</v>
      </c>
      <c r="AT22" s="240"/>
      <c r="AU22" s="240"/>
    </row>
    <row r="23" spans="1:47" ht="12" customHeight="1" x14ac:dyDescent="0.25">
      <c r="A23" s="74"/>
      <c r="B23" s="133"/>
      <c r="C23" s="107" t="s">
        <v>251</v>
      </c>
      <c r="D23" s="267">
        <v>705.48865979381401</v>
      </c>
      <c r="E23" s="267">
        <v>37.126848000000003</v>
      </c>
      <c r="F23" s="86"/>
      <c r="G23" s="86"/>
      <c r="H23" s="86"/>
      <c r="I23" s="86"/>
      <c r="J23" s="86"/>
      <c r="K23" s="86"/>
      <c r="L23" s="110"/>
      <c r="M23" s="267">
        <v>705.48865979381401</v>
      </c>
      <c r="N23" s="267">
        <v>37.126848000000003</v>
      </c>
      <c r="O23" s="86"/>
      <c r="P23" s="86"/>
      <c r="Q23" s="86"/>
      <c r="R23" s="86"/>
      <c r="S23" s="86"/>
      <c r="T23" s="86"/>
      <c r="U23" s="85" t="e">
        <f t="shared" si="0"/>
        <v>#DIV/0!</v>
      </c>
      <c r="V23" s="87" t="e">
        <f t="shared" si="0"/>
        <v>#DIV/0!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0">
        <v>43.472600999999997</v>
      </c>
      <c r="AP23" s="240" cm="1">
        <f t="array" ref="AP23">pareto($D22:$D27,$E22:$E27,2,"rate",$AR$1,$AO23,$AO25)</f>
        <v>705.48865979381401</v>
      </c>
      <c r="AQ23" s="240" cm="1">
        <f t="array" ref="AQ23">pareto($D22:$D27,$E22:$E27,2,"dist",$AR$1,$AO23,$AO25)</f>
        <v>37.126848000000003</v>
      </c>
      <c r="AR23" s="240" cm="1">
        <f t="array" ref="AR23">pareto($M22:$M27,$N22:$N27,2,"rate",$AR$1,$AO23,$AO25)</f>
        <v>705.48865979381401</v>
      </c>
      <c r="AS23" s="240" cm="1">
        <f t="array" ref="AS23">pareto($M22:$M27,$N22:$N27,2,"dist",$AR$1,$AO23,$AO25)</f>
        <v>37.126848000000003</v>
      </c>
      <c r="AT23" s="240"/>
      <c r="AU23" s="240"/>
    </row>
    <row r="24" spans="1:47" ht="12" customHeight="1" x14ac:dyDescent="0.25">
      <c r="A24" s="74"/>
      <c r="B24" s="133"/>
      <c r="C24" s="107" t="s">
        <v>252</v>
      </c>
      <c r="D24" s="267">
        <v>492.98556701030901</v>
      </c>
      <c r="E24" s="267">
        <v>35.652078000000003</v>
      </c>
      <c r="F24" s="86"/>
      <c r="G24" s="86"/>
      <c r="H24" s="86"/>
      <c r="I24" s="86"/>
      <c r="J24" s="86"/>
      <c r="K24" s="86"/>
      <c r="L24" s="110"/>
      <c r="M24" s="267">
        <v>492.98556701030901</v>
      </c>
      <c r="N24" s="267">
        <v>35.652078000000003</v>
      </c>
      <c r="O24" s="86"/>
      <c r="P24" s="86"/>
      <c r="Q24" s="86"/>
      <c r="R24" s="86"/>
      <c r="S24" s="86"/>
      <c r="T24" s="86"/>
      <c r="U24" s="85" t="e">
        <f t="shared" si="0"/>
        <v>#DIV/0!</v>
      </c>
      <c r="V24" s="87" t="e">
        <f t="shared" si="0"/>
        <v>#DIV/0!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0" t="s">
        <v>44</v>
      </c>
      <c r="AP24" s="240" cm="1">
        <f t="array" ref="AP24">pareto($D22:$D27,$E22:$E27,3,"rate",$AR$1,$AO23,$AO25)</f>
        <v>492.98556701030901</v>
      </c>
      <c r="AQ24" s="240" cm="1">
        <f t="array" ref="AQ24">pareto($D22:$D27,$E22:$E27,3,"dist",$AR$1,$AO23,$AO25)</f>
        <v>35.652078000000003</v>
      </c>
      <c r="AR24" s="240" cm="1">
        <f t="array" ref="AR24">pareto($M22:$M27,$N22:$N27,3,"rate",$AR$1,$AO23,$AO25)</f>
        <v>492.98556701030901</v>
      </c>
      <c r="AS24" s="240" cm="1">
        <f t="array" ref="AS24">pareto($M22:$M27,$N22:$N27,3,"dist",$AR$1,$AO23,$AO25)</f>
        <v>35.652078000000003</v>
      </c>
      <c r="AT24" s="240"/>
      <c r="AU24" s="240"/>
    </row>
    <row r="25" spans="1:47" ht="12" customHeight="1" x14ac:dyDescent="0.25">
      <c r="A25" s="74"/>
      <c r="B25" s="133"/>
      <c r="C25" s="107" t="s">
        <v>253</v>
      </c>
      <c r="D25" s="267">
        <v>337.74845360824702</v>
      </c>
      <c r="E25" s="267">
        <v>27.004173999999999</v>
      </c>
      <c r="F25" s="86"/>
      <c r="G25" s="86"/>
      <c r="H25" s="86"/>
      <c r="I25" s="86"/>
      <c r="J25" s="86"/>
      <c r="K25" s="86"/>
      <c r="L25" s="110"/>
      <c r="M25" s="267">
        <v>337.74845360824702</v>
      </c>
      <c r="N25" s="267">
        <v>27.004173999999999</v>
      </c>
      <c r="O25" s="86"/>
      <c r="P25" s="86"/>
      <c r="Q25" s="86"/>
      <c r="R25" s="86"/>
      <c r="S25" s="86"/>
      <c r="T25" s="86"/>
      <c r="U25" s="85" t="e">
        <f t="shared" si="0"/>
        <v>#DIV/0!</v>
      </c>
      <c r="V25" s="87" t="e">
        <f t="shared" si="0"/>
        <v>#DIV/0!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0">
        <v>20</v>
      </c>
      <c r="AP25" s="240" cm="1">
        <f t="array" ref="AP25">pareto($D22:$D27,$E22:$E27,4,"rate",$AR$1,$AO23,$AO25)</f>
        <v>337.74845360824702</v>
      </c>
      <c r="AQ25" s="240" cm="1">
        <f t="array" ref="AQ25">pareto($D22:$D27,$E22:$E27,4,"dist",$AR$1,$AO23,$AO25)</f>
        <v>27.004173999999999</v>
      </c>
      <c r="AR25" s="240" cm="1">
        <f t="array" ref="AR25">pareto($M22:$M27,$N22:$N27,4,"rate",$AR$1,$AO23,$AO25)</f>
        <v>337.74845360824702</v>
      </c>
      <c r="AS25" s="240" cm="1">
        <f t="array" ref="AS25">pareto($M22:$M27,$N22:$N27,4,"dist",$AR$1,$AO23,$AO25)</f>
        <v>27.004173999999999</v>
      </c>
      <c r="AT25" s="240"/>
      <c r="AU25" s="240"/>
    </row>
    <row r="26" spans="1:47" ht="12" customHeight="1" x14ac:dyDescent="0.25">
      <c r="A26" s="74"/>
      <c r="B26" s="133"/>
      <c r="C26" s="107" t="s">
        <v>254</v>
      </c>
      <c r="D26" s="267">
        <v>226.989690721649</v>
      </c>
      <c r="E26" s="267">
        <v>20.270146</v>
      </c>
      <c r="F26" s="86"/>
      <c r="G26" s="86"/>
      <c r="H26" s="86"/>
      <c r="I26" s="86"/>
      <c r="J26" s="86"/>
      <c r="K26" s="86"/>
      <c r="L26" s="110"/>
      <c r="M26" s="267">
        <v>226.989690721649</v>
      </c>
      <c r="N26" s="267">
        <v>20.270146</v>
      </c>
      <c r="O26" s="86"/>
      <c r="P26" s="86"/>
      <c r="Q26" s="86"/>
      <c r="R26" s="86"/>
      <c r="S26" s="86"/>
      <c r="T26" s="86"/>
      <c r="U26" s="85" t="e">
        <f t="shared" si="0"/>
        <v>#DIV/0!</v>
      </c>
      <c r="V26" s="87" t="e">
        <f t="shared" si="0"/>
        <v>#DIV/0!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0"/>
      <c r="AP26" s="240" cm="1">
        <f t="array" ref="AP26">pareto($D22:$D27,$E22:$E27,5,"rate",$AR$1,$AO23,$AO25)</f>
        <v>226.989690721649</v>
      </c>
      <c r="AQ26" s="240" cm="1">
        <f t="array" ref="AQ26">pareto($D22:$D27,$E22:$E27,5,"dist",$AR$1,$AO23,$AO25)</f>
        <v>20.270146</v>
      </c>
      <c r="AR26" s="240" cm="1">
        <f t="array" ref="AR26">pareto($M22:$M27,$N22:$N27,5,"rate",$AR$1,$AO23,$AO25)</f>
        <v>226.989690721649</v>
      </c>
      <c r="AS26" s="240" cm="1">
        <f t="array" ref="AS26">pareto($M22:$M27,$N22:$N27,5,"dist",$AR$1,$AO23,$AO25)</f>
        <v>20.270146</v>
      </c>
      <c r="AT26" s="240"/>
      <c r="AU26" s="240"/>
    </row>
    <row r="27" spans="1:47" ht="12" customHeight="1" thickBot="1" x14ac:dyDescent="0.3">
      <c r="A27" s="74"/>
      <c r="B27" s="134"/>
      <c r="C27" s="108" t="s">
        <v>255</v>
      </c>
      <c r="D27" s="267">
        <v>150.35051546391699</v>
      </c>
      <c r="E27" s="267">
        <v>11.891667</v>
      </c>
      <c r="F27" s="94"/>
      <c r="G27" s="94"/>
      <c r="H27" s="94"/>
      <c r="I27" s="94"/>
      <c r="J27" s="94"/>
      <c r="K27" s="94"/>
      <c r="L27" s="110"/>
      <c r="M27" s="267">
        <v>150.35051546391699</v>
      </c>
      <c r="N27" s="267">
        <v>11.891667</v>
      </c>
      <c r="O27" s="94"/>
      <c r="P27" s="94"/>
      <c r="Q27" s="94"/>
      <c r="R27" s="94"/>
      <c r="S27" s="94"/>
      <c r="T27" s="94"/>
      <c r="U27" s="85" t="e">
        <f t="shared" si="0"/>
        <v>#DIV/0!</v>
      </c>
      <c r="V27" s="87" t="e">
        <f t="shared" si="0"/>
        <v>#DIV/0!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0"/>
      <c r="AP27" s="240" cm="1">
        <f t="array" ref="AP27">pareto($D22:$D27,$E22:$E27,6,"rate",$AR$1,$AO23,$AO25)</f>
        <v>150.35051546391699</v>
      </c>
      <c r="AQ27" s="240" cm="1">
        <f t="array" ref="AQ27">pareto($D22:$D27,$E22:$E27,6,"dist",$AR$1,$AO23,$AO25)</f>
        <v>11.891667</v>
      </c>
      <c r="AR27" s="240" cm="1">
        <f t="array" ref="AR27">pareto($M22:$M27,$N22:$N27,6,"rate",$AR$1,$AO23,$AO25)</f>
        <v>150.35051546391699</v>
      </c>
      <c r="AS27" s="240" cm="1">
        <f t="array" ref="AS27">pareto($M22:$M27,$N22:$N27,6,"dist",$AR$1,$AO23,$AO25)</f>
        <v>11.891667</v>
      </c>
      <c r="AT27" s="240"/>
      <c r="AU27" s="240"/>
    </row>
    <row r="28" spans="1:47" ht="12" customHeight="1" x14ac:dyDescent="0.25">
      <c r="A28" s="74"/>
      <c r="B28" s="132" t="s">
        <v>64</v>
      </c>
      <c r="C28" s="106" t="s">
        <v>250</v>
      </c>
      <c r="D28" s="267">
        <v>1523.06232558139</v>
      </c>
      <c r="E28" s="267">
        <v>36.952610999999997</v>
      </c>
      <c r="F28" s="83"/>
      <c r="G28" s="83"/>
      <c r="H28" s="83"/>
      <c r="I28" s="83"/>
      <c r="J28" s="83"/>
      <c r="K28" s="83"/>
      <c r="L28" s="110"/>
      <c r="M28" s="267">
        <v>1523.06232558139</v>
      </c>
      <c r="N28" s="267">
        <v>36.952610999999997</v>
      </c>
      <c r="O28" s="83"/>
      <c r="P28" s="83"/>
      <c r="Q28" s="83"/>
      <c r="R28" s="83"/>
      <c r="S28" s="83"/>
      <c r="T28" s="83"/>
      <c r="U28" s="85" t="e">
        <f t="shared" si="0"/>
        <v>#DIV/0!</v>
      </c>
      <c r="V28" s="87" t="e">
        <f t="shared" si="0"/>
        <v>#DIV/0!</v>
      </c>
      <c r="W28" s="118"/>
      <c r="X28" s="122">
        <f>bdRateExtend($D28:$D33,$E28:$E33,$M28:$M33,$N28:$N33)</f>
        <v>0</v>
      </c>
      <c r="Y28" s="14">
        <f t="shared" ref="Y28" si="16">bdRateExtend($D28:$D32,$E28:$E32,$M28:$M32,$N28:$N32)</f>
        <v>0</v>
      </c>
      <c r="Z28" s="14">
        <f t="shared" ref="Z28" si="17">bdRateExtend($D29:$D33,$E29:$E33,$M29:$M33,$N29:$N33)</f>
        <v>0</v>
      </c>
      <c r="AA28" s="14">
        <f t="shared" ref="AA28" si="18">bdRateExtend($D28:$D31,$E28:$E31,$M28:$M31,$N28:$N31)</f>
        <v>0</v>
      </c>
      <c r="AB28" s="14">
        <f t="shared" ref="AB28" si="19">bdRateExtend($D29:$D32,$E29:$E32,$M29:$M32,$N29:$N32)</f>
        <v>0</v>
      </c>
      <c r="AC28" s="14">
        <f t="shared" ref="AC28" si="20">bdRateExtend($D30:$D33,$E30:$E33,$M30:$M33,$N30:$N33)</f>
        <v>0</v>
      </c>
      <c r="AD28" s="34" cm="1">
        <f t="array" ref="AD28">bdRatePareto(AP28:AP33,AQ28:AQ33,AR28:AR33,AS28:AS33)</f>
        <v>0</v>
      </c>
      <c r="AE28" s="14" t="e">
        <f>bdRateExtend($D28:$D33,F28:F33,$M28:$M33,O28:O33)</f>
        <v>#VALUE!</v>
      </c>
      <c r="AF28" s="14" t="e">
        <f>bdRateExtend($D28:$D33,G28:G33,$M28:$M33,P28:P33)</f>
        <v>#VALUE!</v>
      </c>
      <c r="AG28" s="15" t="e">
        <f>bdRateExtend($D28:$D33,H28:H33,$M28:$M33,Q28:Q33)</f>
        <v>#VALUE!</v>
      </c>
      <c r="AH28" s="72">
        <f>bdPSNRExtend($D28:$D33,$E28:$E33,$M28:$M33,$N28:$N33)</f>
        <v>0</v>
      </c>
      <c r="AO28" s="240" t="s">
        <v>213</v>
      </c>
      <c r="AP28" s="240" cm="1">
        <f t="array" ref="AP28">pareto($D28:$D33,$E28:$E33,1,"rate",$AR$1,$AO29,$AO31)</f>
        <v>1523.06232558139</v>
      </c>
      <c r="AQ28" s="240" cm="1">
        <f t="array" ref="AQ28">pareto($D28:$D33,$E28:$E33,1,"dist",$AR$1,$AO29,$AO31)</f>
        <v>36.952610999999997</v>
      </c>
      <c r="AR28" s="240" cm="1">
        <f t="array" ref="AR28">pareto($M28:$M33,$N28:$N33,1,"rate",$AR$1,$AO29,$AO31)</f>
        <v>1523.06232558139</v>
      </c>
      <c r="AS28" s="240" cm="1">
        <f t="array" ref="AS28">pareto($M28:$M33,$N28:$N33,1,"dist",$AR$1,$AO29,$AO31)</f>
        <v>36.952610999999997</v>
      </c>
      <c r="AT28" s="240"/>
      <c r="AU28" s="240"/>
    </row>
    <row r="29" spans="1:47" ht="12" customHeight="1" x14ac:dyDescent="0.25">
      <c r="A29" s="74"/>
      <c r="B29" s="133"/>
      <c r="C29" s="107" t="s">
        <v>251</v>
      </c>
      <c r="D29" s="267">
        <v>1062.61581395348</v>
      </c>
      <c r="E29" s="267">
        <v>35.187047</v>
      </c>
      <c r="F29" s="86"/>
      <c r="G29" s="86"/>
      <c r="H29" s="86"/>
      <c r="I29" s="86"/>
      <c r="J29" s="86"/>
      <c r="K29" s="86"/>
      <c r="L29" s="110"/>
      <c r="M29" s="267">
        <v>1062.61581395348</v>
      </c>
      <c r="N29" s="267">
        <v>35.187047</v>
      </c>
      <c r="O29" s="86"/>
      <c r="P29" s="86"/>
      <c r="Q29" s="86"/>
      <c r="R29" s="86"/>
      <c r="S29" s="86"/>
      <c r="T29" s="86"/>
      <c r="U29" s="85" t="e">
        <f t="shared" si="0"/>
        <v>#DIV/0!</v>
      </c>
      <c r="V29" s="87" t="e">
        <f t="shared" si="0"/>
        <v>#DIV/0!</v>
      </c>
      <c r="W29" s="118"/>
      <c r="X29" s="89"/>
      <c r="Y29" s="90"/>
      <c r="Z29" s="90"/>
      <c r="AA29" s="90"/>
      <c r="AB29" s="90"/>
      <c r="AC29" s="90"/>
      <c r="AD29" s="90"/>
      <c r="AE29" s="90"/>
      <c r="AF29" s="90"/>
      <c r="AG29" s="91"/>
      <c r="AH29" s="115"/>
      <c r="AO29" s="240">
        <v>41.49</v>
      </c>
      <c r="AP29" s="240" cm="1">
        <f t="array" ref="AP29">pareto($D28:$D33,$E28:$E33,2,"rate",$AR$1,$AO29,$AO31)</f>
        <v>1062.61581395348</v>
      </c>
      <c r="AQ29" s="240" cm="1">
        <f t="array" ref="AQ29">pareto($D28:$D33,$E28:$E33,2,"dist",$AR$1,$AO29,$AO31)</f>
        <v>35.187047</v>
      </c>
      <c r="AR29" s="240" cm="1">
        <f t="array" ref="AR29">pareto($M28:$M33,$N28:$N33,2,"rate",$AR$1,$AO29,$AO31)</f>
        <v>1062.61581395348</v>
      </c>
      <c r="AS29" s="240" cm="1">
        <f t="array" ref="AS29">pareto($M28:$M33,$N28:$N33,2,"dist",$AR$1,$AO29,$AO31)</f>
        <v>35.187047</v>
      </c>
      <c r="AT29" s="240"/>
      <c r="AU29" s="240"/>
    </row>
    <row r="30" spans="1:47" ht="12" customHeight="1" x14ac:dyDescent="0.25">
      <c r="A30" s="74"/>
      <c r="B30" s="133"/>
      <c r="C30" s="107" t="s">
        <v>252</v>
      </c>
      <c r="D30" s="267">
        <v>632.64372093023201</v>
      </c>
      <c r="E30" s="267">
        <v>27.294848999999999</v>
      </c>
      <c r="F30" s="86"/>
      <c r="G30" s="86"/>
      <c r="H30" s="86"/>
      <c r="I30" s="86"/>
      <c r="J30" s="86"/>
      <c r="K30" s="86"/>
      <c r="L30" s="110"/>
      <c r="M30" s="267">
        <v>632.64372093023201</v>
      </c>
      <c r="N30" s="267">
        <v>27.294848999999999</v>
      </c>
      <c r="O30" s="86"/>
      <c r="P30" s="86"/>
      <c r="Q30" s="86"/>
      <c r="R30" s="86"/>
      <c r="S30" s="86"/>
      <c r="T30" s="86"/>
      <c r="U30" s="85" t="e">
        <f t="shared" si="0"/>
        <v>#DIV/0!</v>
      </c>
      <c r="V30" s="87" t="e">
        <f t="shared" si="0"/>
        <v>#DIV/0!</v>
      </c>
      <c r="W30" s="118"/>
      <c r="X30" s="89"/>
      <c r="Y30" s="90"/>
      <c r="Z30" s="90"/>
      <c r="AA30" s="90"/>
      <c r="AB30" s="90"/>
      <c r="AC30" s="90"/>
      <c r="AD30" s="90"/>
      <c r="AE30" s="90"/>
      <c r="AF30" s="90"/>
      <c r="AG30" s="91"/>
      <c r="AH30" s="115"/>
      <c r="AO30" s="240" t="s">
        <v>44</v>
      </c>
      <c r="AP30" s="240" cm="1">
        <f t="array" ref="AP30">pareto($D28:$D33,$E28:$E33,3,"rate",$AR$1,$AO29,$AO31)</f>
        <v>632.64372093023201</v>
      </c>
      <c r="AQ30" s="240" cm="1">
        <f t="array" ref="AQ30">pareto($D28:$D33,$E28:$E33,3,"dist",$AR$1,$AO29,$AO31)</f>
        <v>27.294848999999999</v>
      </c>
      <c r="AR30" s="240" cm="1">
        <f t="array" ref="AR30">pareto($M28:$M33,$N28:$N33,3,"rate",$AR$1,$AO29,$AO31)</f>
        <v>632.64372093023201</v>
      </c>
      <c r="AS30" s="240" cm="1">
        <f t="array" ref="AS30">pareto($M28:$M33,$N28:$N33,3,"dist",$AR$1,$AO29,$AO31)</f>
        <v>27.294848999999999</v>
      </c>
      <c r="AT30" s="240"/>
      <c r="AU30" s="240"/>
    </row>
    <row r="31" spans="1:47" ht="12" customHeight="1" x14ac:dyDescent="0.25">
      <c r="A31" s="74"/>
      <c r="B31" s="133"/>
      <c r="C31" s="107" t="s">
        <v>253</v>
      </c>
      <c r="D31" s="267">
        <v>477.60744186046497</v>
      </c>
      <c r="E31" s="267">
        <v>22.788633999999998</v>
      </c>
      <c r="F31" s="86"/>
      <c r="G31" s="86"/>
      <c r="H31" s="86"/>
      <c r="I31" s="86"/>
      <c r="J31" s="86"/>
      <c r="K31" s="86"/>
      <c r="L31" s="110"/>
      <c r="M31" s="267">
        <v>477.60744186046497</v>
      </c>
      <c r="N31" s="267">
        <v>22.788633999999998</v>
      </c>
      <c r="O31" s="86"/>
      <c r="P31" s="86"/>
      <c r="Q31" s="86"/>
      <c r="R31" s="86"/>
      <c r="S31" s="86"/>
      <c r="T31" s="86"/>
      <c r="U31" s="85" t="e">
        <f t="shared" si="0"/>
        <v>#DIV/0!</v>
      </c>
      <c r="V31" s="87" t="e">
        <f t="shared" si="0"/>
        <v>#DIV/0!</v>
      </c>
      <c r="W31" s="118"/>
      <c r="X31" s="89"/>
      <c r="Y31" s="90"/>
      <c r="Z31" s="90"/>
      <c r="AA31" s="90"/>
      <c r="AB31" s="90"/>
      <c r="AC31" s="90"/>
      <c r="AD31" s="90"/>
      <c r="AE31" s="90"/>
      <c r="AF31" s="90"/>
      <c r="AG31" s="91"/>
      <c r="AH31" s="115"/>
      <c r="AO31" s="240">
        <v>20</v>
      </c>
      <c r="AP31" s="240" cm="1">
        <f t="array" ref="AP31">pareto($D28:$D33,$E28:$E33,4,"rate",$AR$1,$AO29,$AO31)</f>
        <v>477.60744186046497</v>
      </c>
      <c r="AQ31" s="240" cm="1">
        <f t="array" ref="AQ31">pareto($D28:$D33,$E28:$E33,4,"dist",$AR$1,$AO29,$AO31)</f>
        <v>22.788633999999998</v>
      </c>
      <c r="AR31" s="240" cm="1">
        <f t="array" ref="AR31">pareto($M28:$M33,$N28:$N33,4,"rate",$AR$1,$AO29,$AO31)</f>
        <v>477.60744186046497</v>
      </c>
      <c r="AS31" s="240" cm="1">
        <f t="array" ref="AS31">pareto($M28:$M33,$N28:$N33,4,"dist",$AR$1,$AO29,$AO31)</f>
        <v>22.788633999999998</v>
      </c>
      <c r="AT31" s="240"/>
      <c r="AU31" s="240"/>
    </row>
    <row r="32" spans="1:47" ht="12" customHeight="1" x14ac:dyDescent="0.25">
      <c r="A32" s="74"/>
      <c r="B32" s="133"/>
      <c r="C32" s="107" t="s">
        <v>254</v>
      </c>
      <c r="D32" s="267">
        <v>297.373023255813</v>
      </c>
      <c r="E32" s="267">
        <v>16.157646</v>
      </c>
      <c r="F32" s="86"/>
      <c r="G32" s="86"/>
      <c r="H32" s="86"/>
      <c r="I32" s="86"/>
      <c r="J32" s="86"/>
      <c r="K32" s="86"/>
      <c r="L32" s="110"/>
      <c r="M32" s="267">
        <v>297.373023255813</v>
      </c>
      <c r="N32" s="267">
        <v>16.157646</v>
      </c>
      <c r="O32" s="86"/>
      <c r="P32" s="86"/>
      <c r="Q32" s="86"/>
      <c r="R32" s="86"/>
      <c r="S32" s="86"/>
      <c r="T32" s="86"/>
      <c r="U32" s="85" t="e">
        <f t="shared" si="0"/>
        <v>#DIV/0!</v>
      </c>
      <c r="V32" s="87" t="e">
        <f t="shared" si="0"/>
        <v>#DIV/0!</v>
      </c>
      <c r="W32" s="118"/>
      <c r="X32" s="89"/>
      <c r="Y32" s="90"/>
      <c r="Z32" s="90"/>
      <c r="AA32" s="90"/>
      <c r="AB32" s="90"/>
      <c r="AC32" s="90"/>
      <c r="AD32" s="90"/>
      <c r="AE32" s="90"/>
      <c r="AF32" s="90"/>
      <c r="AG32" s="91"/>
      <c r="AH32" s="115"/>
      <c r="AO32" s="240"/>
      <c r="AP32" s="240" cm="1">
        <f t="array" ref="AP32">pareto($D28:$D33,$E28:$E33,5,"rate",$AR$1,$AO29,$AO31)</f>
        <v>297.373023255813</v>
      </c>
      <c r="AQ32" s="240" cm="1">
        <f t="array" ref="AQ32">pareto($D28:$D33,$E28:$E33,5,"dist",$AR$1,$AO29,$AO31)</f>
        <v>16.157646</v>
      </c>
      <c r="AR32" s="240" cm="1">
        <f t="array" ref="AR32">pareto($M28:$M33,$N28:$N33,5,"rate",$AR$1,$AO29,$AO31)</f>
        <v>297.373023255813</v>
      </c>
      <c r="AS32" s="240" cm="1">
        <f t="array" ref="AS32">pareto($M28:$M33,$N28:$N33,5,"dist",$AR$1,$AO29,$AO31)</f>
        <v>16.157646</v>
      </c>
      <c r="AT32" s="240"/>
      <c r="AU32" s="240"/>
    </row>
    <row r="33" spans="1:47" ht="12" customHeight="1" thickBot="1" x14ac:dyDescent="0.3">
      <c r="A33" s="92"/>
      <c r="B33" s="134"/>
      <c r="C33" s="108" t="s">
        <v>255</v>
      </c>
      <c r="D33" s="267">
        <v>174.827906976744</v>
      </c>
      <c r="E33" s="267">
        <v>9.4086739999999995</v>
      </c>
      <c r="F33" s="94"/>
      <c r="G33" s="94"/>
      <c r="H33" s="94"/>
      <c r="I33" s="94"/>
      <c r="J33" s="94"/>
      <c r="K33" s="94"/>
      <c r="L33" s="111"/>
      <c r="M33" s="267">
        <v>174.827906976744</v>
      </c>
      <c r="N33" s="267">
        <v>9.4086739999999995</v>
      </c>
      <c r="O33" s="94"/>
      <c r="P33" s="94"/>
      <c r="Q33" s="94"/>
      <c r="R33" s="94"/>
      <c r="S33" s="94"/>
      <c r="T33" s="94"/>
      <c r="U33" s="85" t="e">
        <f t="shared" si="0"/>
        <v>#DIV/0!</v>
      </c>
      <c r="V33" s="87" t="e">
        <f t="shared" si="0"/>
        <v>#DIV/0!</v>
      </c>
      <c r="W33" s="118"/>
      <c r="X33" s="95"/>
      <c r="Y33" s="96"/>
      <c r="Z33" s="96"/>
      <c r="AA33" s="96"/>
      <c r="AB33" s="96"/>
      <c r="AC33" s="96"/>
      <c r="AD33" s="96"/>
      <c r="AE33" s="96"/>
      <c r="AF33" s="96"/>
      <c r="AG33" s="97"/>
      <c r="AH33" s="116"/>
      <c r="AO33" s="240"/>
      <c r="AP33" s="240" cm="1">
        <f t="array" ref="AP33">pareto($D28:$D33,$E28:$E33,6,"rate",$AR$1,$AO29,$AO31)</f>
        <v>174.827906976744</v>
      </c>
      <c r="AQ33" s="240" cm="1">
        <f t="array" ref="AQ33">pareto($D28:$D33,$E28:$E33,6,"dist",$AR$1,$AO29,$AO31)</f>
        <v>9.4086739999999995</v>
      </c>
      <c r="AR33" s="240" cm="1">
        <f t="array" ref="AR33">pareto($M28:$M33,$N28:$N33,6,"rate",$AR$1,$AO29,$AO31)</f>
        <v>174.827906976744</v>
      </c>
      <c r="AS33" s="240" cm="1">
        <f t="array" ref="AS33">pareto($M28:$M33,$N28:$N33,6,"dist",$AR$1,$AO29,$AO31)</f>
        <v>9.4086739999999995</v>
      </c>
      <c r="AT33" s="240"/>
      <c r="AU33" s="240"/>
    </row>
    <row r="34" spans="1:47" ht="12" customHeight="1" x14ac:dyDescent="0.25">
      <c r="A34" s="81" t="s">
        <v>65</v>
      </c>
      <c r="B34" s="132" t="s">
        <v>66</v>
      </c>
      <c r="C34" s="106" t="s">
        <v>250</v>
      </c>
      <c r="D34" s="267">
        <v>1864.7711340206099</v>
      </c>
      <c r="E34" s="267">
        <v>18.075544000000001</v>
      </c>
      <c r="F34" s="83"/>
      <c r="G34" s="83"/>
      <c r="H34" s="83"/>
      <c r="I34" s="83"/>
      <c r="J34" s="83"/>
      <c r="K34" s="83"/>
      <c r="L34" s="110"/>
      <c r="M34" s="267">
        <v>1864.7711340206099</v>
      </c>
      <c r="N34" s="267">
        <v>18.075544000000001</v>
      </c>
      <c r="O34" s="83"/>
      <c r="P34" s="83"/>
      <c r="Q34" s="83"/>
      <c r="R34" s="83"/>
      <c r="S34" s="83"/>
      <c r="T34" s="83"/>
      <c r="U34" s="82" t="e">
        <f t="shared" si="0"/>
        <v>#DIV/0!</v>
      </c>
      <c r="V34" s="84" t="e">
        <f t="shared" si="0"/>
        <v>#DIV/0!</v>
      </c>
      <c r="W34" s="117"/>
      <c r="X34" s="122">
        <f>bdRateExtend($D34:$D39,$E34:$E39,$M34:$M39,$N34:$N39)</f>
        <v>0</v>
      </c>
      <c r="Y34" s="14">
        <f t="shared" ref="Y34" si="21">bdRateExtend($D34:$D38,$E34:$E38,$M34:$M38,$N34:$N38)</f>
        <v>0</v>
      </c>
      <c r="Z34" s="14">
        <f t="shared" ref="Z34" si="22">bdRateExtend($D35:$D39,$E35:$E39,$M35:$M39,$N35:$N39)</f>
        <v>0</v>
      </c>
      <c r="AA34" s="14">
        <f t="shared" ref="AA34" si="23">bdRateExtend($D34:$D37,$E34:$E37,$M34:$M37,$N34:$N37)</f>
        <v>0</v>
      </c>
      <c r="AB34" s="14">
        <f t="shared" ref="AB34" si="24">bdRateExtend($D35:$D38,$E35:$E38,$M35:$M38,$N35:$N38)</f>
        <v>0</v>
      </c>
      <c r="AC34" s="14">
        <f t="shared" ref="AC34" si="25">bdRateExtend($D36:$D39,$E36:$E39,$M36:$M39,$N36:$N39)</f>
        <v>0</v>
      </c>
      <c r="AD34" s="34" cm="1">
        <f t="array" ref="AD34">bdRatePareto(AP34:AP39,AQ34:AQ39,AR34:AR39,AS34:AS39)</f>
        <v>0</v>
      </c>
      <c r="AE34" s="14" t="e">
        <f>bdRateExtend($D34:$D39,F34:F39,$M34:$M39,O34:O39)</f>
        <v>#VALUE!</v>
      </c>
      <c r="AF34" s="14" t="e">
        <f>bdRateExtend($D34:$D39,G34:G39,$M34:$M39,P34:P39)</f>
        <v>#VALUE!</v>
      </c>
      <c r="AG34" s="15" t="e">
        <f>bdRateExtend($D34:$D39,H34:H39,$M34:$M39,Q34:Q39)</f>
        <v>#VALUE!</v>
      </c>
      <c r="AH34" s="72">
        <f>bdPSNRExtend($D34:$D39,$E34:$E39,$M34:$M39,$N34:$N39)</f>
        <v>0</v>
      </c>
      <c r="AO34" s="240" t="s">
        <v>213</v>
      </c>
      <c r="AP34" s="240" cm="1">
        <f t="array" ref="AP34">pareto($D34:$D39,$E34:$E39,1,"rate",$AR$1,$AO35,$AO37)</f>
        <v>1864.7711340206099</v>
      </c>
      <c r="AQ34" s="240" cm="1">
        <f t="array" ref="AQ34">pareto($D34:$D39,$E34:$E39,1,"dist",$AR$1,$AO35,$AO37)</f>
        <v>18.075544000000001</v>
      </c>
      <c r="AR34" s="240" cm="1">
        <f t="array" ref="AR34">pareto($M34:$M39,$N34:$N39,1,"rate",$AR$1,$AO35,$AO37)</f>
        <v>1864.7711340206099</v>
      </c>
      <c r="AS34" s="240" cm="1">
        <f t="array" ref="AS34">pareto($M34:$M39,$N34:$N39,1,"dist",$AR$1,$AO35,$AO37)</f>
        <v>18.075544000000001</v>
      </c>
      <c r="AT34" s="240"/>
      <c r="AU34" s="240"/>
    </row>
    <row r="35" spans="1:47" ht="12" customHeight="1" x14ac:dyDescent="0.25">
      <c r="A35" s="136"/>
      <c r="B35" s="133"/>
      <c r="C35" s="107" t="s">
        <v>251</v>
      </c>
      <c r="D35" s="267">
        <v>1198.1278350515399</v>
      </c>
      <c r="E35" s="267">
        <v>16.127997000000001</v>
      </c>
      <c r="F35" s="86"/>
      <c r="G35" s="86"/>
      <c r="H35" s="86"/>
      <c r="I35" s="86"/>
      <c r="J35" s="86"/>
      <c r="K35" s="86"/>
      <c r="L35" s="110"/>
      <c r="M35" s="267">
        <v>1198.1278350515399</v>
      </c>
      <c r="N35" s="267">
        <v>16.127997000000001</v>
      </c>
      <c r="O35" s="86"/>
      <c r="P35" s="86"/>
      <c r="Q35" s="86"/>
      <c r="R35" s="86"/>
      <c r="S35" s="86"/>
      <c r="T35" s="86"/>
      <c r="U35" s="85" t="e">
        <f t="shared" si="0"/>
        <v>#DIV/0!</v>
      </c>
      <c r="V35" s="87" t="e">
        <f t="shared" si="0"/>
        <v>#DIV/0!</v>
      </c>
      <c r="W35" s="118"/>
      <c r="X35" s="98"/>
      <c r="Y35" s="99"/>
      <c r="Z35" s="99"/>
      <c r="AA35" s="99"/>
      <c r="AB35" s="99"/>
      <c r="AC35" s="99"/>
      <c r="AD35" s="99"/>
      <c r="AE35" s="99"/>
      <c r="AF35" s="99"/>
      <c r="AG35" s="100"/>
      <c r="AH35" s="110"/>
      <c r="AO35" s="240">
        <v>27.288250999999999</v>
      </c>
      <c r="AP35" s="240" cm="1">
        <f t="array" ref="AP35">pareto($D34:$D39,$E34:$E39,2,"rate",$AR$1,$AO35,$AO37)</f>
        <v>1198.1278350515399</v>
      </c>
      <c r="AQ35" s="240" cm="1">
        <f t="array" ref="AQ35">pareto($D34:$D39,$E34:$E39,2,"dist",$AR$1,$AO35,$AO37)</f>
        <v>16.127997000000001</v>
      </c>
      <c r="AR35" s="240" cm="1">
        <f t="array" ref="AR35">pareto($M34:$M39,$N34:$N39,2,"rate",$AR$1,$AO35,$AO37)</f>
        <v>1198.1278350515399</v>
      </c>
      <c r="AS35" s="240" cm="1">
        <f t="array" ref="AS35">pareto($M34:$M39,$N34:$N39,2,"dist",$AR$1,$AO35,$AO37)</f>
        <v>16.127997000000001</v>
      </c>
      <c r="AT35" s="240"/>
      <c r="AU35" s="240"/>
    </row>
    <row r="36" spans="1:47" ht="12" customHeight="1" x14ac:dyDescent="0.25">
      <c r="A36" s="74"/>
      <c r="B36" s="133"/>
      <c r="C36" s="107" t="s">
        <v>252</v>
      </c>
      <c r="D36" s="267">
        <v>779.39793814432903</v>
      </c>
      <c r="E36" s="267">
        <v>13.617388</v>
      </c>
      <c r="F36" s="86"/>
      <c r="G36" s="86"/>
      <c r="H36" s="86"/>
      <c r="I36" s="86"/>
      <c r="J36" s="86"/>
      <c r="K36" s="86"/>
      <c r="L36" s="110"/>
      <c r="M36" s="267">
        <v>779.39793814432903</v>
      </c>
      <c r="N36" s="267">
        <v>13.617388</v>
      </c>
      <c r="O36" s="86"/>
      <c r="P36" s="86"/>
      <c r="Q36" s="86"/>
      <c r="R36" s="86"/>
      <c r="S36" s="86"/>
      <c r="T36" s="86"/>
      <c r="U36" s="85" t="e">
        <f t="shared" si="0"/>
        <v>#DIV/0!</v>
      </c>
      <c r="V36" s="87" t="e">
        <f t="shared" si="0"/>
        <v>#DIV/0!</v>
      </c>
      <c r="W36" s="118"/>
      <c r="X36" s="98"/>
      <c r="Y36" s="99"/>
      <c r="Z36" s="99"/>
      <c r="AA36" s="99"/>
      <c r="AB36" s="99"/>
      <c r="AC36" s="99"/>
      <c r="AD36" s="99"/>
      <c r="AE36" s="99"/>
      <c r="AF36" s="99"/>
      <c r="AG36" s="100"/>
      <c r="AH36" s="110"/>
      <c r="AO36" s="240" t="s">
        <v>44</v>
      </c>
      <c r="AP36" s="240" cm="1">
        <f t="array" ref="AP36">pareto($D34:$D39,$E34:$E39,3,"rate",$AR$1,$AO35,$AO37)</f>
        <v>779.39793814432903</v>
      </c>
      <c r="AQ36" s="240" cm="1">
        <f t="array" ref="AQ36">pareto($D34:$D39,$E34:$E39,3,"dist",$AR$1,$AO35,$AO37)</f>
        <v>13.617388</v>
      </c>
      <c r="AR36" s="240" cm="1">
        <f t="array" ref="AR36">pareto($M34:$M39,$N34:$N39,3,"rate",$AR$1,$AO35,$AO37)</f>
        <v>779.39793814432903</v>
      </c>
      <c r="AS36" s="240" cm="1">
        <f t="array" ref="AS36">pareto($M34:$M39,$N34:$N39,3,"dist",$AR$1,$AO35,$AO37)</f>
        <v>13.617388</v>
      </c>
      <c r="AT36" s="240"/>
      <c r="AU36" s="240"/>
    </row>
    <row r="37" spans="1:47" ht="12" customHeight="1" x14ac:dyDescent="0.25">
      <c r="A37" s="74"/>
      <c r="B37" s="133"/>
      <c r="C37" s="107" t="s">
        <v>253</v>
      </c>
      <c r="D37" s="267">
        <v>513.27835051546299</v>
      </c>
      <c r="E37" s="267">
        <v>11.473528999999999</v>
      </c>
      <c r="F37" s="86"/>
      <c r="G37" s="86"/>
      <c r="H37" s="86"/>
      <c r="I37" s="86"/>
      <c r="J37" s="86"/>
      <c r="K37" s="86"/>
      <c r="L37" s="110"/>
      <c r="M37" s="267">
        <v>513.27835051546299</v>
      </c>
      <c r="N37" s="267">
        <v>11.473528999999999</v>
      </c>
      <c r="O37" s="86"/>
      <c r="P37" s="86"/>
      <c r="Q37" s="86"/>
      <c r="R37" s="86"/>
      <c r="S37" s="86"/>
      <c r="T37" s="86"/>
      <c r="U37" s="85" t="e">
        <f t="shared" si="0"/>
        <v>#DIV/0!</v>
      </c>
      <c r="V37" s="87" t="e">
        <f t="shared" si="0"/>
        <v>#DIV/0!</v>
      </c>
      <c r="W37" s="118"/>
      <c r="X37" s="98"/>
      <c r="Y37" s="99"/>
      <c r="Z37" s="99"/>
      <c r="AA37" s="99"/>
      <c r="AB37" s="99"/>
      <c r="AC37" s="99"/>
      <c r="AD37" s="99"/>
      <c r="AE37" s="99"/>
      <c r="AF37" s="99"/>
      <c r="AG37" s="100"/>
      <c r="AH37" s="110"/>
      <c r="AO37" s="240">
        <v>20</v>
      </c>
      <c r="AP37" s="240" cm="1">
        <f t="array" ref="AP37">pareto($D34:$D39,$E34:$E39,4,"rate",$AR$1,$AO35,$AO37)</f>
        <v>513.27835051546299</v>
      </c>
      <c r="AQ37" s="240" cm="1">
        <f t="array" ref="AQ37">pareto($D34:$D39,$E34:$E39,4,"dist",$AR$1,$AO35,$AO37)</f>
        <v>11.473528999999999</v>
      </c>
      <c r="AR37" s="240" cm="1">
        <f t="array" ref="AR37">pareto($M34:$M39,$N34:$N39,4,"rate",$AR$1,$AO35,$AO37)</f>
        <v>513.27835051546299</v>
      </c>
      <c r="AS37" s="240" cm="1">
        <f t="array" ref="AS37">pareto($M34:$M39,$N34:$N39,4,"dist",$AR$1,$AO35,$AO37)</f>
        <v>11.473528999999999</v>
      </c>
      <c r="AT37" s="240"/>
      <c r="AU37" s="240"/>
    </row>
    <row r="38" spans="1:47" ht="12" customHeight="1" x14ac:dyDescent="0.25">
      <c r="A38" s="74"/>
      <c r="B38" s="133"/>
      <c r="C38" s="107" t="s">
        <v>254</v>
      </c>
      <c r="D38" s="267">
        <v>333.21237113401997</v>
      </c>
      <c r="E38" s="267">
        <v>8.9833649999999992</v>
      </c>
      <c r="F38" s="86"/>
      <c r="G38" s="86"/>
      <c r="H38" s="86"/>
      <c r="I38" s="86"/>
      <c r="J38" s="86"/>
      <c r="K38" s="86"/>
      <c r="L38" s="110"/>
      <c r="M38" s="267">
        <v>333.21237113401997</v>
      </c>
      <c r="N38" s="267">
        <v>8.9833649999999992</v>
      </c>
      <c r="O38" s="86"/>
      <c r="P38" s="86"/>
      <c r="Q38" s="86"/>
      <c r="R38" s="86"/>
      <c r="S38" s="86"/>
      <c r="T38" s="86"/>
      <c r="U38" s="85" t="e">
        <f t="shared" si="0"/>
        <v>#DIV/0!</v>
      </c>
      <c r="V38" s="87" t="e">
        <f t="shared" si="0"/>
        <v>#DIV/0!</v>
      </c>
      <c r="W38" s="118"/>
      <c r="X38" s="98"/>
      <c r="Y38" s="99"/>
      <c r="Z38" s="99"/>
      <c r="AA38" s="99"/>
      <c r="AB38" s="99"/>
      <c r="AC38" s="99"/>
      <c r="AD38" s="99"/>
      <c r="AE38" s="99"/>
      <c r="AF38" s="99"/>
      <c r="AG38" s="100"/>
      <c r="AH38" s="110"/>
      <c r="AO38" s="240"/>
      <c r="AP38" s="240" cm="1">
        <f t="array" ref="AP38">pareto($D34:$D39,$E34:$E39,5,"rate",$AR$1,$AO35,$AO37)</f>
        <v>333.21237113401997</v>
      </c>
      <c r="AQ38" s="240" cm="1">
        <f t="array" ref="AQ38">pareto($D34:$D39,$E34:$E39,5,"dist",$AR$1,$AO35,$AO37)</f>
        <v>8.9833649999999992</v>
      </c>
      <c r="AR38" s="240" cm="1">
        <f t="array" ref="AR38">pareto($M34:$M39,$N34:$N39,5,"rate",$AR$1,$AO35,$AO37)</f>
        <v>333.21237113401997</v>
      </c>
      <c r="AS38" s="240" cm="1">
        <f t="array" ref="AS38">pareto($M34:$M39,$N34:$N39,5,"dist",$AR$1,$AO35,$AO37)</f>
        <v>8.9833649999999992</v>
      </c>
      <c r="AT38" s="240"/>
      <c r="AU38" s="240"/>
    </row>
    <row r="39" spans="1:47" ht="12" customHeight="1" thickBot="1" x14ac:dyDescent="0.3">
      <c r="A39" s="74"/>
      <c r="B39" s="134"/>
      <c r="C39" s="108" t="s">
        <v>255</v>
      </c>
      <c r="D39" s="267">
        <v>196.58969072164899</v>
      </c>
      <c r="E39" s="267">
        <v>5.3569120000000003</v>
      </c>
      <c r="F39" s="94"/>
      <c r="G39" s="94"/>
      <c r="H39" s="94"/>
      <c r="I39" s="94"/>
      <c r="J39" s="94"/>
      <c r="K39" s="94"/>
      <c r="L39" s="110"/>
      <c r="M39" s="267">
        <v>196.58969072164899</v>
      </c>
      <c r="N39" s="267">
        <v>5.3569120000000003</v>
      </c>
      <c r="O39" s="94"/>
      <c r="P39" s="94"/>
      <c r="Q39" s="94"/>
      <c r="R39" s="94"/>
      <c r="S39" s="94"/>
      <c r="T39" s="94"/>
      <c r="U39" s="85" t="e">
        <f t="shared" si="0"/>
        <v>#DIV/0!</v>
      </c>
      <c r="V39" s="87" t="e">
        <f t="shared" si="0"/>
        <v>#DIV/0!</v>
      </c>
      <c r="W39" s="118"/>
      <c r="X39" s="101"/>
      <c r="Y39" s="102"/>
      <c r="Z39" s="102"/>
      <c r="AA39" s="102"/>
      <c r="AB39" s="102"/>
      <c r="AC39" s="102"/>
      <c r="AD39" s="102"/>
      <c r="AE39" s="102"/>
      <c r="AF39" s="102"/>
      <c r="AG39" s="103"/>
      <c r="AH39" s="111"/>
      <c r="AO39" s="240"/>
      <c r="AP39" s="240" cm="1">
        <f t="array" ref="AP39">pareto($D34:$D39,$E34:$E39,6,"rate",$AR$1,$AO35,$AO37)</f>
        <v>196.58969072164899</v>
      </c>
      <c r="AQ39" s="240" cm="1">
        <f t="array" ref="AQ39">pareto($D34:$D39,$E34:$E39,6,"dist",$AR$1,$AO35,$AO37)</f>
        <v>5.3569120000000003</v>
      </c>
      <c r="AR39" s="240" cm="1">
        <f t="array" ref="AR39">pareto($M34:$M39,$N34:$N39,6,"rate",$AR$1,$AO35,$AO37)</f>
        <v>196.58969072164899</v>
      </c>
      <c r="AS39" s="240" cm="1">
        <f t="array" ref="AS39">pareto($M34:$M39,$N34:$N39,6,"dist",$AR$1,$AO35,$AO37)</f>
        <v>5.3569120000000003</v>
      </c>
      <c r="AT39" s="240"/>
      <c r="AU39" s="240"/>
    </row>
    <row r="40" spans="1:47" ht="12" customHeight="1" x14ac:dyDescent="0.25">
      <c r="A40" s="74"/>
      <c r="B40" s="132" t="s">
        <v>67</v>
      </c>
      <c r="C40" s="106" t="s">
        <v>250</v>
      </c>
      <c r="D40" s="267">
        <v>2931.5460465116198</v>
      </c>
      <c r="E40" s="267">
        <v>44.258094</v>
      </c>
      <c r="F40" s="83"/>
      <c r="G40" s="83"/>
      <c r="H40" s="83"/>
      <c r="I40" s="83"/>
      <c r="J40" s="83"/>
      <c r="K40" s="83"/>
      <c r="L40" s="110"/>
      <c r="M40" s="267">
        <v>2931.5460465116198</v>
      </c>
      <c r="N40" s="267">
        <v>44.258094</v>
      </c>
      <c r="O40" s="83"/>
      <c r="P40" s="83"/>
      <c r="Q40" s="83"/>
      <c r="R40" s="83"/>
      <c r="S40" s="83"/>
      <c r="T40" s="83"/>
      <c r="U40" s="85" t="e">
        <f t="shared" si="0"/>
        <v>#DIV/0!</v>
      </c>
      <c r="V40" s="87" t="e">
        <f t="shared" si="0"/>
        <v>#DIV/0!</v>
      </c>
      <c r="W40" s="118"/>
      <c r="X40" s="122">
        <f>bdRateExtend($D40:$D45,$E40:$E45,$M40:$M45,$N40:$N45)</f>
        <v>0</v>
      </c>
      <c r="Y40" s="14">
        <f t="shared" ref="Y40" si="26">bdRateExtend($D40:$D44,$E40:$E44,$M40:$M44,$N40:$N44)</f>
        <v>0</v>
      </c>
      <c r="Z40" s="14">
        <f t="shared" ref="Z40" si="27">bdRateExtend($D41:$D45,$E41:$E45,$M41:$M45,$N41:$N45)</f>
        <v>0</v>
      </c>
      <c r="AA40" s="14">
        <f t="shared" ref="AA40" si="28">bdRateExtend($D40:$D43,$E40:$E43,$M40:$M43,$N40:$N43)</f>
        <v>0</v>
      </c>
      <c r="AB40" s="14">
        <f t="shared" ref="AB40" si="29">bdRateExtend($D41:$D44,$E41:$E44,$M41:$M44,$N41:$N44)</f>
        <v>0</v>
      </c>
      <c r="AC40" s="14">
        <f t="shared" ref="AC40" si="30">bdRateExtend($D42:$D45,$E42:$E45,$M42:$M45,$N42:$N45)</f>
        <v>0</v>
      </c>
      <c r="AD40" s="34" cm="1">
        <f t="array" ref="AD40">bdRatePareto(AP40:AP45,AQ40:AQ45,AR40:AR45,AS40:AS45)</f>
        <v>0</v>
      </c>
      <c r="AE40" s="14" t="e">
        <f>bdRateExtend($D40:$D45,F40:F45,$M40:$M45,O40:O45)</f>
        <v>#VALUE!</v>
      </c>
      <c r="AF40" s="14" t="e">
        <f>bdRateExtend($D40:$D45,G40:G45,$M40:$M45,P40:P45)</f>
        <v>#VALUE!</v>
      </c>
      <c r="AG40" s="15" t="e">
        <f>bdRateExtend($D40:$D45,H40:H45,$M40:$M45,Q40:Q45)</f>
        <v>#VALUE!</v>
      </c>
      <c r="AH40" s="72">
        <f>bdPSNRExtend($D40:$D45,$E40:$E45,$M40:$M45,$N40:$N45)</f>
        <v>0</v>
      </c>
      <c r="AO40" s="240" t="s">
        <v>213</v>
      </c>
      <c r="AP40" s="240" cm="1">
        <f t="array" ref="AP40">pareto($D40:$D45,$E40:$E45,1,"rate",$AR$1,$AO41,$AO43)</f>
        <v>2931.5460465116198</v>
      </c>
      <c r="AQ40" s="240" cm="1">
        <f t="array" ref="AQ40">pareto($D40:$D45,$E40:$E45,1,"dist",$AR$1,$AO41,$AO43)</f>
        <v>44.258094</v>
      </c>
      <c r="AR40" s="240" cm="1">
        <f t="array" ref="AR40">pareto($M40:$M45,$N40:$N45,1,"rate",$AR$1,$AO41,$AO43)</f>
        <v>2931.5460465116198</v>
      </c>
      <c r="AS40" s="240" cm="1">
        <f t="array" ref="AS40">pareto($M40:$M45,$N40:$N45,1,"dist",$AR$1,$AO41,$AO43)</f>
        <v>44.258094</v>
      </c>
      <c r="AT40" s="240"/>
      <c r="AU40" s="240"/>
    </row>
    <row r="41" spans="1:47" ht="12" customHeight="1" x14ac:dyDescent="0.25">
      <c r="A41" s="74"/>
      <c r="B41" s="133"/>
      <c r="C41" s="107" t="s">
        <v>251</v>
      </c>
      <c r="D41" s="267">
        <v>1762.9134883720899</v>
      </c>
      <c r="E41" s="267">
        <v>42.844092000000003</v>
      </c>
      <c r="F41" s="86"/>
      <c r="G41" s="86"/>
      <c r="H41" s="86"/>
      <c r="I41" s="86"/>
      <c r="J41" s="86"/>
      <c r="K41" s="86"/>
      <c r="L41" s="110"/>
      <c r="M41" s="267">
        <v>1762.9134883720899</v>
      </c>
      <c r="N41" s="267">
        <v>42.844092000000003</v>
      </c>
      <c r="O41" s="86"/>
      <c r="P41" s="86"/>
      <c r="Q41" s="86"/>
      <c r="R41" s="86"/>
      <c r="S41" s="86"/>
      <c r="T41" s="86"/>
      <c r="U41" s="85" t="e">
        <f t="shared" si="0"/>
        <v>#DIV/0!</v>
      </c>
      <c r="V41" s="87" t="e">
        <f t="shared" si="0"/>
        <v>#DIV/0!</v>
      </c>
      <c r="W41" s="118"/>
      <c r="X41" s="98"/>
      <c r="Y41" s="99"/>
      <c r="Z41" s="99"/>
      <c r="AA41" s="99"/>
      <c r="AB41" s="99"/>
      <c r="AC41" s="99"/>
      <c r="AD41" s="99"/>
      <c r="AE41" s="99"/>
      <c r="AF41" s="99"/>
      <c r="AG41" s="100"/>
      <c r="AH41" s="110"/>
      <c r="AO41" s="240">
        <v>45.630575</v>
      </c>
      <c r="AP41" s="240" cm="1">
        <f t="array" ref="AP41">pareto($D40:$D45,$E40:$E45,2,"rate",$AR$1,$AO41,$AO43)</f>
        <v>1762.9134883720899</v>
      </c>
      <c r="AQ41" s="240" cm="1">
        <f t="array" ref="AQ41">pareto($D40:$D45,$E40:$E45,2,"dist",$AR$1,$AO41,$AO43)</f>
        <v>42.844092000000003</v>
      </c>
      <c r="AR41" s="240" cm="1">
        <f t="array" ref="AR41">pareto($M40:$M45,$N40:$N45,2,"rate",$AR$1,$AO41,$AO43)</f>
        <v>1762.9134883720899</v>
      </c>
      <c r="AS41" s="240" cm="1">
        <f t="array" ref="AS41">pareto($M40:$M45,$N40:$N45,2,"dist",$AR$1,$AO41,$AO43)</f>
        <v>42.844092000000003</v>
      </c>
      <c r="AT41" s="240"/>
      <c r="AU41" s="240"/>
    </row>
    <row r="42" spans="1:47" ht="12" customHeight="1" x14ac:dyDescent="0.25">
      <c r="A42" s="74"/>
      <c r="B42" s="133"/>
      <c r="C42" s="107" t="s">
        <v>252</v>
      </c>
      <c r="D42" s="267">
        <v>1037.16837209302</v>
      </c>
      <c r="E42" s="267">
        <v>40.460971000000001</v>
      </c>
      <c r="F42" s="86"/>
      <c r="G42" s="86"/>
      <c r="H42" s="86"/>
      <c r="I42" s="86"/>
      <c r="J42" s="86"/>
      <c r="K42" s="86"/>
      <c r="L42" s="110"/>
      <c r="M42" s="267">
        <v>1037.16837209302</v>
      </c>
      <c r="N42" s="267">
        <v>40.460971000000001</v>
      </c>
      <c r="O42" s="86"/>
      <c r="P42" s="86"/>
      <c r="Q42" s="86"/>
      <c r="R42" s="86"/>
      <c r="S42" s="86"/>
      <c r="T42" s="86"/>
      <c r="U42" s="85" t="e">
        <f t="shared" si="0"/>
        <v>#DIV/0!</v>
      </c>
      <c r="V42" s="87" t="e">
        <f t="shared" si="0"/>
        <v>#DIV/0!</v>
      </c>
      <c r="W42" s="118"/>
      <c r="X42" s="98"/>
      <c r="Y42" s="99"/>
      <c r="Z42" s="99"/>
      <c r="AA42" s="99"/>
      <c r="AB42" s="99"/>
      <c r="AC42" s="99"/>
      <c r="AD42" s="99"/>
      <c r="AE42" s="99"/>
      <c r="AF42" s="99"/>
      <c r="AG42" s="100"/>
      <c r="AH42" s="110"/>
      <c r="AO42" s="240" t="s">
        <v>44</v>
      </c>
      <c r="AP42" s="240" cm="1">
        <f t="array" ref="AP42">pareto($D40:$D45,$E40:$E45,3,"rate",$AR$1,$AO41,$AO43)</f>
        <v>1037.16837209302</v>
      </c>
      <c r="AQ42" s="240" cm="1">
        <f t="array" ref="AQ42">pareto($D40:$D45,$E40:$E45,3,"dist",$AR$1,$AO41,$AO43)</f>
        <v>40.460971000000001</v>
      </c>
      <c r="AR42" s="240" cm="1">
        <f t="array" ref="AR42">pareto($M40:$M45,$N40:$N45,3,"rate",$AR$1,$AO41,$AO43)</f>
        <v>1037.16837209302</v>
      </c>
      <c r="AS42" s="240" cm="1">
        <f t="array" ref="AS42">pareto($M40:$M45,$N40:$N45,3,"dist",$AR$1,$AO41,$AO43)</f>
        <v>40.460971000000001</v>
      </c>
      <c r="AT42" s="240"/>
      <c r="AU42" s="240"/>
    </row>
    <row r="43" spans="1:47" ht="12" customHeight="1" x14ac:dyDescent="0.25">
      <c r="A43" s="74"/>
      <c r="B43" s="133"/>
      <c r="C43" s="107" t="s">
        <v>253</v>
      </c>
      <c r="D43" s="267">
        <v>587.59441860465097</v>
      </c>
      <c r="E43" s="267">
        <v>36.621679999999998</v>
      </c>
      <c r="F43" s="86"/>
      <c r="G43" s="86"/>
      <c r="H43" s="86"/>
      <c r="I43" s="86"/>
      <c r="J43" s="86"/>
      <c r="K43" s="86"/>
      <c r="L43" s="110"/>
      <c r="M43" s="267">
        <v>587.59441860465097</v>
      </c>
      <c r="N43" s="267">
        <v>36.621679999999998</v>
      </c>
      <c r="O43" s="86"/>
      <c r="P43" s="86"/>
      <c r="Q43" s="86"/>
      <c r="R43" s="86"/>
      <c r="S43" s="86"/>
      <c r="T43" s="86"/>
      <c r="U43" s="85" t="e">
        <f t="shared" si="0"/>
        <v>#DIV/0!</v>
      </c>
      <c r="V43" s="87" t="e">
        <f t="shared" si="0"/>
        <v>#DIV/0!</v>
      </c>
      <c r="W43" s="118"/>
      <c r="X43" s="98"/>
      <c r="Y43" s="99"/>
      <c r="Z43" s="99"/>
      <c r="AA43" s="99"/>
      <c r="AB43" s="99"/>
      <c r="AC43" s="99"/>
      <c r="AD43" s="99"/>
      <c r="AE43" s="99"/>
      <c r="AF43" s="99"/>
      <c r="AG43" s="100"/>
      <c r="AH43" s="110"/>
      <c r="AO43" s="240">
        <v>20</v>
      </c>
      <c r="AP43" s="240" cm="1">
        <f t="array" ref="AP43">pareto($D40:$D45,$E40:$E45,4,"rate",$AR$1,$AO41,$AO43)</f>
        <v>587.59441860465097</v>
      </c>
      <c r="AQ43" s="240" cm="1">
        <f t="array" ref="AQ43">pareto($D40:$D45,$E40:$E45,4,"dist",$AR$1,$AO41,$AO43)</f>
        <v>36.621679999999998</v>
      </c>
      <c r="AR43" s="240" cm="1">
        <f t="array" ref="AR43">pareto($M40:$M45,$N40:$N45,4,"rate",$AR$1,$AO41,$AO43)</f>
        <v>587.59441860465097</v>
      </c>
      <c r="AS43" s="240" cm="1">
        <f t="array" ref="AS43">pareto($M40:$M45,$N40:$N45,4,"dist",$AR$1,$AO41,$AO43)</f>
        <v>36.621679999999998</v>
      </c>
      <c r="AT43" s="240"/>
      <c r="AU43" s="240"/>
    </row>
    <row r="44" spans="1:47" ht="12" customHeight="1" x14ac:dyDescent="0.25">
      <c r="A44" s="74"/>
      <c r="B44" s="133"/>
      <c r="C44" s="107" t="s">
        <v>254</v>
      </c>
      <c r="D44" s="267">
        <v>312</v>
      </c>
      <c r="E44" s="267">
        <v>28.266079000000001</v>
      </c>
      <c r="F44" s="86"/>
      <c r="G44" s="86"/>
      <c r="H44" s="86"/>
      <c r="I44" s="86"/>
      <c r="J44" s="86"/>
      <c r="K44" s="86"/>
      <c r="L44" s="110"/>
      <c r="M44" s="267">
        <v>312</v>
      </c>
      <c r="N44" s="267">
        <v>28.266079000000001</v>
      </c>
      <c r="O44" s="86"/>
      <c r="P44" s="86"/>
      <c r="Q44" s="86"/>
      <c r="R44" s="86"/>
      <c r="S44" s="86"/>
      <c r="T44" s="86"/>
      <c r="U44" s="85" t="e">
        <f t="shared" si="0"/>
        <v>#DIV/0!</v>
      </c>
      <c r="V44" s="87" t="e">
        <f t="shared" si="0"/>
        <v>#DIV/0!</v>
      </c>
      <c r="W44" s="118"/>
      <c r="X44" s="98"/>
      <c r="Y44" s="99"/>
      <c r="Z44" s="99"/>
      <c r="AA44" s="99"/>
      <c r="AB44" s="99"/>
      <c r="AC44" s="99"/>
      <c r="AD44" s="99"/>
      <c r="AE44" s="99"/>
      <c r="AF44" s="99"/>
      <c r="AG44" s="100"/>
      <c r="AH44" s="110"/>
      <c r="AO44" s="240"/>
      <c r="AP44" s="240" cm="1">
        <f t="array" ref="AP44">pareto($D40:$D45,$E40:$E45,5,"rate",$AR$1,$AO41,$AO43)</f>
        <v>312</v>
      </c>
      <c r="AQ44" s="240" cm="1">
        <f t="array" ref="AQ44">pareto($D40:$D45,$E40:$E45,5,"dist",$AR$1,$AO41,$AO43)</f>
        <v>28.266079000000001</v>
      </c>
      <c r="AR44" s="240" cm="1">
        <f t="array" ref="AR44">pareto($M40:$M45,$N40:$N45,5,"rate",$AR$1,$AO41,$AO43)</f>
        <v>312</v>
      </c>
      <c r="AS44" s="240" cm="1">
        <f t="array" ref="AS44">pareto($M40:$M45,$N40:$N45,5,"dist",$AR$1,$AO41,$AO43)</f>
        <v>28.266079000000001</v>
      </c>
      <c r="AT44" s="240"/>
      <c r="AU44" s="240"/>
    </row>
    <row r="45" spans="1:47" ht="12" customHeight="1" thickBot="1" x14ac:dyDescent="0.3">
      <c r="A45" s="74"/>
      <c r="B45" s="134"/>
      <c r="C45" s="108" t="s">
        <v>255</v>
      </c>
      <c r="D45" s="267">
        <v>155.661395348837</v>
      </c>
      <c r="E45" s="267">
        <v>15.294999000000001</v>
      </c>
      <c r="F45" s="94"/>
      <c r="G45" s="94"/>
      <c r="H45" s="94"/>
      <c r="I45" s="94"/>
      <c r="J45" s="94"/>
      <c r="K45" s="94"/>
      <c r="L45" s="110"/>
      <c r="M45" s="267">
        <v>155.661395348837</v>
      </c>
      <c r="N45" s="267">
        <v>15.294999000000001</v>
      </c>
      <c r="O45" s="94"/>
      <c r="P45" s="94"/>
      <c r="Q45" s="94"/>
      <c r="R45" s="94"/>
      <c r="S45" s="94"/>
      <c r="T45" s="94"/>
      <c r="U45" s="85" t="e">
        <f t="shared" si="0"/>
        <v>#DIV/0!</v>
      </c>
      <c r="V45" s="87" t="e">
        <f t="shared" si="0"/>
        <v>#DIV/0!</v>
      </c>
      <c r="W45" s="118"/>
      <c r="X45" s="101"/>
      <c r="Y45" s="102"/>
      <c r="Z45" s="102"/>
      <c r="AA45" s="102"/>
      <c r="AB45" s="102"/>
      <c r="AC45" s="102"/>
      <c r="AD45" s="102"/>
      <c r="AE45" s="102"/>
      <c r="AF45" s="102"/>
      <c r="AG45" s="103"/>
      <c r="AH45" s="111"/>
      <c r="AO45" s="240"/>
      <c r="AP45" s="240" cm="1">
        <f t="array" ref="AP45">pareto($D40:$D45,$E40:$E45,6,"rate",$AR$1,$AO41,$AO43)</f>
        <v>155.661395348837</v>
      </c>
      <c r="AQ45" s="240" cm="1">
        <f t="array" ref="AQ45">pareto($D40:$D45,$E40:$E45,6,"dist",$AR$1,$AO41,$AO43)</f>
        <v>15.294999000000001</v>
      </c>
      <c r="AR45" s="240" cm="1">
        <f t="array" ref="AR45">pareto($M40:$M45,$N40:$N45,6,"rate",$AR$1,$AO41,$AO43)</f>
        <v>155.661395348837</v>
      </c>
      <c r="AS45" s="240" cm="1">
        <f t="array" ref="AS45">pareto($M40:$M45,$N40:$N45,6,"dist",$AR$1,$AO41,$AO43)</f>
        <v>15.294999000000001</v>
      </c>
      <c r="AT45" s="240"/>
      <c r="AU45" s="240"/>
    </row>
    <row r="46" spans="1:47" ht="12" customHeight="1" x14ac:dyDescent="0.25">
      <c r="A46" s="74"/>
      <c r="B46" s="132" t="s">
        <v>68</v>
      </c>
      <c r="C46" s="106" t="s">
        <v>250</v>
      </c>
      <c r="D46" s="267">
        <v>1636.9649484536001</v>
      </c>
      <c r="E46" s="267">
        <v>65.886663999999996</v>
      </c>
      <c r="F46" s="83"/>
      <c r="G46" s="83"/>
      <c r="H46" s="83"/>
      <c r="I46" s="83"/>
      <c r="J46" s="83"/>
      <c r="K46" s="83"/>
      <c r="L46" s="110"/>
      <c r="M46" s="267">
        <v>1636.9649484536001</v>
      </c>
      <c r="N46" s="267">
        <v>65.886663999999996</v>
      </c>
      <c r="O46" s="83"/>
      <c r="P46" s="83"/>
      <c r="Q46" s="83"/>
      <c r="R46" s="83"/>
      <c r="S46" s="83"/>
      <c r="T46" s="83"/>
      <c r="U46" s="85" t="e">
        <f t="shared" si="0"/>
        <v>#DIV/0!</v>
      </c>
      <c r="V46" s="87" t="e">
        <f t="shared" si="0"/>
        <v>#DIV/0!</v>
      </c>
      <c r="W46" s="118"/>
      <c r="X46" s="122">
        <f>bdRateExtend($D46:$D51,$E46:$E51,$M46:$M51,$N46:$N51)</f>
        <v>0</v>
      </c>
      <c r="Y46" s="14">
        <f t="shared" ref="Y46" si="31">bdRateExtend($D46:$D50,$E46:$E50,$M46:$M50,$N46:$N50)</f>
        <v>0</v>
      </c>
      <c r="Z46" s="14">
        <f t="shared" ref="Z46" si="32">bdRateExtend($D47:$D51,$E47:$E51,$M47:$M51,$N47:$N51)</f>
        <v>0</v>
      </c>
      <c r="AA46" s="14">
        <f t="shared" ref="AA46" si="33">bdRateExtend($D46:$D49,$E46:$E49,$M46:$M49,$N46:$N49)</f>
        <v>0</v>
      </c>
      <c r="AB46" s="14">
        <f t="shared" ref="AB46" si="34">bdRateExtend($D47:$D50,$E47:$E50,$M47:$M50,$N47:$N50)</f>
        <v>0</v>
      </c>
      <c r="AC46" s="14">
        <f t="shared" ref="AC46" si="35">bdRateExtend($D48:$D51,$E48:$E51,$M48:$M51,$N48:$N51)</f>
        <v>0</v>
      </c>
      <c r="AD46" s="34" cm="1">
        <f t="array" ref="AD46">bdRatePareto(AP46:AP51,AQ46:AQ51,AR46:AR51,AS46:AS51)</f>
        <v>0</v>
      </c>
      <c r="AE46" s="14" t="e">
        <f>bdRateExtend($D46:$D51,F46:F51,$M46:$M51,O46:O51)</f>
        <v>#VALUE!</v>
      </c>
      <c r="AF46" s="14" t="e">
        <f>bdRateExtend($D46:$D51,G46:G51,$M46:$M51,P46:P51)</f>
        <v>#VALUE!</v>
      </c>
      <c r="AG46" s="15" t="e">
        <f>bdRateExtend($D46:$D51,H46:H51,$M46:$M51,Q46:Q51)</f>
        <v>#VALUE!</v>
      </c>
      <c r="AH46" s="72">
        <f>bdPSNRExtend($D46:$D51,$E46:$E51,$M46:$M51,$N46:$N51)</f>
        <v>0</v>
      </c>
      <c r="AO46" s="240" t="s">
        <v>213</v>
      </c>
      <c r="AP46" s="240" cm="1">
        <f t="array" ref="AP46">pareto($D46:$D51,$E46:$E51,1,"rate",$AR$1,$AO47,$AO49)</f>
        <v>1636.9649484536001</v>
      </c>
      <c r="AQ46" s="240" cm="1">
        <f t="array" ref="AQ46">pareto($D46:$D51,$E46:$E51,1,"dist",$AR$1,$AO47,$AO49)</f>
        <v>65.886663999999996</v>
      </c>
      <c r="AR46" s="240" cm="1">
        <f t="array" ref="AR46">pareto($M46:$M51,$N46:$N51,1,"rate",$AR$1,$AO47,$AO49)</f>
        <v>1636.9649484536001</v>
      </c>
      <c r="AS46" s="240" cm="1">
        <f t="array" ref="AS46">pareto($M46:$M51,$N46:$N51,1,"dist",$AR$1,$AO47,$AO49)</f>
        <v>65.886663999999996</v>
      </c>
      <c r="AT46" s="240"/>
      <c r="AU46" s="240"/>
    </row>
    <row r="47" spans="1:47" ht="12" customHeight="1" x14ac:dyDescent="0.25">
      <c r="A47" s="74"/>
      <c r="B47" s="133"/>
      <c r="C47" s="107" t="s">
        <v>251</v>
      </c>
      <c r="D47" s="267">
        <v>1139.67010309278</v>
      </c>
      <c r="E47" s="267">
        <v>65.058751000000001</v>
      </c>
      <c r="F47" s="86"/>
      <c r="G47" s="86"/>
      <c r="H47" s="86"/>
      <c r="I47" s="86"/>
      <c r="J47" s="86"/>
      <c r="K47" s="86"/>
      <c r="L47" s="110"/>
      <c r="M47" s="267">
        <v>1139.67010309278</v>
      </c>
      <c r="N47" s="267">
        <v>65.058751000000001</v>
      </c>
      <c r="O47" s="86"/>
      <c r="P47" s="86"/>
      <c r="Q47" s="86"/>
      <c r="R47" s="86"/>
      <c r="S47" s="86"/>
      <c r="T47" s="86"/>
      <c r="U47" s="85" t="e">
        <f t="shared" si="0"/>
        <v>#DIV/0!</v>
      </c>
      <c r="V47" s="87" t="e">
        <f t="shared" si="0"/>
        <v>#DIV/0!</v>
      </c>
      <c r="W47" s="118"/>
      <c r="X47" s="98"/>
      <c r="Y47" s="99"/>
      <c r="Z47" s="99"/>
      <c r="AA47" s="99"/>
      <c r="AB47" s="99"/>
      <c r="AC47" s="99"/>
      <c r="AD47" s="99"/>
      <c r="AE47" s="99"/>
      <c r="AF47" s="99"/>
      <c r="AG47" s="100"/>
      <c r="AH47" s="110"/>
      <c r="AO47" s="240">
        <v>70.180002000000002</v>
      </c>
      <c r="AP47" s="240" cm="1">
        <f t="array" ref="AP47">pareto($D46:$D51,$E46:$E51,2,"rate",$AR$1,$AO47,$AO49)</f>
        <v>1139.67010309278</v>
      </c>
      <c r="AQ47" s="240" cm="1">
        <f t="array" ref="AQ47">pareto($D46:$D51,$E46:$E51,2,"dist",$AR$1,$AO47,$AO49)</f>
        <v>65.058751000000001</v>
      </c>
      <c r="AR47" s="240" cm="1">
        <f t="array" ref="AR47">pareto($M46:$M51,$N46:$N51,2,"rate",$AR$1,$AO47,$AO49)</f>
        <v>1139.67010309278</v>
      </c>
      <c r="AS47" s="240" cm="1">
        <f t="array" ref="AS47">pareto($M46:$M51,$N46:$N51,2,"dist",$AR$1,$AO47,$AO49)</f>
        <v>65.058751000000001</v>
      </c>
      <c r="AT47" s="240"/>
      <c r="AU47" s="240"/>
    </row>
    <row r="48" spans="1:47" ht="12" customHeight="1" x14ac:dyDescent="0.25">
      <c r="A48" s="74"/>
      <c r="B48" s="133"/>
      <c r="C48" s="107" t="s">
        <v>252</v>
      </c>
      <c r="D48" s="267">
        <v>583.41443298969</v>
      </c>
      <c r="E48" s="267">
        <v>60.014935999999999</v>
      </c>
      <c r="F48" s="86"/>
      <c r="G48" s="86"/>
      <c r="H48" s="86"/>
      <c r="I48" s="86"/>
      <c r="J48" s="86"/>
      <c r="K48" s="86"/>
      <c r="L48" s="110"/>
      <c r="M48" s="267">
        <v>583.41443298969</v>
      </c>
      <c r="N48" s="267">
        <v>60.014935999999999</v>
      </c>
      <c r="O48" s="86"/>
      <c r="P48" s="86"/>
      <c r="Q48" s="86"/>
      <c r="R48" s="86"/>
      <c r="S48" s="86"/>
      <c r="T48" s="86"/>
      <c r="U48" s="85" t="e">
        <f t="shared" si="0"/>
        <v>#DIV/0!</v>
      </c>
      <c r="V48" s="87" t="e">
        <f t="shared" si="0"/>
        <v>#DIV/0!</v>
      </c>
      <c r="W48" s="118"/>
      <c r="X48" s="98"/>
      <c r="Y48" s="99"/>
      <c r="Z48" s="99"/>
      <c r="AA48" s="99"/>
      <c r="AB48" s="99"/>
      <c r="AC48" s="99"/>
      <c r="AD48" s="99"/>
      <c r="AE48" s="99"/>
      <c r="AF48" s="99"/>
      <c r="AG48" s="100"/>
      <c r="AH48" s="110"/>
      <c r="AO48" s="240" t="s">
        <v>44</v>
      </c>
      <c r="AP48" s="240" cm="1">
        <f t="array" ref="AP48">pareto($D46:$D51,$E46:$E51,3,"rate",$AR$1,$AO47,$AO49)</f>
        <v>583.41443298969</v>
      </c>
      <c r="AQ48" s="240" cm="1">
        <f t="array" ref="AQ48">pareto($D46:$D51,$E46:$E51,3,"dist",$AR$1,$AO47,$AO49)</f>
        <v>60.014935999999999</v>
      </c>
      <c r="AR48" s="240" cm="1">
        <f t="array" ref="AR48">pareto($M46:$M51,$N46:$N51,3,"rate",$AR$1,$AO47,$AO49)</f>
        <v>583.41443298969</v>
      </c>
      <c r="AS48" s="240" cm="1">
        <f t="array" ref="AS48">pareto($M46:$M51,$N46:$N51,3,"dist",$AR$1,$AO47,$AO49)</f>
        <v>60.014935999999999</v>
      </c>
      <c r="AT48" s="240"/>
      <c r="AU48" s="240"/>
    </row>
    <row r="49" spans="1:47" ht="12" customHeight="1" x14ac:dyDescent="0.25">
      <c r="A49" s="74"/>
      <c r="B49" s="133"/>
      <c r="C49" s="107" t="s">
        <v>253</v>
      </c>
      <c r="D49" s="267">
        <v>331.56701030927798</v>
      </c>
      <c r="E49" s="267">
        <v>49.109124000000001</v>
      </c>
      <c r="F49" s="86"/>
      <c r="G49" s="86"/>
      <c r="H49" s="86"/>
      <c r="I49" s="86"/>
      <c r="J49" s="86"/>
      <c r="K49" s="86"/>
      <c r="L49" s="110"/>
      <c r="M49" s="267">
        <v>331.56701030927798</v>
      </c>
      <c r="N49" s="267">
        <v>49.109124000000001</v>
      </c>
      <c r="O49" s="86"/>
      <c r="P49" s="86"/>
      <c r="Q49" s="86"/>
      <c r="R49" s="86"/>
      <c r="S49" s="86"/>
      <c r="T49" s="86"/>
      <c r="U49" s="85" t="e">
        <f t="shared" si="0"/>
        <v>#DIV/0!</v>
      </c>
      <c r="V49" s="87" t="e">
        <f t="shared" si="0"/>
        <v>#DIV/0!</v>
      </c>
      <c r="W49" s="118"/>
      <c r="X49" s="98"/>
      <c r="Y49" s="99"/>
      <c r="Z49" s="99"/>
      <c r="AA49" s="99"/>
      <c r="AB49" s="99"/>
      <c r="AC49" s="99"/>
      <c r="AD49" s="99"/>
      <c r="AE49" s="99"/>
      <c r="AF49" s="99"/>
      <c r="AG49" s="100"/>
      <c r="AH49" s="110"/>
      <c r="AO49" s="240">
        <v>20</v>
      </c>
      <c r="AP49" s="240" cm="1">
        <f t="array" ref="AP49">pareto($D46:$D51,$E46:$E51,4,"rate",$AR$1,$AO47,$AO49)</f>
        <v>331.56701030927798</v>
      </c>
      <c r="AQ49" s="240" cm="1">
        <f t="array" ref="AQ49">pareto($D46:$D51,$E46:$E51,4,"dist",$AR$1,$AO47,$AO49)</f>
        <v>49.109124000000001</v>
      </c>
      <c r="AR49" s="240" cm="1">
        <f t="array" ref="AR49">pareto($M46:$M51,$N46:$N51,4,"rate",$AR$1,$AO47,$AO49)</f>
        <v>331.56701030927798</v>
      </c>
      <c r="AS49" s="240" cm="1">
        <f t="array" ref="AS49">pareto($M46:$M51,$N46:$N51,4,"dist",$AR$1,$AO47,$AO49)</f>
        <v>49.109124000000001</v>
      </c>
      <c r="AT49" s="240"/>
      <c r="AU49" s="240"/>
    </row>
    <row r="50" spans="1:47" ht="12" customHeight="1" x14ac:dyDescent="0.25">
      <c r="A50" s="74"/>
      <c r="B50" s="133"/>
      <c r="C50" s="107" t="s">
        <v>254</v>
      </c>
      <c r="D50" s="267">
        <v>174.21855670103</v>
      </c>
      <c r="E50" s="267">
        <v>31.303615000000001</v>
      </c>
      <c r="F50" s="86"/>
      <c r="G50" s="86"/>
      <c r="H50" s="86"/>
      <c r="I50" s="86"/>
      <c r="J50" s="86"/>
      <c r="K50" s="86"/>
      <c r="L50" s="110"/>
      <c r="M50" s="267">
        <v>174.21855670103</v>
      </c>
      <c r="N50" s="267">
        <v>31.303615000000001</v>
      </c>
      <c r="O50" s="86"/>
      <c r="P50" s="86"/>
      <c r="Q50" s="86"/>
      <c r="R50" s="86"/>
      <c r="S50" s="86"/>
      <c r="T50" s="86"/>
      <c r="U50" s="85" t="e">
        <f t="shared" si="0"/>
        <v>#DIV/0!</v>
      </c>
      <c r="V50" s="87" t="e">
        <f t="shared" si="0"/>
        <v>#DIV/0!</v>
      </c>
      <c r="W50" s="118"/>
      <c r="X50" s="98"/>
      <c r="Y50" s="99"/>
      <c r="Z50" s="99"/>
      <c r="AA50" s="99"/>
      <c r="AB50" s="99"/>
      <c r="AC50" s="99"/>
      <c r="AD50" s="99"/>
      <c r="AE50" s="99"/>
      <c r="AF50" s="99"/>
      <c r="AG50" s="100"/>
      <c r="AH50" s="110"/>
      <c r="AO50" s="240"/>
      <c r="AP50" s="240" cm="1">
        <f t="array" ref="AP50">pareto($D46:$D51,$E46:$E51,5,"rate",$AR$1,$AO47,$AO49)</f>
        <v>174.21855670103</v>
      </c>
      <c r="AQ50" s="240" cm="1">
        <f t="array" ref="AQ50">pareto($D46:$D51,$E46:$E51,5,"dist",$AR$1,$AO47,$AO49)</f>
        <v>31.303615000000001</v>
      </c>
      <c r="AR50" s="240" cm="1">
        <f t="array" ref="AR50">pareto($M46:$M51,$N46:$N51,5,"rate",$AR$1,$AO47,$AO49)</f>
        <v>174.21855670103</v>
      </c>
      <c r="AS50" s="240" cm="1">
        <f t="array" ref="AS50">pareto($M46:$M51,$N46:$N51,5,"dist",$AR$1,$AO47,$AO49)</f>
        <v>31.303615000000001</v>
      </c>
      <c r="AT50" s="240"/>
      <c r="AU50" s="240"/>
    </row>
    <row r="51" spans="1:47" ht="12" customHeight="1" thickBot="1" x14ac:dyDescent="0.3">
      <c r="A51" s="74"/>
      <c r="B51" s="134"/>
      <c r="C51" s="108" t="s">
        <v>255</v>
      </c>
      <c r="D51" s="267">
        <v>124.144329896907</v>
      </c>
      <c r="E51" s="267">
        <v>22.090838000000002</v>
      </c>
      <c r="F51" s="94"/>
      <c r="G51" s="94"/>
      <c r="H51" s="94"/>
      <c r="I51" s="94"/>
      <c r="J51" s="94"/>
      <c r="K51" s="94"/>
      <c r="L51" s="110"/>
      <c r="M51" s="267">
        <v>124.144329896907</v>
      </c>
      <c r="N51" s="267">
        <v>22.090838000000002</v>
      </c>
      <c r="O51" s="94"/>
      <c r="P51" s="94"/>
      <c r="Q51" s="94"/>
      <c r="R51" s="94"/>
      <c r="S51" s="94"/>
      <c r="T51" s="94"/>
      <c r="U51" s="85" t="e">
        <f t="shared" si="0"/>
        <v>#DIV/0!</v>
      </c>
      <c r="V51" s="87" t="e">
        <f t="shared" si="0"/>
        <v>#DIV/0!</v>
      </c>
      <c r="W51" s="118"/>
      <c r="X51" s="101"/>
      <c r="Y51" s="102"/>
      <c r="Z51" s="102"/>
      <c r="AA51" s="102"/>
      <c r="AB51" s="102"/>
      <c r="AC51" s="102"/>
      <c r="AD51" s="102"/>
      <c r="AE51" s="102"/>
      <c r="AF51" s="102"/>
      <c r="AG51" s="103"/>
      <c r="AH51" s="111"/>
      <c r="AP51" s="240" cm="1">
        <f t="array" ref="AP51">pareto($D46:$D51,$E46:$E51,6,"rate",$AR$1,$AO47,$AO49)</f>
        <v>124.144329896907</v>
      </c>
      <c r="AQ51" s="240" cm="1">
        <f t="array" ref="AQ51">pareto($D46:$D51,$E46:$E51,6,"dist",$AR$1,$AO47,$AO49)</f>
        <v>22.090838000000002</v>
      </c>
      <c r="AR51" s="240" cm="1">
        <f t="array" ref="AR51">pareto($M46:$M51,$N46:$N51,6,"rate",$AR$1,$AO47,$AO49)</f>
        <v>124.144329896907</v>
      </c>
      <c r="AS51" s="240" cm="1">
        <f t="array" ref="AS51">pareto($M46:$M51,$N46:$N51,6,"dist",$AR$1,$AO47,$AO49)</f>
        <v>22.090838000000002</v>
      </c>
    </row>
    <row r="52" spans="1:47" ht="12" customHeight="1" x14ac:dyDescent="0.25">
      <c r="A52" s="74"/>
      <c r="B52" s="132" t="s">
        <v>69</v>
      </c>
      <c r="C52" s="106" t="s">
        <v>250</v>
      </c>
      <c r="D52" s="267">
        <v>1243.13353846153</v>
      </c>
      <c r="E52" s="267">
        <v>44.139062000000003</v>
      </c>
      <c r="F52" s="83"/>
      <c r="G52" s="83"/>
      <c r="H52" s="83"/>
      <c r="I52" s="83"/>
      <c r="J52" s="83"/>
      <c r="K52" s="83"/>
      <c r="L52" s="110"/>
      <c r="M52" s="267">
        <v>1243.13353846153</v>
      </c>
      <c r="N52" s="267">
        <v>44.996788000000002</v>
      </c>
      <c r="O52" s="83"/>
      <c r="P52" s="83"/>
      <c r="Q52" s="83"/>
      <c r="R52" s="83"/>
      <c r="S52" s="83"/>
      <c r="T52" s="83"/>
      <c r="U52" s="85" t="e">
        <f t="shared" si="0"/>
        <v>#DIV/0!</v>
      </c>
      <c r="V52" s="87" t="e">
        <f t="shared" si="0"/>
        <v>#DIV/0!</v>
      </c>
      <c r="W52" s="118"/>
      <c r="X52" s="122">
        <f>bdRateExtend($D52:$D57,$E52:$E57,$M52:$M57,$N52:$N57)</f>
        <v>-3.891825733075871E-2</v>
      </c>
      <c r="Y52" s="14">
        <f t="shared" ref="Y52" si="36">bdRateExtend($D52:$D56,$E52:$E56,$M52:$M56,$N52:$N56)</f>
        <v>-6.4598275879375944E-2</v>
      </c>
      <c r="Z52" s="14">
        <f t="shared" ref="Z52" si="37">bdRateExtend($D53:$D57,$E53:$E57,$M53:$M57,$N53:$N57)</f>
        <v>-2.5820917306403013E-2</v>
      </c>
      <c r="AA52" s="14">
        <f t="shared" ref="AA52" si="38">bdRateExtend($D52:$D55,$E52:$E55,$M52:$M55,$N52:$N55)</f>
        <v>-6.3687265363056134E-2</v>
      </c>
      <c r="AB52" s="14">
        <f t="shared" ref="AB52" si="39">bdRateExtend($D53:$D56,$E53:$E56,$M53:$M56,$N53:$N56)</f>
        <v>-4.447075128152167E-2</v>
      </c>
      <c r="AC52" s="14">
        <f t="shared" ref="AC52" si="40">bdRateExtend($D54:$D57,$E54:$E57,$M54:$M57,$N54:$N57)</f>
        <v>-2.7539760872183239E-2</v>
      </c>
      <c r="AD52" s="34" cm="1">
        <f t="array" ref="AD52">bdRatePareto(AP52:AP57,AQ52:AQ57,AR52:AR57,AS52:AS57)</f>
        <v>-3.891825733075871E-2</v>
      </c>
      <c r="AE52" s="14" t="e">
        <f>bdRateExtend($D52:$D57,F52:F57,$M52:$M57,O52:O57)</f>
        <v>#VALUE!</v>
      </c>
      <c r="AF52" s="14" t="e">
        <f>bdRateExtend($D52:$D57,G52:G57,$M52:$M57,P52:P57)</f>
        <v>#VALUE!</v>
      </c>
      <c r="AG52" s="15" t="e">
        <f>bdRateExtend($D52:$D57,H52:H57,$M52:$M57,Q52:Q57)</f>
        <v>#VALUE!</v>
      </c>
      <c r="AH52" s="72">
        <f>bdPSNRExtend($D52:$D57,$E52:$E57,$M52:$M57,$N52:$N57)</f>
        <v>0.46107425110353539</v>
      </c>
      <c r="AO52" s="240" t="s">
        <v>213</v>
      </c>
      <c r="AP52" s="240" cm="1">
        <f t="array" ref="AP52">pareto($D52:$D57,$E52:$E57,1,"rate",$AR$1,$AO53,$AO55)</f>
        <v>1243.13353846153</v>
      </c>
      <c r="AQ52" s="240" cm="1">
        <f t="array" ref="AQ52">pareto($D52:$D57,$E52:$E57,1,"dist",$AR$1,$AO53,$AO55)</f>
        <v>44.139062000000003</v>
      </c>
      <c r="AR52" s="240" cm="1">
        <f t="array" ref="AR52">pareto($M52:$M57,$N52:$N57,1,"rate",$AR$1,$AO53,$AO55)</f>
        <v>1243.13353846153</v>
      </c>
      <c r="AS52" s="240" cm="1">
        <f t="array" ref="AS52">pareto($M52:$M57,$N52:$N57,1,"dist",$AR$1,$AO53,$AO55)</f>
        <v>44.996788000000002</v>
      </c>
    </row>
    <row r="53" spans="1:47" ht="12" customHeight="1" x14ac:dyDescent="0.25">
      <c r="A53" s="74"/>
      <c r="B53" s="133"/>
      <c r="C53" s="107" t="s">
        <v>251</v>
      </c>
      <c r="D53" s="267">
        <v>711.22338461538402</v>
      </c>
      <c r="E53" s="267">
        <v>42.865299999999998</v>
      </c>
      <c r="F53" s="86"/>
      <c r="G53" s="86"/>
      <c r="H53" s="86"/>
      <c r="I53" s="86"/>
      <c r="J53" s="86"/>
      <c r="K53" s="86"/>
      <c r="L53" s="110"/>
      <c r="M53" s="267">
        <v>711.22338461538402</v>
      </c>
      <c r="N53" s="267">
        <v>43.546909999999997</v>
      </c>
      <c r="O53" s="86"/>
      <c r="P53" s="86"/>
      <c r="Q53" s="86"/>
      <c r="R53" s="86"/>
      <c r="S53" s="86"/>
      <c r="T53" s="86"/>
      <c r="U53" s="85" t="e">
        <f t="shared" si="0"/>
        <v>#DIV/0!</v>
      </c>
      <c r="V53" s="87" t="e">
        <f t="shared" si="0"/>
        <v>#DIV/0!</v>
      </c>
      <c r="W53" s="118"/>
      <c r="X53" s="98"/>
      <c r="Y53" s="99"/>
      <c r="Z53" s="99"/>
      <c r="AA53" s="99"/>
      <c r="AB53" s="99"/>
      <c r="AC53" s="99"/>
      <c r="AD53" s="99"/>
      <c r="AE53" s="99"/>
      <c r="AF53" s="99"/>
      <c r="AG53" s="100"/>
      <c r="AH53" s="110"/>
      <c r="AO53" s="240">
        <v>51.641207000000001</v>
      </c>
      <c r="AP53" s="240" cm="1">
        <f t="array" ref="AP53">pareto($D52:$D57,$E52:$E57,2,"rate",$AR$1,$AO53,$AO55)</f>
        <v>711.22338461538402</v>
      </c>
      <c r="AQ53" s="240" cm="1">
        <f t="array" ref="AQ53">pareto($D52:$D57,$E52:$E57,2,"dist",$AR$1,$AO53,$AO55)</f>
        <v>42.865299999999998</v>
      </c>
      <c r="AR53" s="240" cm="1">
        <f t="array" ref="AR53">pareto($M52:$M57,$N52:$N57,2,"rate",$AR$1,$AO53,$AO55)</f>
        <v>711.22338461538402</v>
      </c>
      <c r="AS53" s="240" cm="1">
        <f t="array" ref="AS53">pareto($M52:$M57,$N52:$N57,2,"dist",$AR$1,$AO53,$AO55)</f>
        <v>43.546909999999997</v>
      </c>
    </row>
    <row r="54" spans="1:47" ht="12" customHeight="1" x14ac:dyDescent="0.25">
      <c r="A54" s="74"/>
      <c r="B54" s="133"/>
      <c r="C54" s="107" t="s">
        <v>252</v>
      </c>
      <c r="D54" s="267">
        <v>513.86953846153801</v>
      </c>
      <c r="E54" s="267">
        <v>40.838869000000003</v>
      </c>
      <c r="F54" s="86"/>
      <c r="G54" s="86"/>
      <c r="H54" s="86"/>
      <c r="I54" s="86"/>
      <c r="J54" s="86"/>
      <c r="K54" s="86"/>
      <c r="L54" s="110"/>
      <c r="M54" s="267">
        <v>513.86953846153801</v>
      </c>
      <c r="N54" s="267">
        <v>40.839829999999999</v>
      </c>
      <c r="O54" s="86"/>
      <c r="P54" s="86"/>
      <c r="Q54" s="86"/>
      <c r="R54" s="86"/>
      <c r="S54" s="86"/>
      <c r="T54" s="86"/>
      <c r="U54" s="85" t="e">
        <f t="shared" si="0"/>
        <v>#DIV/0!</v>
      </c>
      <c r="V54" s="87" t="e">
        <f t="shared" si="0"/>
        <v>#DIV/0!</v>
      </c>
      <c r="W54" s="118"/>
      <c r="X54" s="98"/>
      <c r="Y54" s="99"/>
      <c r="Z54" s="99"/>
      <c r="AA54" s="99"/>
      <c r="AB54" s="99"/>
      <c r="AC54" s="99"/>
      <c r="AD54" s="99"/>
      <c r="AE54" s="99"/>
      <c r="AF54" s="99"/>
      <c r="AG54" s="100"/>
      <c r="AH54" s="110"/>
      <c r="AO54" s="240" t="s">
        <v>44</v>
      </c>
      <c r="AP54" s="240" cm="1">
        <f t="array" ref="AP54">pareto($D52:$D57,$E52:$E57,3,"rate",$AR$1,$AO53,$AO55)</f>
        <v>513.86953846153801</v>
      </c>
      <c r="AQ54" s="240" cm="1">
        <f t="array" ref="AQ54">pareto($D52:$D57,$E52:$E57,3,"dist",$AR$1,$AO53,$AO55)</f>
        <v>40.838869000000003</v>
      </c>
      <c r="AR54" s="240" cm="1">
        <f t="array" ref="AR54">pareto($M52:$M57,$N52:$N57,3,"rate",$AR$1,$AO53,$AO55)</f>
        <v>513.86953846153801</v>
      </c>
      <c r="AS54" s="240" cm="1">
        <f t="array" ref="AS54">pareto($M52:$M57,$N52:$N57,3,"dist",$AR$1,$AO53,$AO55)</f>
        <v>40.839829999999999</v>
      </c>
    </row>
    <row r="55" spans="1:47" ht="12" customHeight="1" x14ac:dyDescent="0.25">
      <c r="A55" s="74"/>
      <c r="B55" s="133"/>
      <c r="C55" s="107" t="s">
        <v>253</v>
      </c>
      <c r="D55" s="267">
        <v>330.84553846153801</v>
      </c>
      <c r="E55" s="267">
        <v>36.894911999999998</v>
      </c>
      <c r="F55" s="86"/>
      <c r="G55" s="86"/>
      <c r="H55" s="86"/>
      <c r="I55" s="86"/>
      <c r="J55" s="86"/>
      <c r="K55" s="86"/>
      <c r="L55" s="110"/>
      <c r="M55" s="267">
        <v>330.84553846153801</v>
      </c>
      <c r="N55" s="267">
        <v>37.598014999999997</v>
      </c>
      <c r="O55" s="86"/>
      <c r="P55" s="86"/>
      <c r="Q55" s="86"/>
      <c r="R55" s="86"/>
      <c r="S55" s="86"/>
      <c r="T55" s="86"/>
      <c r="U55" s="85" t="e">
        <f t="shared" si="0"/>
        <v>#DIV/0!</v>
      </c>
      <c r="V55" s="87" t="e">
        <f t="shared" si="0"/>
        <v>#DIV/0!</v>
      </c>
      <c r="W55" s="118"/>
      <c r="X55" s="98"/>
      <c r="Y55" s="99"/>
      <c r="Z55" s="99"/>
      <c r="AA55" s="99"/>
      <c r="AB55" s="99"/>
      <c r="AC55" s="99"/>
      <c r="AD55" s="99"/>
      <c r="AE55" s="99"/>
      <c r="AF55" s="99"/>
      <c r="AG55" s="100"/>
      <c r="AH55" s="110"/>
      <c r="AO55" s="240">
        <v>20</v>
      </c>
      <c r="AP55" s="240" cm="1">
        <f t="array" ref="AP55">pareto($D52:$D57,$E52:$E57,4,"rate",$AR$1,$AO53,$AO55)</f>
        <v>330.84553846153801</v>
      </c>
      <c r="AQ55" s="240" cm="1">
        <f t="array" ref="AQ55">pareto($D52:$D57,$E52:$E57,4,"dist",$AR$1,$AO53,$AO55)</f>
        <v>36.894911999999998</v>
      </c>
      <c r="AR55" s="240" cm="1">
        <f t="array" ref="AR55">pareto($M52:$M57,$N52:$N57,4,"rate",$AR$1,$AO53,$AO55)</f>
        <v>330.84553846153801</v>
      </c>
      <c r="AS55" s="240" cm="1">
        <f t="array" ref="AS55">pareto($M52:$M57,$N52:$N57,4,"dist",$AR$1,$AO53,$AO55)</f>
        <v>37.598014999999997</v>
      </c>
    </row>
    <row r="56" spans="1:47" ht="12" customHeight="1" x14ac:dyDescent="0.25">
      <c r="A56" s="74"/>
      <c r="B56" s="133"/>
      <c r="C56" s="107" t="s">
        <v>254</v>
      </c>
      <c r="D56" s="267">
        <v>211.462153846153</v>
      </c>
      <c r="E56" s="267">
        <v>31.529242</v>
      </c>
      <c r="F56" s="86"/>
      <c r="G56" s="86"/>
      <c r="H56" s="86"/>
      <c r="I56" s="86"/>
      <c r="J56" s="86"/>
      <c r="K56" s="86"/>
      <c r="L56" s="110"/>
      <c r="M56" s="267">
        <v>211.462153846153</v>
      </c>
      <c r="N56" s="267">
        <v>31.769935</v>
      </c>
      <c r="O56" s="86"/>
      <c r="P56" s="86"/>
      <c r="Q56" s="86"/>
      <c r="R56" s="86"/>
      <c r="S56" s="86"/>
      <c r="T56" s="86"/>
      <c r="U56" s="85" t="e">
        <f t="shared" si="0"/>
        <v>#DIV/0!</v>
      </c>
      <c r="V56" s="87" t="e">
        <f t="shared" si="0"/>
        <v>#DIV/0!</v>
      </c>
      <c r="W56" s="118"/>
      <c r="X56" s="98"/>
      <c r="Y56" s="99"/>
      <c r="Z56" s="99"/>
      <c r="AA56" s="99"/>
      <c r="AB56" s="99"/>
      <c r="AC56" s="99"/>
      <c r="AD56" s="99"/>
      <c r="AE56" s="99"/>
      <c r="AF56" s="99"/>
      <c r="AG56" s="100"/>
      <c r="AH56" s="110"/>
      <c r="AP56" s="240" cm="1">
        <f t="array" ref="AP56">pareto($D52:$D57,$E52:$E57,5,"rate",$AR$1,$AO53,$AO55)</f>
        <v>211.462153846153</v>
      </c>
      <c r="AQ56" s="240" cm="1">
        <f t="array" ref="AQ56">pareto($D52:$D57,$E52:$E57,5,"dist",$AR$1,$AO53,$AO55)</f>
        <v>31.529242</v>
      </c>
      <c r="AR56" s="240" cm="1">
        <f t="array" ref="AR56">pareto($M52:$M57,$N52:$N57,5,"rate",$AR$1,$AO53,$AO55)</f>
        <v>211.462153846153</v>
      </c>
      <c r="AS56" s="240" cm="1">
        <f t="array" ref="AS56">pareto($M52:$M57,$N52:$N57,5,"dist",$AR$1,$AO53,$AO55)</f>
        <v>31.769935</v>
      </c>
    </row>
    <row r="57" spans="1:47" ht="12" customHeight="1" thickBot="1" x14ac:dyDescent="0.3">
      <c r="A57" s="92"/>
      <c r="B57" s="134"/>
      <c r="C57" s="108" t="s">
        <v>255</v>
      </c>
      <c r="D57" s="267">
        <v>128.72123076923</v>
      </c>
      <c r="E57" s="267">
        <v>22.490171</v>
      </c>
      <c r="F57" s="94"/>
      <c r="G57" s="94"/>
      <c r="H57" s="94"/>
      <c r="I57" s="94"/>
      <c r="J57" s="94"/>
      <c r="K57" s="94"/>
      <c r="L57" s="111"/>
      <c r="M57" s="267">
        <v>128.72123076923</v>
      </c>
      <c r="N57" s="267">
        <v>22.865559999999999</v>
      </c>
      <c r="O57" s="94"/>
      <c r="P57" s="94"/>
      <c r="Q57" s="94"/>
      <c r="R57" s="94"/>
      <c r="S57" s="94"/>
      <c r="T57" s="94"/>
      <c r="U57" s="85" t="e">
        <f t="shared" si="0"/>
        <v>#DIV/0!</v>
      </c>
      <c r="V57" s="87" t="e">
        <f t="shared" si="0"/>
        <v>#DIV/0!</v>
      </c>
      <c r="W57" s="118"/>
      <c r="X57" s="101"/>
      <c r="Y57" s="102"/>
      <c r="Z57" s="102"/>
      <c r="AA57" s="102"/>
      <c r="AB57" s="102"/>
      <c r="AC57" s="102"/>
      <c r="AD57" s="102"/>
      <c r="AE57" s="102"/>
      <c r="AF57" s="102"/>
      <c r="AG57" s="103"/>
      <c r="AH57" s="111"/>
      <c r="AP57" s="240" cm="1">
        <f t="array" ref="AP57">pareto($D52:$D57,$E52:$E57,6,"rate",$AR$1,$AO53,$AO55)</f>
        <v>128.72123076923</v>
      </c>
      <c r="AQ57" s="240" cm="1">
        <f t="array" ref="AQ57">pareto($D52:$D57,$E52:$E57,6,"dist",$AR$1,$AO53,$AO55)</f>
        <v>22.490171</v>
      </c>
      <c r="AR57" s="240" cm="1">
        <f t="array" ref="AR57">pareto($M52:$M57,$N52:$N57,6,"rate",$AR$1,$AO53,$AO55)</f>
        <v>128.72123076923</v>
      </c>
      <c r="AS57" s="240" cm="1">
        <f t="array" ref="AS57">pareto($M52:$M57,$N52:$N57,6,"dist",$AR$1,$AO53,$AO55)</f>
        <v>22.865559999999999</v>
      </c>
    </row>
    <row r="58" spans="1:47" ht="12" customHeight="1" x14ac:dyDescent="0.25">
      <c r="A58" s="81" t="s">
        <v>70</v>
      </c>
      <c r="B58" s="132" t="s">
        <v>71</v>
      </c>
      <c r="C58" s="106" t="s">
        <v>250</v>
      </c>
      <c r="D58" s="267">
        <v>907.41443298969</v>
      </c>
      <c r="E58" s="267">
        <v>22.523081000000001</v>
      </c>
      <c r="F58" s="83"/>
      <c r="G58" s="83"/>
      <c r="H58" s="83"/>
      <c r="I58" s="83"/>
      <c r="J58" s="83"/>
      <c r="K58" s="83"/>
      <c r="L58" s="110"/>
      <c r="M58" s="267">
        <v>907.41443298969</v>
      </c>
      <c r="N58" s="267">
        <v>22.523081000000001</v>
      </c>
      <c r="O58" s="83"/>
      <c r="P58" s="83"/>
      <c r="Q58" s="83"/>
      <c r="R58" s="83"/>
      <c r="S58" s="83"/>
      <c r="T58" s="83"/>
      <c r="U58" s="82" t="e">
        <f t="shared" si="0"/>
        <v>#DIV/0!</v>
      </c>
      <c r="V58" s="83" t="e">
        <f t="shared" si="0"/>
        <v>#DIV/0!</v>
      </c>
      <c r="W58" s="109"/>
      <c r="X58" s="122">
        <f>bdRateExtend($D58:$D63,$E58:$E63,$M58:$M63,$N58:$N63)</f>
        <v>0</v>
      </c>
      <c r="Y58" s="14">
        <f t="shared" ref="Y58" si="41">bdRateExtend($D58:$D62,$E58:$E62,$M58:$M62,$N58:$N62)</f>
        <v>0</v>
      </c>
      <c r="Z58" s="14">
        <f t="shared" ref="Z58" si="42">bdRateExtend($D59:$D63,$E59:$E63,$M59:$M63,$N59:$N63)</f>
        <v>0</v>
      </c>
      <c r="AA58" s="14">
        <f t="shared" ref="AA58" si="43">bdRateExtend($D58:$D61,$E58:$E61,$M58:$M61,$N58:$N61)</f>
        <v>0</v>
      </c>
      <c r="AB58" s="14">
        <f t="shared" ref="AB58" si="44">bdRateExtend($D59:$D62,$E59:$E62,$M59:$M62,$N59:$N62)</f>
        <v>0</v>
      </c>
      <c r="AC58" s="14">
        <f t="shared" ref="AC58" si="45">bdRateExtend($D60:$D63,$E60:$E63,$M60:$M63,$N60:$N63)</f>
        <v>0</v>
      </c>
      <c r="AD58" s="34" cm="1">
        <f t="array" ref="AD58">bdRatePareto(AP58:AP63,AQ58:AQ63,AR58:AR63,AS58:AS63)</f>
        <v>0</v>
      </c>
      <c r="AE58" s="14" t="e">
        <f>bdRateExtend($D58:$D63,F58:F63,$M58:$M63,O58:O63)</f>
        <v>#VALUE!</v>
      </c>
      <c r="AF58" s="14" t="e">
        <f>bdRateExtend($D58:$D63,G58:G63,$M58:$M63,P58:P63)</f>
        <v>#VALUE!</v>
      </c>
      <c r="AG58" s="15" t="e">
        <f>bdRateExtend($D58:$D63,H58:H63,$M58:$M63,Q58:Q63)</f>
        <v>#VALUE!</v>
      </c>
      <c r="AH58" s="72">
        <f>bdPSNRExtend($D58:$D63,$E58:$E63,$M58:$M63,$N58:$N63)</f>
        <v>0</v>
      </c>
      <c r="AO58" s="240" t="s">
        <v>213</v>
      </c>
      <c r="AP58" s="240" cm="1">
        <f t="array" ref="AP58">pareto($D58:$D63,$E58:$E63,1,"rate",$AR$1,$AO59,$AO61)</f>
        <v>907.41443298969</v>
      </c>
      <c r="AQ58" s="240" cm="1">
        <f t="array" ref="AQ58">pareto($D58:$D63,$E58:$E63,1,"dist",$AR$1,$AO59,$AO61)</f>
        <v>22.523081000000001</v>
      </c>
      <c r="AR58" s="240" cm="1">
        <f t="array" ref="AR58">pareto($M58:$M63,$N58:$N63,1,"rate",$AR$1,$AO59,$AO61)</f>
        <v>907.41443298969</v>
      </c>
      <c r="AS58" s="240" cm="1">
        <f t="array" ref="AS58">pareto($M58:$M63,$N58:$N63,1,"dist",$AR$1,$AO59,$AO61)</f>
        <v>22.523081000000001</v>
      </c>
    </row>
    <row r="59" spans="1:47" ht="12" customHeight="1" x14ac:dyDescent="0.25">
      <c r="A59" s="136"/>
      <c r="B59" s="133"/>
      <c r="C59" s="107" t="s">
        <v>251</v>
      </c>
      <c r="D59" s="267">
        <v>613.59587628865904</v>
      </c>
      <c r="E59" s="267">
        <v>21.113019000000001</v>
      </c>
      <c r="F59" s="86"/>
      <c r="G59" s="86"/>
      <c r="H59" s="86"/>
      <c r="I59" s="86"/>
      <c r="J59" s="86"/>
      <c r="K59" s="86"/>
      <c r="L59" s="110"/>
      <c r="M59" s="267">
        <v>613.59587628865904</v>
      </c>
      <c r="N59" s="267">
        <v>21.113019000000001</v>
      </c>
      <c r="O59" s="86"/>
      <c r="P59" s="86"/>
      <c r="Q59" s="86"/>
      <c r="R59" s="86"/>
      <c r="S59" s="86"/>
      <c r="T59" s="86"/>
      <c r="U59" s="85" t="e">
        <f t="shared" si="0"/>
        <v>#DIV/0!</v>
      </c>
      <c r="V59" s="86" t="e">
        <f t="shared" si="0"/>
        <v>#DIV/0!</v>
      </c>
      <c r="W59" s="110"/>
      <c r="X59" s="98"/>
      <c r="Y59" s="99"/>
      <c r="Z59" s="99"/>
      <c r="AA59" s="99"/>
      <c r="AB59" s="99"/>
      <c r="AC59" s="99"/>
      <c r="AD59" s="99"/>
      <c r="AE59" s="99"/>
      <c r="AF59" s="99"/>
      <c r="AG59" s="100"/>
      <c r="AH59" s="110"/>
      <c r="AO59" s="240">
        <v>34.423498000000002</v>
      </c>
      <c r="AP59" s="240" cm="1">
        <f t="array" ref="AP59">pareto($D58:$D63,$E58:$E63,2,"rate",$AR$1,$AO59,$AO61)</f>
        <v>613.59587628865904</v>
      </c>
      <c r="AQ59" s="240" cm="1">
        <f t="array" ref="AQ59">pareto($D58:$D63,$E58:$E63,2,"dist",$AR$1,$AO59,$AO61)</f>
        <v>21.113019000000001</v>
      </c>
      <c r="AR59" s="240" cm="1">
        <f t="array" ref="AR59">pareto($M58:$M63,$N58:$N63,2,"rate",$AR$1,$AO59,$AO61)</f>
        <v>613.59587628865904</v>
      </c>
      <c r="AS59" s="240" cm="1">
        <f t="array" ref="AS59">pareto($M58:$M63,$N58:$N63,2,"dist",$AR$1,$AO59,$AO61)</f>
        <v>21.113019000000001</v>
      </c>
    </row>
    <row r="60" spans="1:47" ht="12" customHeight="1" x14ac:dyDescent="0.25">
      <c r="A60" s="74"/>
      <c r="B60" s="133"/>
      <c r="C60" s="107" t="s">
        <v>252</v>
      </c>
      <c r="D60" s="267">
        <v>410.25979381443301</v>
      </c>
      <c r="E60" s="267">
        <v>18.230198999999999</v>
      </c>
      <c r="F60" s="86"/>
      <c r="G60" s="86"/>
      <c r="H60" s="86"/>
      <c r="I60" s="86"/>
      <c r="J60" s="86"/>
      <c r="K60" s="86"/>
      <c r="L60" s="110"/>
      <c r="M60" s="267">
        <v>410.25979381443301</v>
      </c>
      <c r="N60" s="267">
        <v>18.230198999999999</v>
      </c>
      <c r="O60" s="86"/>
      <c r="P60" s="86"/>
      <c r="Q60" s="86"/>
      <c r="R60" s="86"/>
      <c r="S60" s="86"/>
      <c r="T60" s="86"/>
      <c r="U60" s="85" t="e">
        <f t="shared" si="0"/>
        <v>#DIV/0!</v>
      </c>
      <c r="V60" s="86" t="e">
        <f t="shared" si="0"/>
        <v>#DIV/0!</v>
      </c>
      <c r="W60" s="110"/>
      <c r="X60" s="98"/>
      <c r="Y60" s="99"/>
      <c r="Z60" s="99"/>
      <c r="AA60" s="99"/>
      <c r="AB60" s="99"/>
      <c r="AC60" s="99"/>
      <c r="AD60" s="99"/>
      <c r="AE60" s="99"/>
      <c r="AF60" s="99"/>
      <c r="AG60" s="100"/>
      <c r="AH60" s="110"/>
      <c r="AO60" s="240" t="s">
        <v>44</v>
      </c>
      <c r="AP60" s="240" cm="1">
        <f t="array" ref="AP60">pareto($D58:$D63,$E58:$E63,3,"rate",$AR$1,$AO59,$AO61)</f>
        <v>410.25979381443301</v>
      </c>
      <c r="AQ60" s="240" cm="1">
        <f t="array" ref="AQ60">pareto($D58:$D63,$E58:$E63,3,"dist",$AR$1,$AO59,$AO61)</f>
        <v>18.230198999999999</v>
      </c>
      <c r="AR60" s="240" cm="1">
        <f t="array" ref="AR60">pareto($M58:$M63,$N58:$N63,3,"rate",$AR$1,$AO59,$AO61)</f>
        <v>410.25979381443301</v>
      </c>
      <c r="AS60" s="240" cm="1">
        <f t="array" ref="AS60">pareto($M58:$M63,$N58:$N63,3,"dist",$AR$1,$AO59,$AO61)</f>
        <v>18.230198999999999</v>
      </c>
    </row>
    <row r="61" spans="1:47" ht="12" customHeight="1" x14ac:dyDescent="0.25">
      <c r="A61" s="74"/>
      <c r="B61" s="133"/>
      <c r="C61" s="107" t="s">
        <v>253</v>
      </c>
      <c r="D61" s="267">
        <v>272.20206185567002</v>
      </c>
      <c r="E61" s="267">
        <v>16.651187</v>
      </c>
      <c r="F61" s="86"/>
      <c r="G61" s="86"/>
      <c r="H61" s="86"/>
      <c r="I61" s="86"/>
      <c r="J61" s="86"/>
      <c r="K61" s="86"/>
      <c r="L61" s="110"/>
      <c r="M61" s="267">
        <v>272.20206185567002</v>
      </c>
      <c r="N61" s="267">
        <v>16.651187</v>
      </c>
      <c r="O61" s="86"/>
      <c r="P61" s="86"/>
      <c r="Q61" s="86"/>
      <c r="R61" s="86"/>
      <c r="S61" s="86"/>
      <c r="T61" s="86"/>
      <c r="U61" s="85" t="e">
        <f t="shared" si="0"/>
        <v>#DIV/0!</v>
      </c>
      <c r="V61" s="86" t="e">
        <f t="shared" si="0"/>
        <v>#DIV/0!</v>
      </c>
      <c r="W61" s="110"/>
      <c r="X61" s="98"/>
      <c r="Y61" s="99"/>
      <c r="Z61" s="99"/>
      <c r="AA61" s="99"/>
      <c r="AB61" s="99"/>
      <c r="AC61" s="99"/>
      <c r="AD61" s="99"/>
      <c r="AE61" s="99"/>
      <c r="AF61" s="99"/>
      <c r="AG61" s="100"/>
      <c r="AH61" s="110"/>
      <c r="AO61" s="240">
        <v>20</v>
      </c>
      <c r="AP61" s="240" cm="1">
        <f t="array" ref="AP61">pareto($D58:$D63,$E58:$E63,4,"rate",$AR$1,$AO59,$AO61)</f>
        <v>272.20206185567002</v>
      </c>
      <c r="AQ61" s="240" cm="1">
        <f t="array" ref="AQ61">pareto($D58:$D63,$E58:$E63,4,"dist",$AR$1,$AO59,$AO61)</f>
        <v>16.651187</v>
      </c>
      <c r="AR61" s="240" cm="1">
        <f t="array" ref="AR61">pareto($M58:$M63,$N58:$N63,4,"rate",$AR$1,$AO59,$AO61)</f>
        <v>272.20206185567002</v>
      </c>
      <c r="AS61" s="240" cm="1">
        <f t="array" ref="AS61">pareto($M58:$M63,$N58:$N63,4,"dist",$AR$1,$AO59,$AO61)</f>
        <v>16.651187</v>
      </c>
    </row>
    <row r="62" spans="1:47" ht="12" customHeight="1" x14ac:dyDescent="0.25">
      <c r="A62" s="74"/>
      <c r="B62" s="133"/>
      <c r="C62" s="107" t="s">
        <v>254</v>
      </c>
      <c r="D62" s="267">
        <v>175.60412371134001</v>
      </c>
      <c r="E62" s="267">
        <v>14.276002999999999</v>
      </c>
      <c r="F62" s="86"/>
      <c r="G62" s="86"/>
      <c r="H62" s="86"/>
      <c r="I62" s="86"/>
      <c r="J62" s="86"/>
      <c r="K62" s="86"/>
      <c r="L62" s="110"/>
      <c r="M62" s="267">
        <v>175.60412371134001</v>
      </c>
      <c r="N62" s="267">
        <v>14.276002999999999</v>
      </c>
      <c r="O62" s="86"/>
      <c r="P62" s="86"/>
      <c r="Q62" s="86"/>
      <c r="R62" s="86"/>
      <c r="S62" s="86"/>
      <c r="T62" s="86"/>
      <c r="U62" s="85" t="e">
        <f t="shared" ref="U62:V81" si="46">S62/J62</f>
        <v>#DIV/0!</v>
      </c>
      <c r="V62" s="86" t="e">
        <f t="shared" si="46"/>
        <v>#DIV/0!</v>
      </c>
      <c r="W62" s="110"/>
      <c r="X62" s="98"/>
      <c r="Y62" s="99"/>
      <c r="Z62" s="99"/>
      <c r="AA62" s="99"/>
      <c r="AB62" s="99"/>
      <c r="AC62" s="99"/>
      <c r="AD62" s="99"/>
      <c r="AE62" s="99"/>
      <c r="AF62" s="99"/>
      <c r="AG62" s="100"/>
      <c r="AH62" s="110"/>
      <c r="AP62" s="240" cm="1">
        <f t="array" ref="AP62">pareto($D58:$D63,$E58:$E63,5,"rate",$AR$1,$AO59,$AO61)</f>
        <v>175.60412371134001</v>
      </c>
      <c r="AQ62" s="240" cm="1">
        <f t="array" ref="AQ62">pareto($D58:$D63,$E58:$E63,5,"dist",$AR$1,$AO59,$AO61)</f>
        <v>14.276002999999999</v>
      </c>
      <c r="AR62" s="240" cm="1">
        <f t="array" ref="AR62">pareto($M58:$M63,$N58:$N63,5,"rate",$AR$1,$AO59,$AO61)</f>
        <v>175.60412371134001</v>
      </c>
      <c r="AS62" s="240" cm="1">
        <f t="array" ref="AS62">pareto($M58:$M63,$N58:$N63,5,"dist",$AR$1,$AO59,$AO61)</f>
        <v>14.276002999999999</v>
      </c>
    </row>
    <row r="63" spans="1:47" ht="12" customHeight="1" thickBot="1" x14ac:dyDescent="0.3">
      <c r="A63" s="74"/>
      <c r="B63" s="134"/>
      <c r="C63" s="108" t="s">
        <v>255</v>
      </c>
      <c r="D63" s="267">
        <v>112.973195876288</v>
      </c>
      <c r="E63" s="267">
        <v>9.5545050000000007</v>
      </c>
      <c r="F63" s="94"/>
      <c r="G63" s="94"/>
      <c r="H63" s="94"/>
      <c r="I63" s="94"/>
      <c r="J63" s="94"/>
      <c r="K63" s="94"/>
      <c r="L63" s="110"/>
      <c r="M63" s="267">
        <v>112.973195876288</v>
      </c>
      <c r="N63" s="267">
        <v>9.5545050000000007</v>
      </c>
      <c r="O63" s="94"/>
      <c r="P63" s="94"/>
      <c r="Q63" s="94"/>
      <c r="R63" s="94"/>
      <c r="S63" s="94"/>
      <c r="T63" s="94"/>
      <c r="U63" s="85" t="e">
        <f t="shared" si="46"/>
        <v>#DIV/0!</v>
      </c>
      <c r="V63" s="86" t="e">
        <f t="shared" si="46"/>
        <v>#DIV/0!</v>
      </c>
      <c r="W63" s="110"/>
      <c r="X63" s="101"/>
      <c r="Y63" s="102"/>
      <c r="Z63" s="102"/>
      <c r="AA63" s="102"/>
      <c r="AB63" s="102"/>
      <c r="AC63" s="102"/>
      <c r="AD63" s="102"/>
      <c r="AE63" s="102"/>
      <c r="AF63" s="102"/>
      <c r="AG63" s="103"/>
      <c r="AH63" s="111"/>
      <c r="AP63" s="240" cm="1">
        <f t="array" ref="AP63">pareto($D58:$D63,$E58:$E63,6,"rate",$AR$1,$AO59,$AO61)</f>
        <v>112.973195876288</v>
      </c>
      <c r="AQ63" s="240" cm="1">
        <f t="array" ref="AQ63">pareto($D58:$D63,$E58:$E63,6,"dist",$AR$1,$AO59,$AO61)</f>
        <v>9.5545050000000007</v>
      </c>
      <c r="AR63" s="240" cm="1">
        <f t="array" ref="AR63">pareto($M58:$M63,$N58:$N63,6,"rate",$AR$1,$AO59,$AO61)</f>
        <v>112.973195876288</v>
      </c>
      <c r="AS63" s="240" cm="1">
        <f t="array" ref="AS63">pareto($M58:$M63,$N58:$N63,6,"dist",$AR$1,$AO59,$AO61)</f>
        <v>9.5545050000000007</v>
      </c>
    </row>
    <row r="64" spans="1:47" ht="12" customHeight="1" x14ac:dyDescent="0.25">
      <c r="A64" s="74"/>
      <c r="B64" s="132" t="s">
        <v>72</v>
      </c>
      <c r="C64" s="106" t="s">
        <v>250</v>
      </c>
      <c r="D64" s="267">
        <v>1842.0948837209301</v>
      </c>
      <c r="E64" s="267">
        <v>35.518867</v>
      </c>
      <c r="F64" s="83"/>
      <c r="G64" s="83"/>
      <c r="H64" s="83"/>
      <c r="I64" s="83"/>
      <c r="J64" s="83"/>
      <c r="K64" s="83"/>
      <c r="L64" s="110"/>
      <c r="M64" s="267">
        <v>1842.0948837209301</v>
      </c>
      <c r="N64" s="267">
        <v>35.518867</v>
      </c>
      <c r="O64" s="83"/>
      <c r="P64" s="83"/>
      <c r="Q64" s="83"/>
      <c r="R64" s="83"/>
      <c r="S64" s="83"/>
      <c r="T64" s="83"/>
      <c r="U64" s="85" t="e">
        <f t="shared" si="46"/>
        <v>#DIV/0!</v>
      </c>
      <c r="V64" s="86" t="e">
        <f t="shared" si="46"/>
        <v>#DIV/0!</v>
      </c>
      <c r="W64" s="110"/>
      <c r="X64" s="122">
        <f>bdRateExtend($D64:$D69,$E64:$E69,$M64:$M69,$N64:$N69)</f>
        <v>0</v>
      </c>
      <c r="Y64" s="14">
        <f t="shared" ref="Y64" si="47">bdRateExtend($D64:$D68,$E64:$E68,$M64:$M68,$N64:$N68)</f>
        <v>0</v>
      </c>
      <c r="Z64" s="14">
        <f t="shared" ref="Z64" si="48">bdRateExtend($D65:$D69,$E65:$E69,$M65:$M69,$N65:$N69)</f>
        <v>0</v>
      </c>
      <c r="AA64" s="14">
        <f t="shared" ref="AA64" si="49">bdRateExtend($D64:$D67,$E64:$E67,$M64:$M67,$N64:$N67)</f>
        <v>0</v>
      </c>
      <c r="AB64" s="14">
        <f t="shared" ref="AB64" si="50">bdRateExtend($D65:$D68,$E65:$E68,$M65:$M68,$N65:$N68)</f>
        <v>0</v>
      </c>
      <c r="AC64" s="14">
        <f t="shared" ref="AC64" si="51">bdRateExtend($D66:$D69,$E66:$E69,$M66:$M69,$N66:$N69)</f>
        <v>0</v>
      </c>
      <c r="AD64" s="34" cm="1">
        <f t="array" ref="AD64">bdRatePareto(AP64:AP69,AQ64:AQ69,AR64:AR69,AS64:AS69)</f>
        <v>0</v>
      </c>
      <c r="AE64" s="14" t="e">
        <f>bdRateExtend($D64:$D69,F64:F69,$M64:$M69,O64:O69)</f>
        <v>#VALUE!</v>
      </c>
      <c r="AF64" s="14" t="e">
        <f>bdRateExtend($D64:$D69,G64:G69,$M64:$M69,P64:P69)</f>
        <v>#VALUE!</v>
      </c>
      <c r="AG64" s="15" t="e">
        <f>bdRateExtend($D64:$D69,H64:H69,$M64:$M69,Q64:Q69)</f>
        <v>#VALUE!</v>
      </c>
      <c r="AH64" s="72">
        <f>bdPSNRExtend($D64:$D69,$E64:$E69,$M64:$M69,$N64:$N69)</f>
        <v>0</v>
      </c>
      <c r="AO64" s="240" t="s">
        <v>213</v>
      </c>
      <c r="AP64" s="240" cm="1">
        <f t="array" ref="AP64">pareto($D64:$D69,$E64:$E69,1,"rate",$AR$1,$AO65,$AO67)</f>
        <v>1842.0948837209301</v>
      </c>
      <c r="AQ64" s="240" cm="1">
        <f t="array" ref="AQ64">pareto($D64:$D69,$E64:$E69,1,"dist",$AR$1,$AO65,$AO67)</f>
        <v>35.518867</v>
      </c>
      <c r="AR64" s="240" cm="1">
        <f t="array" ref="AR64">pareto($M64:$M69,$N64:$N69,1,"rate",$AR$1,$AO65,$AO67)</f>
        <v>1842.0948837209301</v>
      </c>
      <c r="AS64" s="240" cm="1">
        <f t="array" ref="AS64">pareto($M64:$M69,$N64:$N69,1,"dist",$AR$1,$AO65,$AO67)</f>
        <v>35.518867</v>
      </c>
    </row>
    <row r="65" spans="1:45" ht="12" customHeight="1" x14ac:dyDescent="0.25">
      <c r="A65" s="74"/>
      <c r="B65" s="133"/>
      <c r="C65" s="107" t="s">
        <v>251</v>
      </c>
      <c r="D65" s="267">
        <v>1262.7683720930199</v>
      </c>
      <c r="E65" s="267">
        <v>33.745235999999998</v>
      </c>
      <c r="F65" s="86"/>
      <c r="G65" s="86"/>
      <c r="H65" s="86"/>
      <c r="I65" s="86"/>
      <c r="J65" s="86"/>
      <c r="K65" s="86"/>
      <c r="L65" s="110"/>
      <c r="M65" s="267">
        <v>1262.7683720930199</v>
      </c>
      <c r="N65" s="267">
        <v>33.745235999999998</v>
      </c>
      <c r="O65" s="86"/>
      <c r="P65" s="86"/>
      <c r="Q65" s="86"/>
      <c r="R65" s="86"/>
      <c r="S65" s="86"/>
      <c r="T65" s="86"/>
      <c r="U65" s="85" t="e">
        <f t="shared" si="46"/>
        <v>#DIV/0!</v>
      </c>
      <c r="V65" s="86" t="e">
        <f t="shared" si="46"/>
        <v>#DIV/0!</v>
      </c>
      <c r="W65" s="110"/>
      <c r="X65" s="98"/>
      <c r="Y65" s="99"/>
      <c r="Z65" s="99"/>
      <c r="AA65" s="99"/>
      <c r="AB65" s="99"/>
      <c r="AC65" s="99"/>
      <c r="AD65" s="99"/>
      <c r="AE65" s="99"/>
      <c r="AF65" s="99"/>
      <c r="AG65" s="100"/>
      <c r="AH65" s="110"/>
      <c r="AO65" s="240">
        <v>37.037838999999998</v>
      </c>
      <c r="AP65" s="240" cm="1">
        <f t="array" ref="AP65">pareto($D64:$D69,$E64:$E69,2,"rate",$AR$1,$AO65,$AO67)</f>
        <v>1262.7683720930199</v>
      </c>
      <c r="AQ65" s="240" cm="1">
        <f t="array" ref="AQ65">pareto($D64:$D69,$E64:$E69,2,"dist",$AR$1,$AO65,$AO67)</f>
        <v>33.745235999999998</v>
      </c>
      <c r="AR65" s="240" cm="1">
        <f t="array" ref="AR65">pareto($M64:$M69,$N64:$N69,2,"rate",$AR$1,$AO65,$AO67)</f>
        <v>1262.7683720930199</v>
      </c>
      <c r="AS65" s="240" cm="1">
        <f t="array" ref="AS65">pareto($M64:$M69,$N64:$N69,2,"dist",$AR$1,$AO65,$AO67)</f>
        <v>33.745235999999998</v>
      </c>
    </row>
    <row r="66" spans="1:45" ht="12" customHeight="1" x14ac:dyDescent="0.25">
      <c r="A66" s="74"/>
      <c r="B66" s="133"/>
      <c r="C66" s="107" t="s">
        <v>252</v>
      </c>
      <c r="D66" s="267">
        <v>859.56093023255801</v>
      </c>
      <c r="E66" s="267">
        <v>31.895341999999999</v>
      </c>
      <c r="F66" s="86"/>
      <c r="G66" s="86"/>
      <c r="H66" s="86"/>
      <c r="I66" s="86"/>
      <c r="J66" s="86"/>
      <c r="K66" s="86"/>
      <c r="L66" s="110"/>
      <c r="M66" s="267">
        <v>859.56093023255801</v>
      </c>
      <c r="N66" s="267">
        <v>31.895341999999999</v>
      </c>
      <c r="O66" s="86"/>
      <c r="P66" s="86"/>
      <c r="Q66" s="86"/>
      <c r="R66" s="86"/>
      <c r="S66" s="86"/>
      <c r="T66" s="86"/>
      <c r="U66" s="85" t="e">
        <f t="shared" si="46"/>
        <v>#DIV/0!</v>
      </c>
      <c r="V66" s="86" t="e">
        <f t="shared" si="46"/>
        <v>#DIV/0!</v>
      </c>
      <c r="W66" s="110"/>
      <c r="X66" s="98"/>
      <c r="Y66" s="99"/>
      <c r="Z66" s="99"/>
      <c r="AA66" s="99"/>
      <c r="AB66" s="99"/>
      <c r="AC66" s="99"/>
      <c r="AD66" s="99"/>
      <c r="AE66" s="99"/>
      <c r="AF66" s="99"/>
      <c r="AG66" s="100"/>
      <c r="AH66" s="110"/>
      <c r="AO66" s="240" t="s">
        <v>44</v>
      </c>
      <c r="AP66" s="240" cm="1">
        <f t="array" ref="AP66">pareto($D64:$D69,$E64:$E69,3,"rate",$AR$1,$AO65,$AO67)</f>
        <v>859.56093023255801</v>
      </c>
      <c r="AQ66" s="240" cm="1">
        <f t="array" ref="AQ66">pareto($D64:$D69,$E64:$E69,3,"dist",$AR$1,$AO65,$AO67)</f>
        <v>31.895341999999999</v>
      </c>
      <c r="AR66" s="240" cm="1">
        <f t="array" ref="AR66">pareto($M64:$M69,$N64:$N69,3,"rate",$AR$1,$AO65,$AO67)</f>
        <v>859.56093023255801</v>
      </c>
      <c r="AS66" s="240" cm="1">
        <f t="array" ref="AS66">pareto($M64:$M69,$N64:$N69,3,"dist",$AR$1,$AO65,$AO67)</f>
        <v>31.895341999999999</v>
      </c>
    </row>
    <row r="67" spans="1:45" ht="12" customHeight="1" x14ac:dyDescent="0.25">
      <c r="A67" s="74"/>
      <c r="B67" s="133"/>
      <c r="C67" s="107" t="s">
        <v>253</v>
      </c>
      <c r="D67" s="267">
        <v>569.77860465116203</v>
      </c>
      <c r="E67" s="267">
        <v>27.770612</v>
      </c>
      <c r="F67" s="86"/>
      <c r="G67" s="86"/>
      <c r="H67" s="86"/>
      <c r="I67" s="86"/>
      <c r="J67" s="86"/>
      <c r="K67" s="86"/>
      <c r="L67" s="110"/>
      <c r="M67" s="267">
        <v>569.77860465116203</v>
      </c>
      <c r="N67" s="267">
        <v>27.770612</v>
      </c>
      <c r="O67" s="86"/>
      <c r="P67" s="86"/>
      <c r="Q67" s="86"/>
      <c r="R67" s="86"/>
      <c r="S67" s="86"/>
      <c r="T67" s="86"/>
      <c r="U67" s="85" t="e">
        <f t="shared" si="46"/>
        <v>#DIV/0!</v>
      </c>
      <c r="V67" s="86" t="e">
        <f t="shared" si="46"/>
        <v>#DIV/0!</v>
      </c>
      <c r="W67" s="110"/>
      <c r="X67" s="98"/>
      <c r="Y67" s="99"/>
      <c r="Z67" s="99"/>
      <c r="AA67" s="99"/>
      <c r="AB67" s="99"/>
      <c r="AC67" s="99"/>
      <c r="AD67" s="99"/>
      <c r="AE67" s="99"/>
      <c r="AF67" s="99"/>
      <c r="AG67" s="100"/>
      <c r="AH67" s="110"/>
      <c r="AO67" s="240">
        <v>20</v>
      </c>
      <c r="AP67" s="240" cm="1">
        <f t="array" ref="AP67">pareto($D64:$D69,$E64:$E69,4,"rate",$AR$1,$AO65,$AO67)</f>
        <v>569.77860465116203</v>
      </c>
      <c r="AQ67" s="240" cm="1">
        <f t="array" ref="AQ67">pareto($D64:$D69,$E64:$E69,4,"dist",$AR$1,$AO65,$AO67)</f>
        <v>27.770612</v>
      </c>
      <c r="AR67" s="240" cm="1">
        <f t="array" ref="AR67">pareto($M64:$M69,$N64:$N69,4,"rate",$AR$1,$AO65,$AO67)</f>
        <v>569.77860465116203</v>
      </c>
      <c r="AS67" s="240" cm="1">
        <f t="array" ref="AS67">pareto($M64:$M69,$N64:$N69,4,"dist",$AR$1,$AO65,$AO67)</f>
        <v>27.770612</v>
      </c>
    </row>
    <row r="68" spans="1:45" ht="12" customHeight="1" x14ac:dyDescent="0.25">
      <c r="A68" s="74"/>
      <c r="B68" s="133"/>
      <c r="C68" s="107" t="s">
        <v>254</v>
      </c>
      <c r="D68" s="267">
        <v>370.57860465116198</v>
      </c>
      <c r="E68" s="267">
        <v>23.885746000000001</v>
      </c>
      <c r="F68" s="86"/>
      <c r="G68" s="86"/>
      <c r="H68" s="86"/>
      <c r="I68" s="86"/>
      <c r="J68" s="86"/>
      <c r="K68" s="86"/>
      <c r="L68" s="110"/>
      <c r="M68" s="267">
        <v>370.57860465116198</v>
      </c>
      <c r="N68" s="267">
        <v>23.885746000000001</v>
      </c>
      <c r="O68" s="86"/>
      <c r="P68" s="86"/>
      <c r="Q68" s="86"/>
      <c r="R68" s="86"/>
      <c r="S68" s="86"/>
      <c r="T68" s="86"/>
      <c r="U68" s="85" t="e">
        <f t="shared" si="46"/>
        <v>#DIV/0!</v>
      </c>
      <c r="V68" s="86" t="e">
        <f t="shared" si="46"/>
        <v>#DIV/0!</v>
      </c>
      <c r="W68" s="110"/>
      <c r="X68" s="98"/>
      <c r="Y68" s="99"/>
      <c r="Z68" s="99"/>
      <c r="AA68" s="99"/>
      <c r="AB68" s="99"/>
      <c r="AC68" s="99"/>
      <c r="AD68" s="99"/>
      <c r="AE68" s="99"/>
      <c r="AF68" s="99"/>
      <c r="AG68" s="100"/>
      <c r="AH68" s="110"/>
      <c r="AP68" s="240" cm="1">
        <f t="array" ref="AP68">pareto($D64:$D69,$E64:$E69,5,"rate",$AR$1,$AO65,$AO67)</f>
        <v>370.57860465116198</v>
      </c>
      <c r="AQ68" s="240" cm="1">
        <f t="array" ref="AQ68">pareto($D64:$D69,$E64:$E69,5,"dist",$AR$1,$AO65,$AO67)</f>
        <v>23.885746000000001</v>
      </c>
      <c r="AR68" s="240" cm="1">
        <f t="array" ref="AR68">pareto($M64:$M69,$N64:$N69,5,"rate",$AR$1,$AO65,$AO67)</f>
        <v>370.57860465116198</v>
      </c>
      <c r="AS68" s="240" cm="1">
        <f t="array" ref="AS68">pareto($M64:$M69,$N64:$N69,5,"dist",$AR$1,$AO65,$AO67)</f>
        <v>23.885746000000001</v>
      </c>
    </row>
    <row r="69" spans="1:45" ht="12" customHeight="1" thickBot="1" x14ac:dyDescent="0.3">
      <c r="A69" s="74"/>
      <c r="B69" s="134"/>
      <c r="C69" s="108" t="s">
        <v>255</v>
      </c>
      <c r="D69" s="267">
        <v>227.862325581395</v>
      </c>
      <c r="E69" s="267">
        <v>17.598275000000001</v>
      </c>
      <c r="F69" s="94"/>
      <c r="G69" s="94"/>
      <c r="H69" s="94"/>
      <c r="I69" s="94"/>
      <c r="J69" s="94"/>
      <c r="K69" s="94"/>
      <c r="L69" s="110"/>
      <c r="M69" s="267">
        <v>227.862325581395</v>
      </c>
      <c r="N69" s="267">
        <v>17.598275000000001</v>
      </c>
      <c r="O69" s="94"/>
      <c r="P69" s="94"/>
      <c r="Q69" s="94"/>
      <c r="R69" s="94"/>
      <c r="S69" s="94"/>
      <c r="T69" s="94"/>
      <c r="U69" s="85" t="e">
        <f t="shared" si="46"/>
        <v>#DIV/0!</v>
      </c>
      <c r="V69" s="86" t="e">
        <f t="shared" si="46"/>
        <v>#DIV/0!</v>
      </c>
      <c r="W69" s="110"/>
      <c r="X69" s="101"/>
      <c r="Y69" s="102"/>
      <c r="Z69" s="102"/>
      <c r="AA69" s="102"/>
      <c r="AB69" s="102"/>
      <c r="AC69" s="102"/>
      <c r="AD69" s="102"/>
      <c r="AE69" s="102"/>
      <c r="AF69" s="102"/>
      <c r="AG69" s="103"/>
      <c r="AH69" s="111"/>
      <c r="AP69" s="240" cm="1">
        <f t="array" ref="AP69">pareto($D64:$D69,$E64:$E69,6,"rate",$AR$1,$AO65,$AO67)</f>
        <v>227.862325581395</v>
      </c>
      <c r="AQ69" s="240" cm="1">
        <f t="array" ref="AQ69">pareto($D64:$D69,$E64:$E69,6,"dist",$AR$1,$AO65,$AO67)</f>
        <v>17.598275000000001</v>
      </c>
      <c r="AR69" s="240" cm="1">
        <f t="array" ref="AR69">pareto($M64:$M69,$N64:$N69,6,"rate",$AR$1,$AO65,$AO67)</f>
        <v>227.862325581395</v>
      </c>
      <c r="AS69" s="240" cm="1">
        <f t="array" ref="AS69">pareto($M64:$M69,$N64:$N69,6,"dist",$AR$1,$AO65,$AO67)</f>
        <v>17.598275000000001</v>
      </c>
    </row>
    <row r="70" spans="1:45" ht="12" customHeight="1" x14ac:dyDescent="0.25">
      <c r="A70" s="74"/>
      <c r="B70" s="132" t="s">
        <v>73</v>
      </c>
      <c r="C70" s="106" t="s">
        <v>250</v>
      </c>
      <c r="D70" s="267">
        <v>1792.82886597938</v>
      </c>
      <c r="E70" s="267">
        <v>62.411982000000002</v>
      </c>
      <c r="F70" s="83"/>
      <c r="G70" s="83"/>
      <c r="H70" s="83"/>
      <c r="I70" s="83"/>
      <c r="J70" s="83"/>
      <c r="K70" s="83"/>
      <c r="L70" s="110"/>
      <c r="M70" s="267">
        <v>1792.82886597938</v>
      </c>
      <c r="N70" s="267">
        <v>62.411982000000002</v>
      </c>
      <c r="O70" s="83"/>
      <c r="P70" s="83"/>
      <c r="Q70" s="83"/>
      <c r="R70" s="83"/>
      <c r="S70" s="83"/>
      <c r="T70" s="83"/>
      <c r="U70" s="85" t="e">
        <f t="shared" si="46"/>
        <v>#DIV/0!</v>
      </c>
      <c r="V70" s="86" t="e">
        <f t="shared" si="46"/>
        <v>#DIV/0!</v>
      </c>
      <c r="W70" s="110"/>
      <c r="X70" s="122">
        <f>bdRateExtend($D70:$D75,$E70:$E75,$M70:$M75,$N70:$N75)</f>
        <v>0</v>
      </c>
      <c r="Y70" s="14">
        <f t="shared" ref="Y70" si="52">bdRateExtend($D70:$D74,$E70:$E74,$M70:$M74,$N70:$N74)</f>
        <v>0</v>
      </c>
      <c r="Z70" s="14">
        <f t="shared" ref="Z70" si="53">bdRateExtend($D71:$D75,$E71:$E75,$M71:$M75,$N71:$N75)</f>
        <v>0</v>
      </c>
      <c r="AA70" s="14">
        <f t="shared" ref="AA70" si="54">bdRateExtend($D70:$D73,$E70:$E73,$M70:$M73,$N70:$N73)</f>
        <v>0</v>
      </c>
      <c r="AB70" s="14">
        <f t="shared" ref="AB70" si="55">bdRateExtend($D71:$D74,$E71:$E74,$M71:$M74,$N71:$N74)</f>
        <v>0</v>
      </c>
      <c r="AC70" s="14">
        <f t="shared" ref="AC70" si="56">bdRateExtend($D72:$D75,$E72:$E75,$M72:$M75,$N72:$N75)</f>
        <v>0</v>
      </c>
      <c r="AD70" s="34" cm="1">
        <f t="array" ref="AD70">bdRatePareto(AP70:AP75,AQ70:AQ75,AR70:AR75,AS70:AS75)</f>
        <v>0</v>
      </c>
      <c r="AE70" s="14" t="e">
        <f>bdRateExtend($D70:$D75,F70:F75,$M70:$M75,O70:O75)</f>
        <v>#VALUE!</v>
      </c>
      <c r="AF70" s="14" t="e">
        <f>bdRateExtend($D70:$D75,G70:G75,$M70:$M75,P70:P75)</f>
        <v>#VALUE!</v>
      </c>
      <c r="AG70" s="15" t="e">
        <f>bdRateExtend($D70:$D75,H70:H75,$M70:$M75,Q70:Q75)</f>
        <v>#VALUE!</v>
      </c>
      <c r="AH70" s="72">
        <f>bdPSNRExtend($D70:$D75,$E70:$E75,$M70:$M75,$N70:$N75)</f>
        <v>0</v>
      </c>
      <c r="AO70" s="240" t="s">
        <v>213</v>
      </c>
      <c r="AP70" s="240" cm="1">
        <f t="array" ref="AP70">pareto($D70:$D75,$E70:$E75,1,"rate",$AR$1,$AO71,$AO73)</f>
        <v>1792.82886597938</v>
      </c>
      <c r="AQ70" s="240" cm="1">
        <f t="array" ref="AQ70">pareto($D70:$D75,$E70:$E75,1,"dist",$AR$1,$AO71,$AO73)</f>
        <v>62.411982000000002</v>
      </c>
      <c r="AR70" s="240" cm="1">
        <f t="array" ref="AR70">pareto($M70:$M75,$N70:$N75,1,"rate",$AR$1,$AO71,$AO73)</f>
        <v>1792.82886597938</v>
      </c>
      <c r="AS70" s="240" cm="1">
        <f t="array" ref="AS70">pareto($M70:$M75,$N70:$N75,1,"dist",$AR$1,$AO71,$AO73)</f>
        <v>62.411982000000002</v>
      </c>
    </row>
    <row r="71" spans="1:45" ht="12" customHeight="1" x14ac:dyDescent="0.25">
      <c r="A71" s="74"/>
      <c r="B71" s="133"/>
      <c r="C71" s="107" t="s">
        <v>251</v>
      </c>
      <c r="D71" s="267">
        <v>1183.3195876288601</v>
      </c>
      <c r="E71" s="267">
        <v>60.544612999999998</v>
      </c>
      <c r="F71" s="86"/>
      <c r="G71" s="86"/>
      <c r="H71" s="86"/>
      <c r="I71" s="86"/>
      <c r="J71" s="86"/>
      <c r="K71" s="86"/>
      <c r="L71" s="110"/>
      <c r="M71" s="267">
        <v>1183.3195876288601</v>
      </c>
      <c r="N71" s="267">
        <v>60.544612999999998</v>
      </c>
      <c r="O71" s="86"/>
      <c r="P71" s="86"/>
      <c r="Q71" s="86"/>
      <c r="R71" s="86"/>
      <c r="S71" s="86"/>
      <c r="T71" s="86"/>
      <c r="U71" s="85" t="e">
        <f t="shared" si="46"/>
        <v>#DIV/0!</v>
      </c>
      <c r="V71" s="86" t="e">
        <f t="shared" si="46"/>
        <v>#DIV/0!</v>
      </c>
      <c r="W71" s="110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0">
        <v>66.903647000000007</v>
      </c>
      <c r="AP71" s="240" cm="1">
        <f t="array" ref="AP71">pareto($D70:$D75,$E70:$E75,2,"rate",$AR$1,$AO71,$AO73)</f>
        <v>1183.3195876288601</v>
      </c>
      <c r="AQ71" s="240" cm="1">
        <f t="array" ref="AQ71">pareto($D70:$D75,$E70:$E75,2,"dist",$AR$1,$AO71,$AO73)</f>
        <v>60.544612999999998</v>
      </c>
      <c r="AR71" s="240" cm="1">
        <f t="array" ref="AR71">pareto($M70:$M75,$N70:$N75,2,"rate",$AR$1,$AO71,$AO73)</f>
        <v>1183.3195876288601</v>
      </c>
      <c r="AS71" s="240" cm="1">
        <f t="array" ref="AS71">pareto($M70:$M75,$N70:$N75,2,"dist",$AR$1,$AO71,$AO73)</f>
        <v>60.544612999999998</v>
      </c>
    </row>
    <row r="72" spans="1:45" ht="12" customHeight="1" x14ac:dyDescent="0.25">
      <c r="A72" s="74"/>
      <c r="B72" s="133"/>
      <c r="C72" s="107" t="s">
        <v>252</v>
      </c>
      <c r="D72" s="267">
        <v>837.79381443298905</v>
      </c>
      <c r="E72" s="267">
        <v>53.877769000000001</v>
      </c>
      <c r="F72" s="86"/>
      <c r="G72" s="86"/>
      <c r="H72" s="86"/>
      <c r="I72" s="86"/>
      <c r="J72" s="86"/>
      <c r="K72" s="86"/>
      <c r="L72" s="110"/>
      <c r="M72" s="267">
        <v>837.79381443298905</v>
      </c>
      <c r="N72" s="267">
        <v>53.877769000000001</v>
      </c>
      <c r="O72" s="86"/>
      <c r="P72" s="86"/>
      <c r="Q72" s="86"/>
      <c r="R72" s="86"/>
      <c r="S72" s="86"/>
      <c r="T72" s="86"/>
      <c r="U72" s="85" t="e">
        <f t="shared" si="46"/>
        <v>#DIV/0!</v>
      </c>
      <c r="V72" s="86" t="e">
        <f t="shared" si="46"/>
        <v>#DIV/0!</v>
      </c>
      <c r="W72" s="110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0" t="s">
        <v>44</v>
      </c>
      <c r="AP72" s="240" cm="1">
        <f t="array" ref="AP72">pareto($D70:$D75,$E70:$E75,3,"rate",$AR$1,$AO71,$AO73)</f>
        <v>837.79381443298905</v>
      </c>
      <c r="AQ72" s="240" cm="1">
        <f t="array" ref="AQ72">pareto($D70:$D75,$E70:$E75,3,"dist",$AR$1,$AO71,$AO73)</f>
        <v>53.877769000000001</v>
      </c>
      <c r="AR72" s="240" cm="1">
        <f t="array" ref="AR72">pareto($M70:$M75,$N70:$N75,3,"rate",$AR$1,$AO71,$AO73)</f>
        <v>837.79381443298905</v>
      </c>
      <c r="AS72" s="240" cm="1">
        <f t="array" ref="AS72">pareto($M70:$M75,$N70:$N75,3,"dist",$AR$1,$AO71,$AO73)</f>
        <v>53.877769000000001</v>
      </c>
    </row>
    <row r="73" spans="1:45" ht="12" customHeight="1" x14ac:dyDescent="0.25">
      <c r="A73" s="74"/>
      <c r="B73" s="133"/>
      <c r="C73" s="107" t="s">
        <v>253</v>
      </c>
      <c r="D73" s="267">
        <v>566.83298969072098</v>
      </c>
      <c r="E73" s="267">
        <v>34.611753999999998</v>
      </c>
      <c r="F73" s="86"/>
      <c r="G73" s="86"/>
      <c r="H73" s="86"/>
      <c r="I73" s="86"/>
      <c r="J73" s="86"/>
      <c r="K73" s="86"/>
      <c r="L73" s="110"/>
      <c r="M73" s="267">
        <v>566.83298969072098</v>
      </c>
      <c r="N73" s="267">
        <v>34.611753999999998</v>
      </c>
      <c r="O73" s="86"/>
      <c r="P73" s="86"/>
      <c r="Q73" s="86"/>
      <c r="R73" s="86"/>
      <c r="S73" s="86"/>
      <c r="T73" s="86"/>
      <c r="U73" s="85" t="e">
        <f t="shared" si="46"/>
        <v>#DIV/0!</v>
      </c>
      <c r="V73" s="86" t="e">
        <f t="shared" si="46"/>
        <v>#DIV/0!</v>
      </c>
      <c r="W73" s="110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0">
        <v>20</v>
      </c>
      <c r="AP73" s="240" cm="1">
        <f t="array" ref="AP73">pareto($D70:$D75,$E70:$E75,4,"rate",$AR$1,$AO71,$AO73)</f>
        <v>566.83298969072098</v>
      </c>
      <c r="AQ73" s="240" cm="1">
        <f t="array" ref="AQ73">pareto($D70:$D75,$E70:$E75,4,"dist",$AR$1,$AO71,$AO73)</f>
        <v>34.611753999999998</v>
      </c>
      <c r="AR73" s="240" cm="1">
        <f t="array" ref="AR73">pareto($M70:$M75,$N70:$N75,4,"rate",$AR$1,$AO71,$AO73)</f>
        <v>566.83298969072098</v>
      </c>
      <c r="AS73" s="240" cm="1">
        <f t="array" ref="AS73">pareto($M70:$M75,$N70:$N75,4,"dist",$AR$1,$AO71,$AO73)</f>
        <v>34.611753999999998</v>
      </c>
    </row>
    <row r="74" spans="1:45" ht="12" customHeight="1" x14ac:dyDescent="0.25">
      <c r="A74" s="74"/>
      <c r="B74" s="133"/>
      <c r="C74" s="107" t="s">
        <v>254</v>
      </c>
      <c r="D74" s="267">
        <v>364.88659793814401</v>
      </c>
      <c r="E74" s="267">
        <v>25.845269999999999</v>
      </c>
      <c r="F74" s="86"/>
      <c r="G74" s="86"/>
      <c r="H74" s="86"/>
      <c r="I74" s="86"/>
      <c r="J74" s="86"/>
      <c r="K74" s="86"/>
      <c r="L74" s="110"/>
      <c r="M74" s="267">
        <v>364.88659793814401</v>
      </c>
      <c r="N74" s="267">
        <v>25.845269999999999</v>
      </c>
      <c r="O74" s="86"/>
      <c r="P74" s="86"/>
      <c r="Q74" s="86"/>
      <c r="R74" s="86"/>
      <c r="S74" s="86"/>
      <c r="T74" s="86"/>
      <c r="U74" s="85" t="e">
        <f t="shared" si="46"/>
        <v>#DIV/0!</v>
      </c>
      <c r="V74" s="86" t="e">
        <f t="shared" si="46"/>
        <v>#DIV/0!</v>
      </c>
      <c r="W74" s="110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0" cm="1">
        <f t="array" ref="AP74">pareto($D70:$D75,$E70:$E75,5,"rate",$AR$1,$AO71,$AO73)</f>
        <v>364.88659793814401</v>
      </c>
      <c r="AQ74" s="240" cm="1">
        <f t="array" ref="AQ74">pareto($D70:$D75,$E70:$E75,5,"dist",$AR$1,$AO71,$AO73)</f>
        <v>25.845269999999999</v>
      </c>
      <c r="AR74" s="240" cm="1">
        <f t="array" ref="AR74">pareto($M70:$M75,$N70:$N75,5,"rate",$AR$1,$AO71,$AO73)</f>
        <v>364.88659793814401</v>
      </c>
      <c r="AS74" s="240" cm="1">
        <f t="array" ref="AS74">pareto($M70:$M75,$N70:$N75,5,"dist",$AR$1,$AO71,$AO73)</f>
        <v>25.845269999999999</v>
      </c>
    </row>
    <row r="75" spans="1:45" ht="12" customHeight="1" thickBot="1" x14ac:dyDescent="0.3">
      <c r="A75" s="74"/>
      <c r="B75" s="134"/>
      <c r="C75" s="108" t="s">
        <v>255</v>
      </c>
      <c r="D75" s="267">
        <v>230.00824742268</v>
      </c>
      <c r="E75" s="267">
        <v>23.911455</v>
      </c>
      <c r="F75" s="94"/>
      <c r="G75" s="94"/>
      <c r="H75" s="94"/>
      <c r="I75" s="94"/>
      <c r="J75" s="94"/>
      <c r="K75" s="94"/>
      <c r="L75" s="110"/>
      <c r="M75" s="267">
        <v>230.00824742268</v>
      </c>
      <c r="N75" s="267">
        <v>23.911455</v>
      </c>
      <c r="O75" s="94"/>
      <c r="P75" s="94"/>
      <c r="Q75" s="94"/>
      <c r="R75" s="94"/>
      <c r="S75" s="94"/>
      <c r="T75" s="94"/>
      <c r="U75" s="85" t="e">
        <f t="shared" si="46"/>
        <v>#DIV/0!</v>
      </c>
      <c r="V75" s="86" t="e">
        <f t="shared" si="46"/>
        <v>#DIV/0!</v>
      </c>
      <c r="W75" s="110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0" cm="1">
        <f t="array" ref="AP75">pareto($D70:$D75,$E70:$E75,6,"rate",$AR$1,$AO71,$AO73)</f>
        <v>230.00824742268</v>
      </c>
      <c r="AQ75" s="240" cm="1">
        <f t="array" ref="AQ75">pareto($D70:$D75,$E70:$E75,6,"dist",$AR$1,$AO71,$AO73)</f>
        <v>23.911455</v>
      </c>
      <c r="AR75" s="240" cm="1">
        <f t="array" ref="AR75">pareto($M70:$M75,$N70:$N75,6,"rate",$AR$1,$AO71,$AO73)</f>
        <v>230.00824742268</v>
      </c>
      <c r="AS75" s="240" cm="1">
        <f t="array" ref="AS75">pareto($M70:$M75,$N70:$N75,6,"dist",$AR$1,$AO71,$AO73)</f>
        <v>23.911455</v>
      </c>
    </row>
    <row r="76" spans="1:45" ht="12" customHeight="1" x14ac:dyDescent="0.25">
      <c r="A76" s="74"/>
      <c r="B76" s="132" t="s">
        <v>88</v>
      </c>
      <c r="C76" s="106" t="s">
        <v>250</v>
      </c>
      <c r="D76" s="267">
        <v>864.38400000000001</v>
      </c>
      <c r="E76" s="267">
        <v>43.923071999999998</v>
      </c>
      <c r="F76" s="83"/>
      <c r="G76" s="83"/>
      <c r="H76" s="83"/>
      <c r="I76" s="83"/>
      <c r="J76" s="83"/>
      <c r="K76" s="83"/>
      <c r="L76" s="110"/>
      <c r="M76" s="267">
        <v>864.38400000000001</v>
      </c>
      <c r="N76" s="267">
        <v>43.923071999999998</v>
      </c>
      <c r="O76" s="83"/>
      <c r="P76" s="83"/>
      <c r="Q76" s="83"/>
      <c r="R76" s="83"/>
      <c r="S76" s="83"/>
      <c r="T76" s="83"/>
      <c r="U76" s="85" t="e">
        <f t="shared" si="46"/>
        <v>#DIV/0!</v>
      </c>
      <c r="V76" s="86" t="e">
        <f t="shared" si="46"/>
        <v>#DIV/0!</v>
      </c>
      <c r="W76" s="110"/>
      <c r="X76" s="122">
        <f>bdRateExtend($D76:$D81,$E76:$E81,$M76:$M81,$N76:$N81)</f>
        <v>0</v>
      </c>
      <c r="Y76" s="14">
        <f t="shared" ref="Y76" si="57">bdRateExtend($D76:$D80,$E76:$E80,$M76:$M80,$N76:$N80)</f>
        <v>0</v>
      </c>
      <c r="Z76" s="14">
        <f t="shared" ref="Z76" si="58">bdRateExtend($D77:$D81,$E77:$E81,$M77:$M81,$N77:$N81)</f>
        <v>0</v>
      </c>
      <c r="AA76" s="14">
        <f>bdRateExtend($D76:$D79,$E76:$E79,$M76:$M79,$N76:$N79)</f>
        <v>0</v>
      </c>
      <c r="AB76" s="14">
        <f>bdRateExtend($D77:$D80,$E77:$E80,$M77:$M80,$N77:$N80)</f>
        <v>0</v>
      </c>
      <c r="AC76" s="14">
        <f>bdRateExtend($D78:$D81,$E78:$E81,$M78:$M81,$N78:$N81)</f>
        <v>0</v>
      </c>
      <c r="AD76" s="34" cm="1">
        <f t="array" ref="AD76">bdRatePareto(AP76:AP81,AQ76:AQ81,AR76:AR81,AS76:AS81)</f>
        <v>0</v>
      </c>
      <c r="AE76" s="14" t="e">
        <f>bdRateExtend($D76:$D81,F76:F81,$M76:$M81,O76:O81)</f>
        <v>#VALUE!</v>
      </c>
      <c r="AF76" s="14" t="e">
        <f>bdRateExtend($D76:$D81,G76:G81,$M76:$M81,P76:P81)</f>
        <v>#VALUE!</v>
      </c>
      <c r="AG76" s="15" t="e">
        <f>bdRateExtend($D76:$D81,H76:H81,$M76:$M81,Q76:Q81)</f>
        <v>#VALUE!</v>
      </c>
      <c r="AH76" s="72">
        <f>bdPSNRExtend($D76:$D81,$E76:$E81,$M76:$M81,$N76:$N81)</f>
        <v>0</v>
      </c>
      <c r="AO76" s="240" t="s">
        <v>213</v>
      </c>
      <c r="AP76" s="240" cm="1">
        <f t="array" ref="AP76">pareto($D76:$D81,$E76:$E81,1,"rate",$AR$1,$AO77,$AO79)</f>
        <v>864.38400000000001</v>
      </c>
      <c r="AQ76" s="240" cm="1">
        <f t="array" ref="AQ76">pareto($D76:$D81,$E76:$E81,1,"dist",$AR$1,$AO77,$AO79)</f>
        <v>43.923071999999998</v>
      </c>
      <c r="AR76" s="240" cm="1">
        <f t="array" ref="AR76">pareto($M76:$M81,$N76:$N81,1,"rate",$AR$1,$AO77,$AO79)</f>
        <v>864.38400000000001</v>
      </c>
      <c r="AS76" s="240" cm="1">
        <f t="array" ref="AS76">pareto($M76:$M81,$N76:$N81,1,"dist",$AR$1,$AO77,$AO79)</f>
        <v>43.923071999999998</v>
      </c>
    </row>
    <row r="77" spans="1:45" ht="12" customHeight="1" x14ac:dyDescent="0.25">
      <c r="A77" s="74"/>
      <c r="B77" s="133"/>
      <c r="C77" s="107" t="s">
        <v>251</v>
      </c>
      <c r="D77" s="267">
        <v>574.65599999999995</v>
      </c>
      <c r="E77" s="267">
        <v>42.317827000000001</v>
      </c>
      <c r="F77" s="86"/>
      <c r="G77" s="86"/>
      <c r="H77" s="86"/>
      <c r="I77" s="86"/>
      <c r="J77" s="86"/>
      <c r="K77" s="86"/>
      <c r="L77" s="110"/>
      <c r="M77" s="267">
        <v>574.65599999999995</v>
      </c>
      <c r="N77" s="267">
        <v>42.317827000000001</v>
      </c>
      <c r="O77" s="86"/>
      <c r="P77" s="86"/>
      <c r="Q77" s="86"/>
      <c r="R77" s="86"/>
      <c r="S77" s="86"/>
      <c r="T77" s="86"/>
      <c r="U77" s="85" t="e">
        <f t="shared" si="46"/>
        <v>#DIV/0!</v>
      </c>
      <c r="V77" s="86" t="e">
        <f t="shared" si="46"/>
        <v>#DIV/0!</v>
      </c>
      <c r="W77" s="110"/>
      <c r="X77" s="89"/>
      <c r="Y77" s="90"/>
      <c r="Z77" s="90"/>
      <c r="AA77" s="90"/>
      <c r="AB77" s="90"/>
      <c r="AC77" s="90"/>
      <c r="AD77" s="90"/>
      <c r="AE77" s="90"/>
      <c r="AF77" s="90"/>
      <c r="AG77" s="91"/>
      <c r="AH77" s="110"/>
      <c r="AO77" s="240">
        <v>49.804110999999999</v>
      </c>
      <c r="AP77" s="240" cm="1">
        <f t="array" ref="AP77">pareto($D76:$D81,$E76:$E81,2,"rate",$AR$1,$AO77,$AO79)</f>
        <v>574.65599999999995</v>
      </c>
      <c r="AQ77" s="240" cm="1">
        <f t="array" ref="AQ77">pareto($D76:$D81,$E76:$E81,2,"dist",$AR$1,$AO77,$AO79)</f>
        <v>42.317827000000001</v>
      </c>
      <c r="AR77" s="240" cm="1">
        <f t="array" ref="AR77">pareto($M76:$M81,$N76:$N81,2,"rate",$AR$1,$AO77,$AO79)</f>
        <v>574.65599999999995</v>
      </c>
      <c r="AS77" s="240" cm="1">
        <f t="array" ref="AS77">pareto($M76:$M81,$N76:$N81,2,"dist",$AR$1,$AO77,$AO79)</f>
        <v>42.317827000000001</v>
      </c>
    </row>
    <row r="78" spans="1:45" ht="12" customHeight="1" x14ac:dyDescent="0.25">
      <c r="A78" s="74"/>
      <c r="B78" s="133"/>
      <c r="C78" s="107" t="s">
        <v>252</v>
      </c>
      <c r="D78" s="267">
        <v>379.602461538461</v>
      </c>
      <c r="E78" s="267">
        <v>38.778702000000003</v>
      </c>
      <c r="F78" s="86"/>
      <c r="G78" s="86"/>
      <c r="H78" s="86"/>
      <c r="I78" s="86"/>
      <c r="J78" s="86"/>
      <c r="K78" s="86"/>
      <c r="L78" s="110"/>
      <c r="M78" s="267">
        <v>379.602461538461</v>
      </c>
      <c r="N78" s="267">
        <v>38.778702000000003</v>
      </c>
      <c r="O78" s="86"/>
      <c r="P78" s="86"/>
      <c r="Q78" s="86"/>
      <c r="R78" s="86"/>
      <c r="S78" s="86"/>
      <c r="T78" s="86"/>
      <c r="U78" s="85" t="e">
        <f t="shared" si="46"/>
        <v>#DIV/0!</v>
      </c>
      <c r="V78" s="86" t="e">
        <f t="shared" si="46"/>
        <v>#DIV/0!</v>
      </c>
      <c r="W78" s="110"/>
      <c r="X78" s="89"/>
      <c r="Y78" s="90"/>
      <c r="Z78" s="90"/>
      <c r="AA78" s="90"/>
      <c r="AB78" s="90"/>
      <c r="AC78" s="90"/>
      <c r="AD78" s="90"/>
      <c r="AE78" s="90"/>
      <c r="AF78" s="90"/>
      <c r="AG78" s="91"/>
      <c r="AH78" s="110"/>
      <c r="AO78" s="240" t="s">
        <v>44</v>
      </c>
      <c r="AP78" s="240" cm="1">
        <f t="array" ref="AP78">pareto($D76:$D81,$E76:$E81,3,"rate",$AR$1,$AO77,$AO79)</f>
        <v>379.602461538461</v>
      </c>
      <c r="AQ78" s="240" cm="1">
        <f t="array" ref="AQ78">pareto($D76:$D81,$E76:$E81,3,"dist",$AR$1,$AO77,$AO79)</f>
        <v>38.778702000000003</v>
      </c>
      <c r="AR78" s="240" cm="1">
        <f t="array" ref="AR78">pareto($M76:$M81,$N76:$N81,3,"rate",$AR$1,$AO77,$AO79)</f>
        <v>379.602461538461</v>
      </c>
      <c r="AS78" s="240" cm="1">
        <f t="array" ref="AS78">pareto($M76:$M81,$N76:$N81,3,"dist",$AR$1,$AO77,$AO79)</f>
        <v>38.778702000000003</v>
      </c>
    </row>
    <row r="79" spans="1:45" ht="12" customHeight="1" x14ac:dyDescent="0.25">
      <c r="A79" s="74"/>
      <c r="B79" s="133"/>
      <c r="C79" s="107" t="s">
        <v>253</v>
      </c>
      <c r="D79" s="267">
        <v>246.43199999999999</v>
      </c>
      <c r="E79" s="267">
        <v>37.236108000000002</v>
      </c>
      <c r="F79" s="86"/>
      <c r="G79" s="86"/>
      <c r="H79" s="86"/>
      <c r="I79" s="86"/>
      <c r="J79" s="86"/>
      <c r="K79" s="86"/>
      <c r="L79" s="110"/>
      <c r="M79" s="267">
        <v>246.43199999999999</v>
      </c>
      <c r="N79" s="267">
        <v>37.236108000000002</v>
      </c>
      <c r="O79" s="86"/>
      <c r="P79" s="86"/>
      <c r="Q79" s="86"/>
      <c r="R79" s="86"/>
      <c r="S79" s="86"/>
      <c r="T79" s="86"/>
      <c r="U79" s="85" t="e">
        <f t="shared" si="46"/>
        <v>#DIV/0!</v>
      </c>
      <c r="V79" s="86" t="e">
        <f t="shared" si="46"/>
        <v>#DIV/0!</v>
      </c>
      <c r="W79" s="110"/>
      <c r="X79" s="89"/>
      <c r="Y79" s="90"/>
      <c r="Z79" s="90"/>
      <c r="AA79" s="90"/>
      <c r="AB79" s="90"/>
      <c r="AC79" s="90"/>
      <c r="AD79" s="90"/>
      <c r="AE79" s="90"/>
      <c r="AF79" s="90"/>
      <c r="AG79" s="91"/>
      <c r="AH79" s="110"/>
      <c r="AO79" s="240">
        <v>20</v>
      </c>
      <c r="AP79" s="240" cm="1">
        <f t="array" ref="AP79">pareto($D76:$D81,$E76:$E81,4,"rate",$AR$1,$AO77,$AO79)</f>
        <v>246.43199999999999</v>
      </c>
      <c r="AQ79" s="240" cm="1">
        <f t="array" ref="AQ79">pareto($D76:$D81,$E76:$E81,4,"dist",$AR$1,$AO77,$AO79)</f>
        <v>37.236108000000002</v>
      </c>
      <c r="AR79" s="240" cm="1">
        <f t="array" ref="AR79">pareto($M76:$M81,$N76:$N81,4,"rate",$AR$1,$AO77,$AO79)</f>
        <v>246.43199999999999</v>
      </c>
      <c r="AS79" s="240" cm="1">
        <f t="array" ref="AS79">pareto($M76:$M81,$N76:$N81,4,"dist",$AR$1,$AO77,$AO79)</f>
        <v>37.236108000000002</v>
      </c>
    </row>
    <row r="80" spans="1:45" ht="12" customHeight="1" x14ac:dyDescent="0.25">
      <c r="A80" s="74"/>
      <c r="B80" s="133"/>
      <c r="C80" s="107" t="s">
        <v>254</v>
      </c>
      <c r="D80" s="267">
        <v>157.506461538461</v>
      </c>
      <c r="E80" s="267">
        <v>31.337782000000001</v>
      </c>
      <c r="F80" s="86"/>
      <c r="G80" s="86"/>
      <c r="H80" s="86"/>
      <c r="I80" s="86"/>
      <c r="J80" s="86"/>
      <c r="K80" s="86"/>
      <c r="L80" s="110"/>
      <c r="M80" s="267">
        <v>157.506461538461</v>
      </c>
      <c r="N80" s="267">
        <v>31.337782000000001</v>
      </c>
      <c r="O80" s="86"/>
      <c r="P80" s="86"/>
      <c r="Q80" s="86"/>
      <c r="R80" s="86"/>
      <c r="S80" s="86"/>
      <c r="T80" s="86"/>
      <c r="U80" s="85" t="e">
        <f t="shared" si="46"/>
        <v>#DIV/0!</v>
      </c>
      <c r="V80" s="86" t="e">
        <f t="shared" si="46"/>
        <v>#DIV/0!</v>
      </c>
      <c r="W80" s="110"/>
      <c r="X80" s="89"/>
      <c r="Y80" s="90"/>
      <c r="Z80" s="90"/>
      <c r="AA80" s="90"/>
      <c r="AB80" s="90"/>
      <c r="AC80" s="90"/>
      <c r="AD80" s="90"/>
      <c r="AE80" s="90"/>
      <c r="AF80" s="90"/>
      <c r="AG80" s="91"/>
      <c r="AH80" s="110"/>
      <c r="AP80" s="240" cm="1">
        <f t="array" ref="AP80">pareto($D76:$D81,$E76:$E81,5,"rate",$AR$1,$AO77,$AO79)</f>
        <v>157.506461538461</v>
      </c>
      <c r="AQ80" s="240" cm="1">
        <f t="array" ref="AQ80">pareto($D76:$D81,$E76:$E81,5,"dist",$AR$1,$AO77,$AO79)</f>
        <v>31.337782000000001</v>
      </c>
      <c r="AR80" s="240" cm="1">
        <f t="array" ref="AR80">pareto($M76:$M81,$N76:$N81,5,"rate",$AR$1,$AO77,$AO79)</f>
        <v>157.506461538461</v>
      </c>
      <c r="AS80" s="240" cm="1">
        <f t="array" ref="AS80">pareto($M76:$M81,$N76:$N81,5,"dist",$AR$1,$AO77,$AO79)</f>
        <v>31.337782000000001</v>
      </c>
    </row>
    <row r="81" spans="1:47" ht="12" customHeight="1" thickBot="1" x14ac:dyDescent="0.3">
      <c r="A81" s="92"/>
      <c r="B81" s="134"/>
      <c r="C81" s="108" t="s">
        <v>255</v>
      </c>
      <c r="D81" s="267">
        <v>102.04061538461499</v>
      </c>
      <c r="E81" s="267">
        <v>23.109873</v>
      </c>
      <c r="F81" s="94"/>
      <c r="G81" s="94"/>
      <c r="H81" s="94"/>
      <c r="I81" s="94"/>
      <c r="J81" s="94"/>
      <c r="K81" s="94"/>
      <c r="L81" s="111"/>
      <c r="M81" s="267">
        <v>102.04061538461499</v>
      </c>
      <c r="N81" s="267">
        <v>23.109873</v>
      </c>
      <c r="O81" s="94"/>
      <c r="P81" s="94"/>
      <c r="Q81" s="94"/>
      <c r="R81" s="94"/>
      <c r="S81" s="94"/>
      <c r="T81" s="94"/>
      <c r="U81" s="93" t="e">
        <f t="shared" si="46"/>
        <v>#DIV/0!</v>
      </c>
      <c r="V81" s="94" t="e">
        <f t="shared" si="46"/>
        <v>#DIV/0!</v>
      </c>
      <c r="W81" s="111"/>
      <c r="X81" s="95"/>
      <c r="Y81" s="96"/>
      <c r="Z81" s="96"/>
      <c r="AA81" s="96"/>
      <c r="AB81" s="96"/>
      <c r="AC81" s="96"/>
      <c r="AD81" s="96"/>
      <c r="AE81" s="96"/>
      <c r="AF81" s="96"/>
      <c r="AG81" s="97"/>
      <c r="AH81" s="111"/>
      <c r="AP81" s="240" cm="1">
        <f t="array" ref="AP81">pareto($D76:$D81,$E76:$E81,6,"rate",$AR$1,$AO77,$AO79)</f>
        <v>102.04061538461499</v>
      </c>
      <c r="AQ81" s="240" cm="1">
        <f t="array" ref="AQ81">pareto($D76:$D81,$E76:$E81,6,"dist",$AR$1,$AO77,$AO79)</f>
        <v>23.109873</v>
      </c>
      <c r="AR81" s="240" cm="1">
        <f t="array" ref="AR81">pareto($M76:$M81,$N76:$N81,6,"rate",$AR$1,$AO77,$AO79)</f>
        <v>102.04061538461499</v>
      </c>
      <c r="AS81" s="240" cm="1">
        <f t="array" ref="AS81">pareto($M76:$M81,$N76:$N81,6,"dist",$AR$1,$AO77,$AO79)</f>
        <v>23.109873</v>
      </c>
    </row>
    <row r="82" spans="1:47" ht="12" customHeight="1" x14ac:dyDescent="0.25">
      <c r="A82" s="81" t="s">
        <v>222</v>
      </c>
      <c r="B82" s="132" t="s">
        <v>223</v>
      </c>
      <c r="C82" s="106" t="s">
        <v>250</v>
      </c>
      <c r="D82" s="82"/>
      <c r="E82" s="137"/>
      <c r="F82" s="83"/>
      <c r="G82" s="83"/>
      <c r="H82" s="83"/>
      <c r="I82" s="83"/>
      <c r="J82" s="83"/>
      <c r="K82" s="83"/>
      <c r="L82" s="110"/>
      <c r="M82" s="82"/>
      <c r="N82" s="137"/>
      <c r="O82" s="83"/>
      <c r="P82" s="83"/>
      <c r="Q82" s="83"/>
      <c r="R82" s="83"/>
      <c r="S82" s="83"/>
      <c r="T82" s="83"/>
      <c r="U82" s="82" t="e">
        <f t="shared" ref="U82:V93" si="59">S82/J82</f>
        <v>#DIV/0!</v>
      </c>
      <c r="V82" s="84" t="e">
        <f t="shared" si="59"/>
        <v>#DIV/0!</v>
      </c>
      <c r="W82" s="127"/>
      <c r="X82" s="122" t="e">
        <f>bdRateExtend($D82:$D87,$E82:$E87,$M82:$M87,$N82:$N87)</f>
        <v>#VALUE!</v>
      </c>
      <c r="Y82" s="14" t="e">
        <f>bdRateExtend($D82:$D86,$E82:$E86,$M82:$M86,$N82:$N86)</f>
        <v>#VALUE!</v>
      </c>
      <c r="Z82" s="14" t="e">
        <f>bdRateExtend($D83:$D87,$E83:$E87,$M83:$M87,$N83:$N87)</f>
        <v>#VALUE!</v>
      </c>
      <c r="AA82" s="14" t="e">
        <f>bdRateExtend($D82:$D85,$E82:$E85,$M82:$M85,$N82:$N85)</f>
        <v>#VALUE!</v>
      </c>
      <c r="AB82" s="14" t="e">
        <f>bdRateExtend($D83:$D86,$E83:$E86,$M83:$M86,$N83:$N86)</f>
        <v>#VALUE!</v>
      </c>
      <c r="AC82" s="14" t="e">
        <f>bdRateExtend($D84:$D87,$E84:$E87,$M84:$M87,$N84:$N87)</f>
        <v>#VALUE!</v>
      </c>
      <c r="AD82" s="34" t="e" cm="1">
        <f t="array" ref="AD82">bdRatePareto(AP82:AP87,AQ82:AQ87,AR82:AR87,AS82:AS87)</f>
        <v>#VALUE!</v>
      </c>
      <c r="AE82" s="14" t="e">
        <f>bdRateExtend($D82:$D87,F82:F87,$M82:$M87,O82:O87)</f>
        <v>#VALUE!</v>
      </c>
      <c r="AF82" s="14" t="e">
        <f>bdRateExtend($D82:$D87,G82:G87,$M82:$M87,P82:P87)</f>
        <v>#VALUE!</v>
      </c>
      <c r="AG82" s="15" t="e">
        <f>bdRateExtend($D82:$D87,H82:H87,$M82:$M87,Q82:Q87)</f>
        <v>#VALUE!</v>
      </c>
      <c r="AH82" s="129" t="e">
        <f>bdPSNRExtend($D82:$D87,$E82:$E87,$M82:$M87,$N82:$N87)</f>
        <v>#VALUE!</v>
      </c>
      <c r="AO82" s="240" t="s">
        <v>213</v>
      </c>
      <c r="AP82" s="240" t="e" cm="1">
        <f t="array" ref="AP82">pareto($D82:$D87,$E82:$E87,1,"rate",$AR$1,$AO83,$AO85)</f>
        <v>#N/A</v>
      </c>
      <c r="AQ82" s="240" t="e" cm="1">
        <f t="array" ref="AQ82">pareto($D82:$D87,$E82:$E87,1,"dist",$AR$1,$AO83,$AO85)</f>
        <v>#N/A</v>
      </c>
      <c r="AR82" s="240" t="e" cm="1">
        <f t="array" ref="AR82">pareto($M82:$M87,$N82:$N87,1,"rate",$AR$1,$AO83,$AO85)</f>
        <v>#N/A</v>
      </c>
      <c r="AS82" s="240" t="e" cm="1">
        <f t="array" ref="AS82">pareto($M82:$M87,$N82:$N87,1,"dist",$AR$1,$AO83,$AO85)</f>
        <v>#N/A</v>
      </c>
      <c r="AT82" s="1"/>
      <c r="AU82" s="243"/>
    </row>
    <row r="83" spans="1:47" ht="12" customHeight="1" x14ac:dyDescent="0.25">
      <c r="A83" s="136"/>
      <c r="B83" s="133"/>
      <c r="C83" s="107" t="s">
        <v>251</v>
      </c>
      <c r="D83" s="85"/>
      <c r="E83" s="138"/>
      <c r="F83" s="86"/>
      <c r="G83" s="86"/>
      <c r="H83" s="86"/>
      <c r="I83" s="86"/>
      <c r="J83" s="86"/>
      <c r="K83" s="86"/>
      <c r="L83" s="110"/>
      <c r="M83" s="85"/>
      <c r="N83" s="138"/>
      <c r="O83" s="86"/>
      <c r="P83" s="86"/>
      <c r="Q83" s="86"/>
      <c r="R83" s="86"/>
      <c r="S83" s="86"/>
      <c r="T83" s="86"/>
      <c r="U83" s="85" t="e">
        <f t="shared" si="59"/>
        <v>#DIV/0!</v>
      </c>
      <c r="V83" s="87" t="e">
        <f t="shared" si="59"/>
        <v>#DIV/0!</v>
      </c>
      <c r="W83" s="128"/>
      <c r="X83" s="89"/>
      <c r="Y83" s="90"/>
      <c r="Z83" s="90"/>
      <c r="AA83" s="90"/>
      <c r="AB83" s="90"/>
      <c r="AC83" s="90"/>
      <c r="AD83" s="90"/>
      <c r="AE83" s="90"/>
      <c r="AF83" s="90"/>
      <c r="AG83" s="91"/>
      <c r="AH83" s="130"/>
      <c r="AO83" s="240">
        <v>77.041349999999994</v>
      </c>
      <c r="AP83" s="240" t="e" cm="1">
        <f t="array" ref="AP83">pareto($D82:$D87,$E82:$E87,2,"rate",$AR$1,$AO83,$AO85)</f>
        <v>#N/A</v>
      </c>
      <c r="AQ83" s="240" t="e" cm="1">
        <f t="array" ref="AQ83">pareto($D82:$D87,$E82:$E87,2,"dist",$AR$1,$AO83,$AO85)</f>
        <v>#N/A</v>
      </c>
      <c r="AR83" s="240" t="e" cm="1">
        <f t="array" ref="AR83">pareto($M82:$M87,$N82:$N87,2,"rate",$AR$1,$AO83,$AO85)</f>
        <v>#N/A</v>
      </c>
      <c r="AS83" s="240" t="e" cm="1">
        <f t="array" ref="AS83">pareto($M82:$M87,$N82:$N87,2,"dist",$AR$1,$AO83,$AO85)</f>
        <v>#N/A</v>
      </c>
      <c r="AT83" s="1"/>
      <c r="AU83" s="244"/>
    </row>
    <row r="84" spans="1:47" ht="12" customHeight="1" x14ac:dyDescent="0.25">
      <c r="A84" s="74"/>
      <c r="B84" s="133"/>
      <c r="C84" s="107" t="s">
        <v>252</v>
      </c>
      <c r="D84" s="85"/>
      <c r="E84" s="138"/>
      <c r="F84" s="86"/>
      <c r="G84" s="86"/>
      <c r="H84" s="86"/>
      <c r="I84" s="86"/>
      <c r="J84" s="86"/>
      <c r="K84" s="86"/>
      <c r="L84" s="110"/>
      <c r="M84" s="85"/>
      <c r="N84" s="138"/>
      <c r="O84" s="86"/>
      <c r="P84" s="86"/>
      <c r="Q84" s="86"/>
      <c r="R84" s="86"/>
      <c r="S84" s="86"/>
      <c r="T84" s="86"/>
      <c r="U84" s="85" t="e">
        <f t="shared" si="59"/>
        <v>#DIV/0!</v>
      </c>
      <c r="V84" s="87" t="e">
        <f t="shared" si="59"/>
        <v>#DIV/0!</v>
      </c>
      <c r="W84" s="128"/>
      <c r="X84" s="89"/>
      <c r="Y84" s="90"/>
      <c r="Z84" s="90"/>
      <c r="AA84" s="90"/>
      <c r="AB84" s="90"/>
      <c r="AC84" s="90"/>
      <c r="AD84" s="90"/>
      <c r="AE84" s="90"/>
      <c r="AF84" s="90"/>
      <c r="AG84" s="91"/>
      <c r="AH84" s="130"/>
      <c r="AO84" s="240" t="s">
        <v>44</v>
      </c>
      <c r="AP84" s="240" t="e" cm="1">
        <f t="array" ref="AP84">pareto($D82:$D87,$E82:$E87,3,"rate",$AR$1,$AO83,$AO85)</f>
        <v>#N/A</v>
      </c>
      <c r="AQ84" s="240" t="e" cm="1">
        <f t="array" ref="AQ84">pareto($D82:$D87,$E82:$E87,3,"dist",$AR$1,$AO83,$AO85)</f>
        <v>#N/A</v>
      </c>
      <c r="AR84" s="240" t="e" cm="1">
        <f t="array" ref="AR84">pareto($M82:$M87,$N82:$N87,3,"rate",$AR$1,$AO83,$AO85)</f>
        <v>#N/A</v>
      </c>
      <c r="AS84" s="240" t="e" cm="1">
        <f t="array" ref="AS84">pareto($M82:$M87,$N82:$N87,3,"dist",$AR$1,$AO83,$AO85)</f>
        <v>#N/A</v>
      </c>
      <c r="AT84" s="1"/>
      <c r="AU84" s="244"/>
    </row>
    <row r="85" spans="1:47" ht="12" customHeight="1" x14ac:dyDescent="0.25">
      <c r="A85" s="74"/>
      <c r="B85" s="133"/>
      <c r="C85" s="107" t="s">
        <v>253</v>
      </c>
      <c r="D85" s="85"/>
      <c r="E85" s="138"/>
      <c r="F85" s="86"/>
      <c r="G85" s="86"/>
      <c r="H85" s="86"/>
      <c r="I85" s="86"/>
      <c r="J85" s="86"/>
      <c r="K85" s="86"/>
      <c r="L85" s="110"/>
      <c r="M85" s="85"/>
      <c r="N85" s="138"/>
      <c r="O85" s="86"/>
      <c r="P85" s="86"/>
      <c r="Q85" s="86"/>
      <c r="R85" s="86"/>
      <c r="S85" s="86"/>
      <c r="T85" s="86"/>
      <c r="U85" s="85" t="e">
        <f t="shared" si="59"/>
        <v>#DIV/0!</v>
      </c>
      <c r="V85" s="87" t="e">
        <f t="shared" si="59"/>
        <v>#DIV/0!</v>
      </c>
      <c r="W85" s="128"/>
      <c r="X85" s="89"/>
      <c r="Y85" s="90"/>
      <c r="Z85" s="90"/>
      <c r="AA85" s="90"/>
      <c r="AB85" s="90"/>
      <c r="AC85" s="90"/>
      <c r="AD85" s="90"/>
      <c r="AE85" s="90"/>
      <c r="AF85" s="90"/>
      <c r="AG85" s="91"/>
      <c r="AH85" s="130"/>
      <c r="AO85" s="240">
        <v>20</v>
      </c>
      <c r="AP85" s="240" t="e" cm="1">
        <f t="array" ref="AP85">pareto($D82:$D87,$E82:$E87,4,"rate",$AR$1,$AO83,$AO85)</f>
        <v>#N/A</v>
      </c>
      <c r="AQ85" s="240" t="e" cm="1">
        <f t="array" ref="AQ85">pareto($D82:$D87,$E82:$E87,4,"dist",$AR$1,$AO83,$AO85)</f>
        <v>#N/A</v>
      </c>
      <c r="AR85" s="240" t="e" cm="1">
        <f t="array" ref="AR85">pareto($M82:$M87,$N82:$N87,4,"rate",$AR$1,$AO83,$AO85)</f>
        <v>#N/A</v>
      </c>
      <c r="AS85" s="240" t="e" cm="1">
        <f t="array" ref="AS85">pareto($M82:$M87,$N82:$N87,4,"dist",$AR$1,$AO83,$AO85)</f>
        <v>#N/A</v>
      </c>
      <c r="AT85" s="1"/>
      <c r="AU85" s="244"/>
    </row>
    <row r="86" spans="1:47" ht="12" customHeight="1" x14ac:dyDescent="0.25">
      <c r="A86" s="74"/>
      <c r="B86" s="133"/>
      <c r="C86" s="107" t="s">
        <v>254</v>
      </c>
      <c r="D86" s="85"/>
      <c r="E86" s="138"/>
      <c r="F86" s="86"/>
      <c r="G86" s="86"/>
      <c r="H86" s="86"/>
      <c r="I86" s="86"/>
      <c r="J86" s="86"/>
      <c r="K86" s="86"/>
      <c r="L86" s="110"/>
      <c r="M86" s="85"/>
      <c r="N86" s="138"/>
      <c r="O86" s="86"/>
      <c r="P86" s="86"/>
      <c r="Q86" s="86"/>
      <c r="R86" s="86"/>
      <c r="S86" s="86"/>
      <c r="T86" s="86"/>
      <c r="U86" s="85" t="e">
        <f t="shared" si="59"/>
        <v>#DIV/0!</v>
      </c>
      <c r="V86" s="87" t="e">
        <f t="shared" si="59"/>
        <v>#DIV/0!</v>
      </c>
      <c r="W86" s="128"/>
      <c r="X86" s="89"/>
      <c r="Y86" s="90"/>
      <c r="Z86" s="90"/>
      <c r="AA86" s="90"/>
      <c r="AB86" s="90"/>
      <c r="AC86" s="90"/>
      <c r="AD86" s="90"/>
      <c r="AE86" s="90"/>
      <c r="AF86" s="90"/>
      <c r="AG86" s="91"/>
      <c r="AH86" s="130"/>
      <c r="AO86" s="240"/>
      <c r="AP86" s="240" t="e" cm="1">
        <f t="array" ref="AP86">pareto($D82:$D87,$E82:$E87,5,"rate",$AR$1,$AO83,$AO85)</f>
        <v>#N/A</v>
      </c>
      <c r="AQ86" s="240" t="e" cm="1">
        <f t="array" ref="AQ86">pareto($D82:$D87,$E82:$E87,5,"dist",$AR$1,$AO83,$AO85)</f>
        <v>#N/A</v>
      </c>
      <c r="AR86" s="240" t="e" cm="1">
        <f t="array" ref="AR86">pareto($M82:$M87,$N82:$N87,5,"rate",$AR$1,$AO83,$AO85)</f>
        <v>#N/A</v>
      </c>
      <c r="AS86" s="240" t="e" cm="1">
        <f t="array" ref="AS86">pareto($M82:$M87,$N82:$N87,5,"dist",$AR$1,$AO83,$AO85)</f>
        <v>#N/A</v>
      </c>
      <c r="AT86" s="240"/>
      <c r="AU86" s="240"/>
    </row>
    <row r="87" spans="1:47" ht="12" customHeight="1" thickBot="1" x14ac:dyDescent="0.3">
      <c r="A87" s="92"/>
      <c r="B87" s="134"/>
      <c r="C87" s="108" t="s">
        <v>255</v>
      </c>
      <c r="D87" s="93"/>
      <c r="E87" s="269"/>
      <c r="F87" s="94"/>
      <c r="G87" s="94"/>
      <c r="H87" s="94"/>
      <c r="I87" s="94"/>
      <c r="J87" s="94"/>
      <c r="K87" s="94"/>
      <c r="L87" s="111"/>
      <c r="M87" s="93"/>
      <c r="N87" s="269"/>
      <c r="O87" s="94"/>
      <c r="P87" s="94"/>
      <c r="Q87" s="94"/>
      <c r="R87" s="94"/>
      <c r="S87" s="94"/>
      <c r="T87" s="94"/>
      <c r="U87" s="93" t="e">
        <f t="shared" si="59"/>
        <v>#DIV/0!</v>
      </c>
      <c r="V87" s="252" t="e">
        <f t="shared" si="59"/>
        <v>#DIV/0!</v>
      </c>
      <c r="W87" s="128"/>
      <c r="X87" s="95"/>
      <c r="Y87" s="96"/>
      <c r="Z87" s="96"/>
      <c r="AA87" s="96"/>
      <c r="AB87" s="96"/>
      <c r="AC87" s="96"/>
      <c r="AD87" s="96"/>
      <c r="AE87" s="96"/>
      <c r="AF87" s="96"/>
      <c r="AG87" s="97"/>
      <c r="AH87" s="131"/>
      <c r="AO87" s="240"/>
      <c r="AP87" s="240" t="e" cm="1">
        <f t="array" ref="AP87">pareto($D82:$D87,$E82:$E87,6,"rate",$AR$1,$AO83,$AO85)</f>
        <v>#N/A</v>
      </c>
      <c r="AQ87" s="240" t="e" cm="1">
        <f t="array" ref="AQ87">pareto($D82:$D87,$E82:$E87,6,"dist",$AR$1,$AO83,$AO85)</f>
        <v>#N/A</v>
      </c>
      <c r="AR87" s="240" t="e" cm="1">
        <f t="array" ref="AR87">pareto($M82:$M87,$N82:$N87,6,"rate",$AR$1,$AO83,$AO85)</f>
        <v>#N/A</v>
      </c>
      <c r="AS87" s="240" t="e" cm="1">
        <f t="array" ref="AS87">pareto($M82:$M87,$N82:$N87,6,"dist",$AR$1,$AO83,$AO85)</f>
        <v>#N/A</v>
      </c>
      <c r="AT87" s="240"/>
      <c r="AU87" s="240"/>
    </row>
    <row r="88" spans="1:47" ht="12" customHeight="1" x14ac:dyDescent="0.25">
      <c r="A88" s="81" t="s">
        <v>256</v>
      </c>
      <c r="B88" s="132"/>
      <c r="C88" s="106" t="s">
        <v>250</v>
      </c>
      <c r="D88" s="82">
        <f>AVERAGE(D4,D10,D16,D22,D28,D34,D40,D46,D52,D58,D64,D70,D76)</f>
        <v>1335.8143697997193</v>
      </c>
      <c r="E88" s="270">
        <f>AVERAGE(E4,E10,E16,E22,E28,E34,E40,E46,E52,E58,E64,E70,E76)</f>
        <v>42.877984923076923</v>
      </c>
      <c r="F88" s="83"/>
      <c r="G88" s="83"/>
      <c r="H88" s="83"/>
      <c r="I88" s="83"/>
      <c r="J88" s="83"/>
      <c r="K88" s="83"/>
      <c r="L88" s="110"/>
      <c r="M88" s="82">
        <f>AVERAGE(M4,M10,M16,M22,M28,M34,M40,M46,M52,M58,M64,M70,M76)</f>
        <v>1335.8143697997193</v>
      </c>
      <c r="N88" s="270">
        <f>AVERAGE(N4,N10,N16,N22,N28,N34,N40,N46,N52,N58,N64,N70,N76)</f>
        <v>42.943963846153842</v>
      </c>
      <c r="O88" s="83"/>
      <c r="P88" s="83"/>
      <c r="Q88" s="83"/>
      <c r="R88" s="83"/>
      <c r="S88" s="83"/>
      <c r="T88" s="83"/>
      <c r="U88" s="82" t="e">
        <f t="shared" si="59"/>
        <v>#DIV/0!</v>
      </c>
      <c r="V88" s="84" t="e">
        <f t="shared" si="59"/>
        <v>#DIV/0!</v>
      </c>
      <c r="W88" s="127"/>
      <c r="X88" s="122">
        <f>bdRateExtend($D88:$D93,$E88:$E93,$M88:$M93,$N88:$N93)</f>
        <v>-2.7110981824463032E-3</v>
      </c>
      <c r="Y88" s="14">
        <f>bdRateExtend($D88:$D92,$E88:$E92,$M88:$M92,$N88:$N92)</f>
        <v>-3.5947182671680622E-3</v>
      </c>
      <c r="Z88" s="14">
        <f>bdRateExtend($D89:$D93,$E89:$E93,$M89:$M93,$N89:$N93)</f>
        <v>-1.8268892833046557E-3</v>
      </c>
      <c r="AA88" s="14">
        <f>bdRateExtend($D88:$D91,$E88:$E91,$M88:$M91,$N88:$N91)</f>
        <v>-3.3649094854586448E-3</v>
      </c>
      <c r="AB88" s="14">
        <f>bdRateExtend($D89:$D92,$E89:$E92,$M89:$M92,$N89:$N92)</f>
        <v>-2.355922889482609E-3</v>
      </c>
      <c r="AC88" s="14">
        <f>bdRateExtend($D90:$D93,$E90:$E93,$M90:$M93,$N90:$N93)</f>
        <v>-1.9098064441916973E-3</v>
      </c>
      <c r="AD88" s="34" cm="1">
        <f t="array" ref="AD88">bdRatePareto(AP88:AP93,AQ88:AQ93,AR88:AR93,AS88:AS93)</f>
        <v>-2.7110981824463032E-3</v>
      </c>
      <c r="AE88" s="14" t="e">
        <f>bdRateExtend($D88:$D93,F88:F93,$M88:$M93,O88:O93)</f>
        <v>#VALUE!</v>
      </c>
      <c r="AF88" s="14" t="e">
        <f>bdRateExtend($D88:$D93,G88:G93,$M88:$M93,P88:P93)</f>
        <v>#VALUE!</v>
      </c>
      <c r="AG88" s="15" t="e">
        <f>bdRateExtend($D88:$D93,H88:H93,$M88:$M93,Q88:Q93)</f>
        <v>#VALUE!</v>
      </c>
      <c r="AH88" s="129">
        <f>bdPSNRExtend($D88:$D93,$E88:$E93,$M88:$M93,$N88:$N93)</f>
        <v>3.3532667048669772E-2</v>
      </c>
      <c r="AO88" s="240" t="s">
        <v>213</v>
      </c>
      <c r="AP88" s="240" cm="1">
        <f t="array" ref="AP88">pareto($D88:$D93,$E88:$E93,1,"rate",$AR$1,$AO89,$AO91)</f>
        <v>1335.8143697997193</v>
      </c>
      <c r="AQ88" s="240" cm="1">
        <f t="array" ref="AQ88">pareto($D88:$D93,$E88:$E93,1,"dist",$AR$1,$AO89,$AO91)</f>
        <v>42.877984923076923</v>
      </c>
      <c r="AR88" s="240" cm="1">
        <f t="array" ref="AR88">pareto($M88:$M93,$N88:$N93,1,"rate",$AR$1,$AO89,$AO91)</f>
        <v>1335.8143697997193</v>
      </c>
      <c r="AS88" s="240" cm="1">
        <f t="array" ref="AS88">pareto($M88:$M93,$N88:$N93,1,"dist",$AR$1,$AO89,$AO91)</f>
        <v>42.943963846153842</v>
      </c>
      <c r="AT88" s="1"/>
      <c r="AU88" s="243"/>
    </row>
    <row r="89" spans="1:47" ht="12" customHeight="1" x14ac:dyDescent="0.25">
      <c r="A89" s="136"/>
      <c r="B89" s="133"/>
      <c r="C89" s="107" t="s">
        <v>251</v>
      </c>
      <c r="D89" s="85">
        <f t="shared" ref="D89:E93" si="60">AVERAGE(D5,D11,D17,D23,D29,D35,D41,D47,D53,D59,D65,D71,D77)</f>
        <v>878.84551841894813</v>
      </c>
      <c r="E89" s="271">
        <f>AVERAGE(E5,E11,E17,E23,E29,E35,E41,E47,E53,E59,E65,E71,E77)</f>
        <v>41.603664999999992</v>
      </c>
      <c r="F89" s="86"/>
      <c r="G89" s="86"/>
      <c r="H89" s="86"/>
      <c r="I89" s="86"/>
      <c r="J89" s="86"/>
      <c r="K89" s="86"/>
      <c r="L89" s="110"/>
      <c r="M89" s="85">
        <f t="shared" ref="M89:N93" si="61">AVERAGE(M5,M11,M17,M23,M29,M35,M41,M47,M53,M59,M65,M71,M77)</f>
        <v>878.84551841894813</v>
      </c>
      <c r="N89" s="271">
        <f>AVERAGE(N5,N11,N17,N23,N29,N35,N41,N47,N53,N59,N65,N71,N77)</f>
        <v>41.65609653846154</v>
      </c>
      <c r="O89" s="86"/>
      <c r="P89" s="86"/>
      <c r="Q89" s="86"/>
      <c r="R89" s="86"/>
      <c r="S89" s="86"/>
      <c r="T89" s="86"/>
      <c r="U89" s="85" t="e">
        <f t="shared" si="59"/>
        <v>#DIV/0!</v>
      </c>
      <c r="V89" s="87" t="e">
        <f t="shared" si="59"/>
        <v>#DIV/0!</v>
      </c>
      <c r="W89" s="128"/>
      <c r="X89" s="89"/>
      <c r="Y89" s="90"/>
      <c r="Z89" s="90"/>
      <c r="AA89" s="90"/>
      <c r="AB89" s="90"/>
      <c r="AC89" s="90"/>
      <c r="AD89" s="90"/>
      <c r="AE89" s="90"/>
      <c r="AF89" s="90"/>
      <c r="AG89" s="91"/>
      <c r="AH89" s="130"/>
      <c r="AO89" s="240">
        <v>77.041349999999994</v>
      </c>
      <c r="AP89" s="240" cm="1">
        <f t="array" ref="AP89">pareto($D88:$D93,$E88:$E93,2,"rate",$AR$1,$AO89,$AO91)</f>
        <v>878.84551841894813</v>
      </c>
      <c r="AQ89" s="240" cm="1">
        <f t="array" ref="AQ89">pareto($D88:$D93,$E88:$E93,2,"dist",$AR$1,$AO89,$AO91)</f>
        <v>41.603664999999992</v>
      </c>
      <c r="AR89" s="240" cm="1">
        <f t="array" ref="AR89">pareto($M88:$M93,$N88:$N93,2,"rate",$AR$1,$AO89,$AO91)</f>
        <v>878.84551841894813</v>
      </c>
      <c r="AS89" s="240" cm="1">
        <f t="array" ref="AS89">pareto($M88:$M93,$N88:$N93,2,"dist",$AR$1,$AO89,$AO91)</f>
        <v>41.65609653846154</v>
      </c>
      <c r="AT89" s="1"/>
      <c r="AU89" s="244"/>
    </row>
    <row r="90" spans="1:47" ht="12" customHeight="1" x14ac:dyDescent="0.25">
      <c r="A90" s="74"/>
      <c r="B90" s="133"/>
      <c r="C90" s="107" t="s">
        <v>252</v>
      </c>
      <c r="D90" s="85">
        <f t="shared" si="60"/>
        <v>561.67117063037585</v>
      </c>
      <c r="E90" s="271">
        <f>AVERAGE(E6,E12,E18,E24,E30,E36,E42,E48,E54,E60,E66,E72,E78)</f>
        <v>37.450679384615384</v>
      </c>
      <c r="F90" s="86"/>
      <c r="G90" s="86"/>
      <c r="H90" s="86"/>
      <c r="I90" s="86"/>
      <c r="J90" s="86"/>
      <c r="K90" s="86"/>
      <c r="L90" s="110"/>
      <c r="M90" s="85">
        <f t="shared" si="61"/>
        <v>561.67117063037585</v>
      </c>
      <c r="N90" s="271">
        <f>AVERAGE(N6,N12,N18,N24,N30,N36,N42,N48,N54,N60,N66,N72,N78)</f>
        <v>37.450753307692317</v>
      </c>
      <c r="O90" s="86"/>
      <c r="P90" s="86"/>
      <c r="Q90" s="86"/>
      <c r="R90" s="86"/>
      <c r="S90" s="86"/>
      <c r="T90" s="86"/>
      <c r="U90" s="85" t="e">
        <f t="shared" si="59"/>
        <v>#DIV/0!</v>
      </c>
      <c r="V90" s="87" t="e">
        <f t="shared" si="59"/>
        <v>#DIV/0!</v>
      </c>
      <c r="W90" s="128"/>
      <c r="X90" s="89"/>
      <c r="Y90" s="90"/>
      <c r="Z90" s="90"/>
      <c r="AA90" s="90"/>
      <c r="AB90" s="90"/>
      <c r="AC90" s="90"/>
      <c r="AD90" s="90"/>
      <c r="AE90" s="90"/>
      <c r="AF90" s="90"/>
      <c r="AG90" s="91"/>
      <c r="AH90" s="130"/>
      <c r="AO90" s="240" t="s">
        <v>44</v>
      </c>
      <c r="AP90" s="240" cm="1">
        <f t="array" ref="AP90">pareto($D88:$D93,$E88:$E93,3,"rate",$AR$1,$AO89,$AO91)</f>
        <v>561.67117063037585</v>
      </c>
      <c r="AQ90" s="240" cm="1">
        <f t="array" ref="AQ90">pareto($D88:$D93,$E88:$E93,3,"dist",$AR$1,$AO89,$AO91)</f>
        <v>37.450679384615384</v>
      </c>
      <c r="AR90" s="240" cm="1">
        <f t="array" ref="AR90">pareto($M88:$M93,$N88:$N93,3,"rate",$AR$1,$AO89,$AO91)</f>
        <v>561.67117063037585</v>
      </c>
      <c r="AS90" s="240" cm="1">
        <f t="array" ref="AS90">pareto($M88:$M93,$N88:$N93,3,"dist",$AR$1,$AO89,$AO91)</f>
        <v>37.450753307692317</v>
      </c>
      <c r="AT90" s="1"/>
      <c r="AU90" s="244"/>
    </row>
    <row r="91" spans="1:47" ht="12" customHeight="1" x14ac:dyDescent="0.25">
      <c r="A91" s="74"/>
      <c r="B91" s="133"/>
      <c r="C91" s="107" t="s">
        <v>253</v>
      </c>
      <c r="D91" s="85">
        <f t="shared" si="60"/>
        <v>364.06571248053672</v>
      </c>
      <c r="E91" s="271">
        <f>AVERAGE(E7,E13,E19,E25,E31,E37,E43,E49,E55,E61,E67,E73,E79)</f>
        <v>31.165864538461538</v>
      </c>
      <c r="F91" s="86"/>
      <c r="G91" s="86"/>
      <c r="H91" s="86"/>
      <c r="I91" s="86"/>
      <c r="J91" s="86"/>
      <c r="K91" s="86"/>
      <c r="L91" s="110"/>
      <c r="M91" s="85">
        <f t="shared" si="61"/>
        <v>364.06571248053672</v>
      </c>
      <c r="N91" s="271">
        <f t="shared" si="61"/>
        <v>31.219949384615386</v>
      </c>
      <c r="O91" s="86"/>
      <c r="P91" s="86"/>
      <c r="Q91" s="86"/>
      <c r="R91" s="86"/>
      <c r="S91" s="86"/>
      <c r="T91" s="86"/>
      <c r="U91" s="85" t="e">
        <f t="shared" si="59"/>
        <v>#DIV/0!</v>
      </c>
      <c r="V91" s="87" t="e">
        <f t="shared" si="59"/>
        <v>#DIV/0!</v>
      </c>
      <c r="W91" s="128"/>
      <c r="X91" s="89"/>
      <c r="Y91" s="90"/>
      <c r="Z91" s="90"/>
      <c r="AA91" s="90"/>
      <c r="AB91" s="90"/>
      <c r="AC91" s="90"/>
      <c r="AD91" s="90"/>
      <c r="AE91" s="90"/>
      <c r="AF91" s="90"/>
      <c r="AG91" s="91"/>
      <c r="AH91" s="130"/>
      <c r="AO91" s="240">
        <v>20</v>
      </c>
      <c r="AP91" s="240" cm="1">
        <f t="array" ref="AP91">pareto($D88:$D93,$E88:$E93,4,"rate",$AR$1,$AO89,$AO91)</f>
        <v>364.06571248053672</v>
      </c>
      <c r="AQ91" s="240" cm="1">
        <f t="array" ref="AQ91">pareto($D88:$D93,$E88:$E93,4,"dist",$AR$1,$AO89,$AO91)</f>
        <v>31.165864538461538</v>
      </c>
      <c r="AR91" s="240" cm="1">
        <f t="array" ref="AR91">pareto($M88:$M93,$N88:$N93,4,"rate",$AR$1,$AO89,$AO91)</f>
        <v>364.06571248053672</v>
      </c>
      <c r="AS91" s="240" cm="1">
        <f t="array" ref="AS91">pareto($M88:$M93,$N88:$N93,4,"dist",$AR$1,$AO89,$AO91)</f>
        <v>31.219949384615386</v>
      </c>
      <c r="AT91" s="1"/>
      <c r="AU91" s="244"/>
    </row>
    <row r="92" spans="1:47" ht="12" customHeight="1" x14ac:dyDescent="0.25">
      <c r="A92" s="74"/>
      <c r="B92" s="133"/>
      <c r="C92" s="107" t="s">
        <v>254</v>
      </c>
      <c r="D92" s="85">
        <f t="shared" si="60"/>
        <v>229.81081649427739</v>
      </c>
      <c r="E92" s="271">
        <f>AVERAGE(E8,E14,E20,E26,E32,E38,E44,E50,E56,E62,E68,E74,E80)</f>
        <v>24.175746538461535</v>
      </c>
      <c r="F92" s="86"/>
      <c r="G92" s="86"/>
      <c r="H92" s="86"/>
      <c r="I92" s="86"/>
      <c r="J92" s="86"/>
      <c r="K92" s="86"/>
      <c r="L92" s="110"/>
      <c r="M92" s="85">
        <f t="shared" si="61"/>
        <v>229.81081649427739</v>
      </c>
      <c r="N92" s="271">
        <f t="shared" si="61"/>
        <v>24.194261384615388</v>
      </c>
      <c r="O92" s="86"/>
      <c r="P92" s="86"/>
      <c r="Q92" s="86"/>
      <c r="R92" s="86"/>
      <c r="S92" s="86"/>
      <c r="T92" s="86"/>
      <c r="U92" s="85" t="e">
        <f t="shared" si="59"/>
        <v>#DIV/0!</v>
      </c>
      <c r="V92" s="87" t="e">
        <f t="shared" si="59"/>
        <v>#DIV/0!</v>
      </c>
      <c r="W92" s="128"/>
      <c r="X92" s="89"/>
      <c r="Y92" s="90"/>
      <c r="Z92" s="90"/>
      <c r="AA92" s="90"/>
      <c r="AB92" s="90"/>
      <c r="AC92" s="90"/>
      <c r="AD92" s="90"/>
      <c r="AE92" s="90"/>
      <c r="AF92" s="90"/>
      <c r="AG92" s="91"/>
      <c r="AH92" s="130"/>
      <c r="AO92" s="240"/>
      <c r="AP92" s="240" cm="1">
        <f t="array" ref="AP92">pareto($D88:$D93,$E88:$E93,5,"rate",$AR$1,$AO89,$AO91)</f>
        <v>229.81081649427739</v>
      </c>
      <c r="AQ92" s="240" cm="1">
        <f t="array" ref="AQ92">pareto($D88:$D93,$E88:$E93,5,"dist",$AR$1,$AO89,$AO91)</f>
        <v>24.175746538461535</v>
      </c>
      <c r="AR92" s="240" cm="1">
        <f t="array" ref="AR92">pareto($M88:$M93,$N88:$N93,5,"rate",$AR$1,$AO89,$AO91)</f>
        <v>229.81081649427739</v>
      </c>
      <c r="AS92" s="240" cm="1">
        <f t="array" ref="AS92">pareto($M88:$M93,$N88:$N93,5,"dist",$AR$1,$AO89,$AO91)</f>
        <v>24.194261384615388</v>
      </c>
      <c r="AT92" s="240"/>
      <c r="AU92" s="240"/>
    </row>
    <row r="93" spans="1:47" ht="12" customHeight="1" thickBot="1" x14ac:dyDescent="0.3">
      <c r="A93" s="92"/>
      <c r="B93" s="134"/>
      <c r="C93" s="108" t="s">
        <v>255</v>
      </c>
      <c r="D93" s="93">
        <f t="shared" si="60"/>
        <v>142.74472242973769</v>
      </c>
      <c r="E93" s="272">
        <f t="shared" si="60"/>
        <v>15.891964615384616</v>
      </c>
      <c r="F93" s="94"/>
      <c r="G93" s="94"/>
      <c r="H93" s="94"/>
      <c r="I93" s="94"/>
      <c r="J93" s="94"/>
      <c r="K93" s="94"/>
      <c r="L93" s="111"/>
      <c r="M93" s="93">
        <f t="shared" si="61"/>
        <v>142.74472242973769</v>
      </c>
      <c r="N93" s="272">
        <f t="shared" si="61"/>
        <v>15.92084069230769</v>
      </c>
      <c r="O93" s="94"/>
      <c r="P93" s="94"/>
      <c r="Q93" s="94"/>
      <c r="R93" s="94"/>
      <c r="S93" s="94"/>
      <c r="T93" s="94"/>
      <c r="U93" s="93" t="e">
        <f t="shared" si="59"/>
        <v>#DIV/0!</v>
      </c>
      <c r="V93" s="252" t="e">
        <f t="shared" si="59"/>
        <v>#DIV/0!</v>
      </c>
      <c r="W93" s="128"/>
      <c r="X93" s="95"/>
      <c r="Y93" s="96"/>
      <c r="Z93" s="96"/>
      <c r="AA93" s="96"/>
      <c r="AB93" s="96"/>
      <c r="AC93" s="96"/>
      <c r="AD93" s="96"/>
      <c r="AE93" s="96"/>
      <c r="AF93" s="96"/>
      <c r="AG93" s="97"/>
      <c r="AH93" s="131"/>
      <c r="AO93" s="240"/>
      <c r="AP93" s="240" cm="1">
        <f t="array" ref="AP93">pareto($D88:$D93,$E88:$E93,6,"rate",$AR$1,$AO89,$AO91)</f>
        <v>142.74472242973769</v>
      </c>
      <c r="AQ93" s="240" cm="1">
        <f t="array" ref="AQ93">pareto($D88:$D93,$E88:$E93,6,"dist",$AR$1,$AO89,$AO91)</f>
        <v>15.891964615384616</v>
      </c>
      <c r="AR93" s="240" cm="1">
        <f t="array" ref="AR93">pareto($M88:$M93,$N88:$N93,6,"rate",$AR$1,$AO89,$AO91)</f>
        <v>142.74472242973769</v>
      </c>
      <c r="AS93" s="240" cm="1">
        <f t="array" ref="AS93">pareto($M88:$M93,$N88:$N93,6,"dist",$AR$1,$AO89,$AO91)</f>
        <v>15.92084069230769</v>
      </c>
      <c r="AT93" s="240"/>
      <c r="AU93" s="240"/>
    </row>
    <row r="94" spans="1:47" ht="12" customHeight="1" x14ac:dyDescent="0.25">
      <c r="A94" s="73"/>
      <c r="B94" s="73" t="s">
        <v>57</v>
      </c>
      <c r="C94" s="73"/>
      <c r="D94" s="73"/>
      <c r="E94" s="73"/>
      <c r="F94" s="73"/>
      <c r="G94" s="73"/>
      <c r="H94" s="73"/>
      <c r="I94" s="73"/>
      <c r="J94" s="73" t="e">
        <f>GEOMEAN(J4:J9)</f>
        <v>#NUM!</v>
      </c>
      <c r="K94" s="73" t="e">
        <f>GEOMEAN(K4:K9)</f>
        <v>#NUM!</v>
      </c>
      <c r="L94" s="88"/>
      <c r="M94" s="88"/>
      <c r="N94" s="73"/>
      <c r="O94" s="73"/>
      <c r="P94" s="73"/>
      <c r="Q94" s="73"/>
      <c r="R94" s="73"/>
      <c r="S94" s="73" t="e">
        <f>GEOMEAN(S4:S9)</f>
        <v>#NUM!</v>
      </c>
      <c r="T94" s="73" t="e">
        <f>GEOMEAN(T4:T9)</f>
        <v>#NUM!</v>
      </c>
      <c r="U94" s="73" t="e">
        <f>GEOMEAN(U4:U9)</f>
        <v>#DIV/0!</v>
      </c>
      <c r="V94" s="73" t="e">
        <f>GEOMEAN(V4:V9)</f>
        <v>#DIV/0!</v>
      </c>
      <c r="W94" s="88"/>
      <c r="X94" s="4">
        <f>AVERAGE(X4:X9)</f>
        <v>1E+308</v>
      </c>
      <c r="Y94" s="4">
        <f t="shared" ref="Y94:AH94" si="62">AVERAGE(Y4:Y9)</f>
        <v>1E+308</v>
      </c>
      <c r="Z94" s="4">
        <f t="shared" si="62"/>
        <v>0</v>
      </c>
      <c r="AA94" s="4">
        <f t="shared" si="62"/>
        <v>1E+308</v>
      </c>
      <c r="AB94" s="4">
        <f t="shared" si="62"/>
        <v>0</v>
      </c>
      <c r="AC94" s="4">
        <f t="shared" si="62"/>
        <v>0</v>
      </c>
      <c r="AD94" s="4">
        <f t="shared" si="62"/>
        <v>0</v>
      </c>
      <c r="AE94" s="4" t="e">
        <f t="shared" si="62"/>
        <v>#VALUE!</v>
      </c>
      <c r="AF94" s="4" t="e">
        <f t="shared" si="62"/>
        <v>#VALUE!</v>
      </c>
      <c r="AG94" s="4" t="e">
        <f t="shared" si="62"/>
        <v>#VALUE!</v>
      </c>
      <c r="AH94" s="4">
        <f t="shared" si="62"/>
        <v>0</v>
      </c>
    </row>
    <row r="95" spans="1:47" ht="12" customHeight="1" x14ac:dyDescent="0.25">
      <c r="A95" s="73"/>
      <c r="B95" s="73" t="s">
        <v>59</v>
      </c>
      <c r="C95" s="73"/>
      <c r="D95" s="73"/>
      <c r="E95" s="73"/>
      <c r="F95" s="73"/>
      <c r="G95" s="73"/>
      <c r="H95" s="73"/>
      <c r="I95" s="73"/>
      <c r="J95" s="73" t="e">
        <f>GEOMEAN(J10:J33)</f>
        <v>#NUM!</v>
      </c>
      <c r="K95" s="73" t="e">
        <f>GEOMEAN(K10:K33)</f>
        <v>#NUM!</v>
      </c>
      <c r="L95" s="88"/>
      <c r="M95" s="88"/>
      <c r="N95" s="73"/>
      <c r="O95" s="73"/>
      <c r="P95" s="73"/>
      <c r="Q95" s="73"/>
      <c r="R95" s="73"/>
      <c r="S95" s="73" t="e">
        <f>GEOMEAN(S10:S33)</f>
        <v>#NUM!</v>
      </c>
      <c r="T95" s="73" t="e">
        <f>GEOMEAN(T10:T33)</f>
        <v>#NUM!</v>
      </c>
      <c r="U95" s="73" t="e">
        <f>GEOMEAN(U10:U33)</f>
        <v>#DIV/0!</v>
      </c>
      <c r="V95" s="73" t="e">
        <f>GEOMEAN(V10:V33)</f>
        <v>#DIV/0!</v>
      </c>
      <c r="W95" s="88"/>
      <c r="X95" s="4">
        <f t="shared" ref="X95:AH95" si="63">AVERAGE(X10:X33)</f>
        <v>2.5E+307</v>
      </c>
      <c r="Y95" s="4">
        <f t="shared" si="63"/>
        <v>2.5E+307</v>
      </c>
      <c r="Z95" s="4">
        <f t="shared" si="63"/>
        <v>2.5E+307</v>
      </c>
      <c r="AA95" s="4">
        <f t="shared" si="63"/>
        <v>2.5E+307</v>
      </c>
      <c r="AB95" s="4">
        <f t="shared" si="63"/>
        <v>2.5E+307</v>
      </c>
      <c r="AC95" s="4">
        <f t="shared" si="63"/>
        <v>2.5E+307</v>
      </c>
      <c r="AD95" s="4">
        <f t="shared" si="63"/>
        <v>0</v>
      </c>
      <c r="AE95" s="4" t="e">
        <f t="shared" si="63"/>
        <v>#VALUE!</v>
      </c>
      <c r="AF95" s="4" t="e">
        <f t="shared" si="63"/>
        <v>#VALUE!</v>
      </c>
      <c r="AG95" s="4" t="e">
        <f t="shared" si="63"/>
        <v>#VALUE!</v>
      </c>
      <c r="AH95" s="4">
        <f t="shared" si="63"/>
        <v>0</v>
      </c>
    </row>
    <row r="96" spans="1:47" ht="12" customHeight="1" x14ac:dyDescent="0.25">
      <c r="A96" s="73"/>
      <c r="B96" s="73" t="s">
        <v>65</v>
      </c>
      <c r="C96" s="73"/>
      <c r="D96" s="73"/>
      <c r="E96" s="73"/>
      <c r="F96" s="73"/>
      <c r="G96" s="73"/>
      <c r="H96" s="73"/>
      <c r="I96" s="73"/>
      <c r="J96" s="73" t="e">
        <f>GEOMEAN(J34:J57)</f>
        <v>#NUM!</v>
      </c>
      <c r="K96" s="73" t="e">
        <f>GEOMEAN(K34:K57)</f>
        <v>#NUM!</v>
      </c>
      <c r="L96" s="88"/>
      <c r="M96" s="88"/>
      <c r="N96" s="73"/>
      <c r="O96" s="73"/>
      <c r="P96" s="73"/>
      <c r="Q96" s="73"/>
      <c r="R96" s="73"/>
      <c r="S96" s="73" t="e">
        <f>GEOMEAN(S34:S57)</f>
        <v>#NUM!</v>
      </c>
      <c r="T96" s="73" t="e">
        <f>GEOMEAN(T34:T57)</f>
        <v>#NUM!</v>
      </c>
      <c r="U96" s="73" t="e">
        <f>GEOMEAN(U34:U57)</f>
        <v>#DIV/0!</v>
      </c>
      <c r="V96" s="73" t="e">
        <f>GEOMEAN(V34:V57)</f>
        <v>#DIV/0!</v>
      </c>
      <c r="W96" s="88"/>
      <c r="X96" s="4">
        <f t="shared" ref="X96:AH96" si="64">AVERAGE(X34:X57)</f>
        <v>-9.7295643326896775E-3</v>
      </c>
      <c r="Y96" s="4">
        <f t="shared" si="64"/>
        <v>-1.6149568969843986E-2</v>
      </c>
      <c r="Z96" s="4">
        <f t="shared" si="64"/>
        <v>-6.4552293266007532E-3</v>
      </c>
      <c r="AA96" s="4">
        <f t="shared" si="64"/>
        <v>-1.5921816340764033E-2</v>
      </c>
      <c r="AB96" s="4">
        <f t="shared" si="64"/>
        <v>-1.1117687820380417E-2</v>
      </c>
      <c r="AC96" s="4">
        <f t="shared" si="64"/>
        <v>-6.8849402180458097E-3</v>
      </c>
      <c r="AD96" s="4">
        <f t="shared" si="64"/>
        <v>-9.7295643326896775E-3</v>
      </c>
      <c r="AE96" s="4" t="e">
        <f t="shared" si="64"/>
        <v>#VALUE!</v>
      </c>
      <c r="AF96" s="4" t="e">
        <f t="shared" si="64"/>
        <v>#VALUE!</v>
      </c>
      <c r="AG96" s="4" t="e">
        <f t="shared" si="64"/>
        <v>#VALUE!</v>
      </c>
      <c r="AH96" s="4">
        <f t="shared" si="64"/>
        <v>0.11526856277588385</v>
      </c>
    </row>
    <row r="97" spans="1:34" ht="12" customHeight="1" x14ac:dyDescent="0.25">
      <c r="A97" s="73"/>
      <c r="B97" s="73" t="s">
        <v>70</v>
      </c>
      <c r="C97" s="73"/>
      <c r="D97" s="73"/>
      <c r="E97" s="73"/>
      <c r="F97" s="73"/>
      <c r="G97" s="73"/>
      <c r="H97" s="73"/>
      <c r="I97" s="73"/>
      <c r="J97" s="73" t="e">
        <f>GEOMEAN(J58:J81)</f>
        <v>#NUM!</v>
      </c>
      <c r="K97" s="73" t="e">
        <f>GEOMEAN(K58:K81)</f>
        <v>#NUM!</v>
      </c>
      <c r="L97" s="88"/>
      <c r="M97" s="88"/>
      <c r="N97" s="73"/>
      <c r="O97" s="73"/>
      <c r="P97" s="73"/>
      <c r="Q97" s="73"/>
      <c r="R97" s="73"/>
      <c r="S97" s="73" t="e">
        <f>GEOMEAN(S58:S81)</f>
        <v>#NUM!</v>
      </c>
      <c r="T97" s="73" t="e">
        <f>GEOMEAN(T58:T81)</f>
        <v>#NUM!</v>
      </c>
      <c r="U97" s="73" t="e">
        <f>GEOMEAN(U58:U81)</f>
        <v>#DIV/0!</v>
      </c>
      <c r="V97" s="73" t="e">
        <f>GEOMEAN(V58:V81)</f>
        <v>#DIV/0!</v>
      </c>
      <c r="W97" s="88"/>
      <c r="X97" s="4">
        <f t="shared" ref="X97:AH97" si="65">AVERAGE(X58:X81)</f>
        <v>0</v>
      </c>
      <c r="Y97" s="4">
        <f t="shared" si="65"/>
        <v>0</v>
      </c>
      <c r="Z97" s="4">
        <f t="shared" si="65"/>
        <v>0</v>
      </c>
      <c r="AA97" s="4">
        <f t="shared" si="65"/>
        <v>0</v>
      </c>
      <c r="AB97" s="4">
        <f t="shared" si="65"/>
        <v>0</v>
      </c>
      <c r="AC97" s="4">
        <f t="shared" si="65"/>
        <v>0</v>
      </c>
      <c r="AD97" s="4">
        <f t="shared" si="65"/>
        <v>0</v>
      </c>
      <c r="AE97" s="4" t="e">
        <f t="shared" si="65"/>
        <v>#VALUE!</v>
      </c>
      <c r="AF97" s="4" t="e">
        <f t="shared" si="65"/>
        <v>#VALUE!</v>
      </c>
      <c r="AG97" s="4" t="e">
        <f t="shared" si="65"/>
        <v>#VALUE!</v>
      </c>
      <c r="AH97" s="4">
        <f t="shared" si="65"/>
        <v>0</v>
      </c>
    </row>
    <row r="98" spans="1:34" ht="12" customHeight="1" x14ac:dyDescent="0.25">
      <c r="A98" s="73"/>
      <c r="B98" s="73" t="s">
        <v>101</v>
      </c>
      <c r="C98" s="73"/>
      <c r="D98" s="73"/>
      <c r="E98" s="73"/>
      <c r="F98" s="73"/>
      <c r="G98" s="73"/>
      <c r="H98" s="73"/>
      <c r="I98" s="73"/>
      <c r="J98" s="73" t="e">
        <f>GEOMEAN(J4:J81)</f>
        <v>#NUM!</v>
      </c>
      <c r="K98" s="73" t="e">
        <f>GEOMEAN(K4:K81)</f>
        <v>#NUM!</v>
      </c>
      <c r="L98" s="88"/>
      <c r="M98" s="88"/>
      <c r="N98" s="73"/>
      <c r="O98" s="73"/>
      <c r="P98" s="73"/>
      <c r="Q98" s="73"/>
      <c r="R98" s="73"/>
      <c r="S98" s="73" t="e">
        <f>GEOMEAN(S4:S81)</f>
        <v>#NUM!</v>
      </c>
      <c r="T98" s="73" t="e">
        <f>GEOMEAN(T4:T81)</f>
        <v>#NUM!</v>
      </c>
      <c r="U98" s="73" t="e">
        <f>GEOMEAN(U4:U81)</f>
        <v>#DIV/0!</v>
      </c>
      <c r="V98" s="73" t="e">
        <f>GEOMEAN(V4:V81)</f>
        <v>#DIV/0!</v>
      </c>
      <c r="W98" s="88"/>
      <c r="X98" s="4" t="e">
        <f>AVERAGE(X4:X81)</f>
        <v>#NUM!</v>
      </c>
      <c r="Y98" s="227" t="e">
        <f t="shared" ref="Y98:AG98" si="66">AVERAGE(Y4:Y81)</f>
        <v>#NUM!</v>
      </c>
      <c r="Z98" s="227">
        <f t="shared" si="66"/>
        <v>7.692307692307693E+306</v>
      </c>
      <c r="AA98" s="227" t="e">
        <f>AVERAGE(AA4:AA81)</f>
        <v>#NUM!</v>
      </c>
      <c r="AB98" s="227">
        <f t="shared" si="66"/>
        <v>7.692307692307693E+306</v>
      </c>
      <c r="AC98" s="227">
        <f t="shared" si="66"/>
        <v>7.692307692307693E+306</v>
      </c>
      <c r="AD98" s="265">
        <f>AVERAGE(AD4:AD81)</f>
        <v>-2.9937121023660548E-3</v>
      </c>
      <c r="AE98" s="4" t="e">
        <f t="shared" si="66"/>
        <v>#VALUE!</v>
      </c>
      <c r="AF98" s="4" t="e">
        <f t="shared" si="66"/>
        <v>#VALUE!</v>
      </c>
      <c r="AG98" s="4" t="e">
        <f t="shared" si="66"/>
        <v>#VALUE!</v>
      </c>
      <c r="AH98" s="4">
        <f>AVERAGE(AH4:AH81)</f>
        <v>3.5467250084887339E-2</v>
      </c>
    </row>
    <row r="99" spans="1:34" s="264" customFormat="1" ht="12.75" customHeight="1" x14ac:dyDescent="0.2">
      <c r="A99" s="264" t="s">
        <v>224</v>
      </c>
      <c r="B99" s="73" t="s">
        <v>222</v>
      </c>
      <c r="J99" s="264" t="e">
        <f>GEOMEAN(J82:J87)</f>
        <v>#NUM!</v>
      </c>
      <c r="K99" s="264" t="e">
        <f>GEOMEAN(K82:K87)</f>
        <v>#NUM!</v>
      </c>
      <c r="S99" s="73" t="e">
        <f>GEOMEAN(S82:S87)</f>
        <v>#NUM!</v>
      </c>
      <c r="T99" s="73" t="e">
        <f>GEOMEAN(T82:T87)</f>
        <v>#NUM!</v>
      </c>
      <c r="U99" s="73" t="e">
        <f>GEOMEAN(U82:U87)</f>
        <v>#DIV/0!</v>
      </c>
      <c r="V99" s="73" t="e">
        <f>GEOMEAN(V82:V87)</f>
        <v>#DIV/0!</v>
      </c>
      <c r="X99" s="263" t="e">
        <f t="shared" ref="X99:AG99" si="67">AVERAGE(X82:X87)</f>
        <v>#VALUE!</v>
      </c>
      <c r="Y99" s="263" t="e">
        <f t="shared" si="67"/>
        <v>#VALUE!</v>
      </c>
      <c r="Z99" s="263" t="e">
        <f t="shared" si="67"/>
        <v>#VALUE!</v>
      </c>
      <c r="AA99" s="263" t="e">
        <f t="shared" si="67"/>
        <v>#VALUE!</v>
      </c>
      <c r="AB99" s="263" t="e">
        <f t="shared" si="67"/>
        <v>#VALUE!</v>
      </c>
      <c r="AC99" s="263" t="e">
        <f t="shared" si="67"/>
        <v>#VALUE!</v>
      </c>
      <c r="AD99" s="263" t="e">
        <f t="shared" si="67"/>
        <v>#VALUE!</v>
      </c>
      <c r="AE99" s="263" t="e">
        <f t="shared" si="67"/>
        <v>#VALUE!</v>
      </c>
      <c r="AF99" s="263" t="e">
        <f t="shared" si="67"/>
        <v>#VALUE!</v>
      </c>
      <c r="AG99" s="263" t="e">
        <f t="shared" si="67"/>
        <v>#VALUE!</v>
      </c>
      <c r="AH99" s="263" t="e">
        <f>AVERAGE(AH82:AH87)</f>
        <v>#VALUE!</v>
      </c>
    </row>
    <row r="100" spans="1:34" x14ac:dyDescent="0.25">
      <c r="B100" s="73" t="s">
        <v>256</v>
      </c>
      <c r="J100" s="264" t="e">
        <f>GEOMEAN(J88:J93)</f>
        <v>#NUM!</v>
      </c>
      <c r="K100" s="264" t="e">
        <f>GEOMEAN(K88:K93)</f>
        <v>#NUM!</v>
      </c>
      <c r="S100" s="73" t="e">
        <f>GEOMEAN(S88:S93)</f>
        <v>#NUM!</v>
      </c>
      <c r="T100" s="73" t="e">
        <f>GEOMEAN(T88:T93)</f>
        <v>#NUM!</v>
      </c>
      <c r="U100" s="73" t="e">
        <f>GEOMEAN(U88:U93)</f>
        <v>#DIV/0!</v>
      </c>
      <c r="V100" s="73" t="e">
        <f>GEOMEAN(V88:V93)</f>
        <v>#DIV/0!</v>
      </c>
      <c r="W100" s="264"/>
      <c r="X100" s="263">
        <f>X88</f>
        <v>-2.7110981824463032E-3</v>
      </c>
      <c r="Y100" s="263">
        <f t="shared" ref="Y100:AH100" si="68">Y88</f>
        <v>-3.5947182671680622E-3</v>
      </c>
      <c r="Z100" s="263">
        <f t="shared" si="68"/>
        <v>-1.8268892833046557E-3</v>
      </c>
      <c r="AA100" s="263">
        <f t="shared" si="68"/>
        <v>-3.3649094854586448E-3</v>
      </c>
      <c r="AB100" s="263">
        <f t="shared" si="68"/>
        <v>-2.355922889482609E-3</v>
      </c>
      <c r="AC100" s="263">
        <f t="shared" si="68"/>
        <v>-1.9098064441916973E-3</v>
      </c>
      <c r="AD100" s="263">
        <f t="shared" si="68"/>
        <v>-2.7110981824463032E-3</v>
      </c>
      <c r="AE100" s="263" t="e">
        <f t="shared" si="68"/>
        <v>#VALUE!</v>
      </c>
      <c r="AF100" s="263" t="e">
        <f t="shared" si="68"/>
        <v>#VALUE!</v>
      </c>
      <c r="AG100" s="263" t="e">
        <f t="shared" si="68"/>
        <v>#VALUE!</v>
      </c>
      <c r="AH100" s="263">
        <f t="shared" si="68"/>
        <v>3.3532667048669772E-2</v>
      </c>
    </row>
  </sheetData>
  <mergeCells count="4">
    <mergeCell ref="A1:AH1"/>
    <mergeCell ref="D2:K2"/>
    <mergeCell ref="M2:T2"/>
    <mergeCell ref="X2:AG2"/>
  </mergeCells>
  <phoneticPr fontId="8" type="noConversion"/>
  <conditionalFormatting sqref="AD5:AD9 AD11:AD15 AD17:AD21 AD23:AD27 AD29:AD33 AD35:AD39 AD41:AD45 AD47:AD51 AD53:AD57 AD59:AD63 AD65:AD69 AD71:AD75 AD77:AD81">
    <cfRule type="cellIs" dxfId="227" priority="31" operator="greaterThan">
      <formula>0.03</formula>
    </cfRule>
    <cfRule type="cellIs" dxfId="226" priority="32" stopIfTrue="1" operator="lessThan">
      <formula>-0.03</formula>
    </cfRule>
  </conditionalFormatting>
  <conditionalFormatting sqref="AE11:AH15 AE17:AH21">
    <cfRule type="cellIs" dxfId="225" priority="29" operator="greaterThan">
      <formula>0.03</formula>
    </cfRule>
    <cfRule type="cellIs" dxfId="224" priority="30" stopIfTrue="1" operator="lessThan">
      <formula>-0.03</formula>
    </cfRule>
  </conditionalFormatting>
  <conditionalFormatting sqref="AE23:AH27 AE29:AH33">
    <cfRule type="cellIs" dxfId="223" priority="27" operator="greaterThan">
      <formula>0.03</formula>
    </cfRule>
    <cfRule type="cellIs" dxfId="222" priority="28" stopIfTrue="1" operator="lessThan">
      <formula>-0.03</formula>
    </cfRule>
  </conditionalFormatting>
  <conditionalFormatting sqref="AE35:AH39 AE41:AH45 AE47:AH51 AE53:AH57">
    <cfRule type="cellIs" dxfId="221" priority="25" operator="greaterThan">
      <formula>0.03</formula>
    </cfRule>
    <cfRule type="cellIs" dxfId="220" priority="26" stopIfTrue="1" operator="lessThan">
      <formula>-0.03</formula>
    </cfRule>
  </conditionalFormatting>
  <conditionalFormatting sqref="AE59:AH63 AE65:AH69 AE71:AH75 AE77:AH81">
    <cfRule type="cellIs" dxfId="219" priority="23" operator="greaterThan">
      <formula>0.03</formula>
    </cfRule>
    <cfRule type="cellIs" dxfId="218" priority="24" stopIfTrue="1" operator="lessThan">
      <formula>-0.03</formula>
    </cfRule>
  </conditionalFormatting>
  <conditionalFormatting sqref="AE5:AH9">
    <cfRule type="cellIs" dxfId="217" priority="33" operator="greaterThan">
      <formula>0.03</formula>
    </cfRule>
    <cfRule type="cellIs" dxfId="216" priority="34" stopIfTrue="1" operator="lessThan">
      <formula>-0.03</formula>
    </cfRule>
  </conditionalFormatting>
  <conditionalFormatting sqref="X11:AC15 X17:AC21">
    <cfRule type="cellIs" dxfId="215" priority="19" operator="greaterThan">
      <formula>0.03</formula>
    </cfRule>
    <cfRule type="cellIs" dxfId="214" priority="20" stopIfTrue="1" operator="lessThan">
      <formula>-0.03</formula>
    </cfRule>
  </conditionalFormatting>
  <conditionalFormatting sqref="X23:AC27 X29:AC33">
    <cfRule type="cellIs" dxfId="213" priority="17" operator="greaterThan">
      <formula>0.03</formula>
    </cfRule>
    <cfRule type="cellIs" dxfId="212" priority="18" stopIfTrue="1" operator="lessThan">
      <formula>-0.03</formula>
    </cfRule>
  </conditionalFormatting>
  <conditionalFormatting sqref="X35:AC39 X41:AC45 X47:AC51 X53:AC57">
    <cfRule type="cellIs" dxfId="211" priority="15" operator="greaterThan">
      <formula>0.03</formula>
    </cfRule>
    <cfRule type="cellIs" dxfId="210" priority="16" stopIfTrue="1" operator="lessThan">
      <formula>-0.03</formula>
    </cfRule>
  </conditionalFormatting>
  <conditionalFormatting sqref="X59:AC63 X65:AC69 X71:AC75 X77:AC81">
    <cfRule type="cellIs" dxfId="209" priority="13" operator="greaterThan">
      <formula>0.03</formula>
    </cfRule>
    <cfRule type="cellIs" dxfId="208" priority="14" stopIfTrue="1" operator="lessThan">
      <formula>-0.03</formula>
    </cfRule>
  </conditionalFormatting>
  <conditionalFormatting sqref="X5:AC9">
    <cfRule type="cellIs" dxfId="207" priority="21" operator="greaterThan">
      <formula>0.03</formula>
    </cfRule>
    <cfRule type="cellIs" dxfId="206" priority="22" stopIfTrue="1" operator="lessThan">
      <formula>-0.03</formula>
    </cfRule>
  </conditionalFormatting>
  <conditionalFormatting sqref="AD83:AD87">
    <cfRule type="cellIs" dxfId="205" priority="9" operator="greaterThan">
      <formula>0.03</formula>
    </cfRule>
    <cfRule type="cellIs" dxfId="204" priority="10" stopIfTrue="1" operator="lessThan">
      <formula>-0.03</formula>
    </cfRule>
  </conditionalFormatting>
  <conditionalFormatting sqref="AE83:AH87">
    <cfRule type="cellIs" dxfId="203" priority="11" operator="greaterThan">
      <formula>0.03</formula>
    </cfRule>
    <cfRule type="cellIs" dxfId="202" priority="12" stopIfTrue="1" operator="lessThan">
      <formula>-0.03</formula>
    </cfRule>
  </conditionalFormatting>
  <conditionalFormatting sqref="X83:AC87">
    <cfRule type="cellIs" dxfId="201" priority="7" operator="greaterThan">
      <formula>0.03</formula>
    </cfRule>
    <cfRule type="cellIs" dxfId="200" priority="8" stopIfTrue="1" operator="lessThan">
      <formula>-0.03</formula>
    </cfRule>
  </conditionalFormatting>
  <conditionalFormatting sqref="AD89:AD93">
    <cfRule type="cellIs" dxfId="199" priority="3" operator="greaterThan">
      <formula>0.03</formula>
    </cfRule>
    <cfRule type="cellIs" dxfId="198" priority="4" stopIfTrue="1" operator="lessThan">
      <formula>-0.03</formula>
    </cfRule>
  </conditionalFormatting>
  <conditionalFormatting sqref="AE89:AH93">
    <cfRule type="cellIs" dxfId="197" priority="5" operator="greaterThan">
      <formula>0.03</formula>
    </cfRule>
    <cfRule type="cellIs" dxfId="196" priority="6" stopIfTrue="1" operator="lessThan">
      <formula>-0.03</formula>
    </cfRule>
  </conditionalFormatting>
  <conditionalFormatting sqref="X89:AC93">
    <cfRule type="cellIs" dxfId="195" priority="1" operator="greaterThan">
      <formula>0.03</formula>
    </cfRule>
    <cfRule type="cellIs" dxfId="194" priority="2" stopIfTrue="1" operator="lessThan">
      <formula>-0.03</formula>
    </cfRule>
  </conditionalFormatting>
  <dataValidations count="1">
    <dataValidation type="list" allowBlank="1" showInputMessage="1" showErrorMessage="1" sqref="AR1" xr:uid="{00000000-0002-0000-0300-000000000000}">
      <formula1>$AU$3:$AU$7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X56"/>
  <sheetViews>
    <sheetView zoomScale="80" zoomScaleNormal="80" workbookViewId="0">
      <selection activeCell="L3" sqref="L3:M44"/>
    </sheetView>
  </sheetViews>
  <sheetFormatPr defaultColWidth="10.625" defaultRowHeight="16.5" x14ac:dyDescent="0.25"/>
  <cols>
    <col min="1" max="1" width="17.625" style="1" customWidth="1"/>
    <col min="2" max="2" width="7.625" style="1" customWidth="1"/>
    <col min="3" max="3" width="11" style="1" customWidth="1"/>
    <col min="4" max="4" width="8.125" style="1" customWidth="1"/>
    <col min="5" max="5" width="7" style="1" customWidth="1"/>
    <col min="6" max="8" width="6.625" style="1" customWidth="1"/>
    <col min="9" max="9" width="8.625" style="1" customWidth="1"/>
    <col min="10" max="10" width="7.625" style="1" customWidth="1"/>
    <col min="11" max="11" width="2.625" style="1" customWidth="1"/>
    <col min="12" max="13" width="9.625" style="1" customWidth="1"/>
    <col min="14" max="17" width="6.625" style="1" customWidth="1"/>
    <col min="18" max="19" width="8.625" style="1" customWidth="1"/>
    <col min="20" max="20" width="9.125" style="1" customWidth="1"/>
    <col min="21" max="22" width="7" style="1" customWidth="1"/>
    <col min="23" max="23" width="12.375" style="1" customWidth="1"/>
    <col min="24" max="24" width="11.125" style="1" customWidth="1"/>
    <col min="25" max="25" width="10" style="1" customWidth="1"/>
    <col min="26" max="26" width="10.875" style="1" customWidth="1"/>
    <col min="27" max="27" width="12.375" style="1" customWidth="1"/>
    <col min="28" max="28" width="10.125" style="1" customWidth="1"/>
    <col min="29" max="29" width="11.125" style="1" customWidth="1"/>
    <col min="30" max="33" width="8.625" style="1" customWidth="1"/>
    <col min="34" max="38" width="10.625" style="1"/>
    <col min="40" max="41" width="11.5" style="1" customWidth="1"/>
    <col min="42" max="16384" width="10.625" style="1"/>
  </cols>
  <sheetData>
    <row r="1" spans="1:50" ht="32.25" customHeight="1" thickBot="1" x14ac:dyDescent="0.3">
      <c r="C1" s="297" t="str">
        <f>"Reference: "&amp;Summary!O4</f>
        <v>Reference: Anchor (v0.6.1 VTM inner)</v>
      </c>
      <c r="D1" s="298"/>
      <c r="E1" s="298"/>
      <c r="F1" s="298"/>
      <c r="G1" s="298"/>
      <c r="H1" s="298"/>
      <c r="I1" s="298"/>
      <c r="J1" s="303"/>
      <c r="L1" s="297" t="str">
        <f>_xlfn.CONCAT("Test: ",Summary!O5)</f>
        <v>Test: Test</v>
      </c>
      <c r="M1" s="298"/>
      <c r="N1" s="298"/>
      <c r="O1" s="298"/>
      <c r="P1" s="298"/>
      <c r="Q1" s="298"/>
      <c r="R1" s="298"/>
      <c r="S1" s="299"/>
      <c r="T1" s="304"/>
      <c r="U1" s="305"/>
      <c r="V1" s="16"/>
      <c r="W1" s="306" t="s">
        <v>11</v>
      </c>
      <c r="X1" s="307"/>
      <c r="Y1" s="307"/>
      <c r="Z1" s="307"/>
      <c r="AA1" s="307"/>
      <c r="AB1" s="307"/>
      <c r="AC1" s="307"/>
      <c r="AD1" s="307"/>
      <c r="AE1" s="307"/>
      <c r="AF1" s="308"/>
      <c r="AG1" s="70" t="s">
        <v>49</v>
      </c>
      <c r="AN1" s="245" t="s">
        <v>214</v>
      </c>
      <c r="AP1" s="241" t="s">
        <v>216</v>
      </c>
      <c r="AQ1" s="242" t="s">
        <v>22</v>
      </c>
      <c r="AR1" s="240"/>
      <c r="AS1" s="240"/>
      <c r="AT1" s="240"/>
      <c r="AU1" s="240"/>
      <c r="AV1" s="240"/>
      <c r="AW1" s="240"/>
      <c r="AX1" s="240"/>
    </row>
    <row r="2" spans="1:50" ht="12" customHeight="1" thickBot="1" x14ac:dyDescent="0.3">
      <c r="A2" s="44" t="s">
        <v>106</v>
      </c>
      <c r="B2" s="44" t="s">
        <v>30</v>
      </c>
      <c r="C2" s="61" t="s">
        <v>39</v>
      </c>
      <c r="D2" s="48" t="s">
        <v>31</v>
      </c>
      <c r="E2" s="48" t="s">
        <v>0</v>
      </c>
      <c r="F2" s="48" t="s">
        <v>1</v>
      </c>
      <c r="G2" s="48" t="s">
        <v>2</v>
      </c>
      <c r="H2" s="48" t="s">
        <v>113</v>
      </c>
      <c r="I2" s="48" t="s">
        <v>220</v>
      </c>
      <c r="J2" s="51" t="s">
        <v>221</v>
      </c>
      <c r="K2" s="53"/>
      <c r="L2" s="61" t="s">
        <v>39</v>
      </c>
      <c r="M2" s="48" t="s">
        <v>31</v>
      </c>
      <c r="N2" s="48" t="s">
        <v>0</v>
      </c>
      <c r="O2" s="48" t="s">
        <v>1</v>
      </c>
      <c r="P2" s="48" t="s">
        <v>2</v>
      </c>
      <c r="Q2" s="48" t="s">
        <v>113</v>
      </c>
      <c r="R2" s="48" t="s">
        <v>220</v>
      </c>
      <c r="S2" s="51" t="s">
        <v>221</v>
      </c>
      <c r="T2" s="61" t="s">
        <v>3</v>
      </c>
      <c r="U2" s="51" t="s">
        <v>4</v>
      </c>
      <c r="V2" s="60"/>
      <c r="W2" s="54" t="s">
        <v>190</v>
      </c>
      <c r="X2" s="54" t="s">
        <v>191</v>
      </c>
      <c r="Y2" s="54" t="s">
        <v>192</v>
      </c>
      <c r="Z2" s="54" t="s">
        <v>193</v>
      </c>
      <c r="AA2" s="54" t="s">
        <v>194</v>
      </c>
      <c r="AB2" s="54" t="s">
        <v>195</v>
      </c>
      <c r="AC2" s="54" t="s">
        <v>43</v>
      </c>
      <c r="AD2" s="54" t="s">
        <v>32</v>
      </c>
      <c r="AE2" s="54" t="s">
        <v>33</v>
      </c>
      <c r="AF2" s="57" t="s">
        <v>34</v>
      </c>
      <c r="AG2" s="64"/>
      <c r="AO2" s="242" t="s">
        <v>217</v>
      </c>
      <c r="AP2" s="242"/>
      <c r="AQ2" s="242" t="s">
        <v>218</v>
      </c>
      <c r="AR2" s="240"/>
      <c r="AS2" s="240"/>
      <c r="AT2" s="240"/>
      <c r="AU2" s="240"/>
      <c r="AV2" s="240"/>
      <c r="AW2" s="240"/>
      <c r="AX2" s="240"/>
    </row>
    <row r="3" spans="1:50" ht="12" customHeight="1" x14ac:dyDescent="0.25">
      <c r="A3" s="141" t="s">
        <v>229</v>
      </c>
      <c r="B3" s="106" t="s">
        <v>250</v>
      </c>
      <c r="C3" s="267">
        <v>404.0872</v>
      </c>
      <c r="D3" s="267">
        <v>50.475672699999997</v>
      </c>
      <c r="E3" s="83"/>
      <c r="F3" s="83"/>
      <c r="G3" s="83"/>
      <c r="H3" s="143"/>
      <c r="I3" s="83"/>
      <c r="J3" s="83"/>
      <c r="K3" s="52"/>
      <c r="L3" s="267">
        <v>404.0872</v>
      </c>
      <c r="M3" s="267">
        <v>50.774667000000001</v>
      </c>
      <c r="N3" s="83"/>
      <c r="O3" s="83"/>
      <c r="P3" s="83"/>
      <c r="Q3" s="222"/>
      <c r="R3" s="83"/>
      <c r="S3" s="83"/>
      <c r="T3" s="37" t="e">
        <f t="shared" ref="T3:U26" si="0">R3/I3</f>
        <v>#DIV/0!</v>
      </c>
      <c r="U3" s="38" t="e">
        <f t="shared" si="0"/>
        <v>#DIV/0!</v>
      </c>
      <c r="V3" s="55"/>
      <c r="W3" s="14">
        <f>bdRateExtend($C3:$C8,D3:D8,$L3:$L8,$M3:$M8)</f>
        <v>-2.3881047821535772E-2</v>
      </c>
      <c r="X3" s="14">
        <f>bdRateExtend($C3:$C7,$D3:$D7,$L3:$L7,$M3:$M7)</f>
        <v>-2.6180979136621985E-2</v>
      </c>
      <c r="Y3" s="14">
        <f>bdRateExtend($C4:$C8,$D4:$D8,$L4:$L8,$M4:$M8)</f>
        <v>-2.0857023078893255E-2</v>
      </c>
      <c r="Z3" s="14">
        <f>bdRateExtend($C3:$C6,$D3:$D6,$L3:$L6,$M3:$M6)</f>
        <v>-5.0717149863368727E-2</v>
      </c>
      <c r="AA3" s="14">
        <f>bdRateExtend($C4:$C7,$D4:$D7,$L4:$L7,$M4:$M7)</f>
        <v>-2.1318199100998969E-2</v>
      </c>
      <c r="AB3" s="14">
        <f>bdRateExtend($C5:$C8,$D5:$D8,$L5:$L8,$M5:$M8)</f>
        <v>-1.3626133646832961E-2</v>
      </c>
      <c r="AC3" s="145" cm="1">
        <f t="array" ref="AC3">bdRatePareto(AO3:AO8,AP3:AP8,AQ3:AQ8,AR3:AR8)</f>
        <v>-2.3881047821535772E-2</v>
      </c>
      <c r="AD3" s="14" t="e">
        <f>bdRateExtend($C3:$C8,E3:E8,$L3:$L8,N3:N8)</f>
        <v>#VALUE!</v>
      </c>
      <c r="AE3" s="14" t="e">
        <f>bdRateExtend($C3:$C8,F3:F8,$L3:$L8,O3:O8)</f>
        <v>#VALUE!</v>
      </c>
      <c r="AF3" s="15" t="e">
        <f>bdRateExtend($C3:$C8,G3:G8,$L3:$L8,P3:P8)</f>
        <v>#VALUE!</v>
      </c>
      <c r="AG3" s="72">
        <f>bdPSNRExtend($C3:$C8,$D3:$D8,$L3:$L8,$M3:$M8)</f>
        <v>0.34327218760151434</v>
      </c>
      <c r="AN3" s="240" t="s">
        <v>213</v>
      </c>
      <c r="AO3" s="240" cm="1">
        <f t="array" ref="AO3">pareto($C3:$C8,$D3:$D8,1,"rate",$AQ$1,$AN4,$AN6)</f>
        <v>404.0872</v>
      </c>
      <c r="AP3" s="240" cm="1">
        <f t="array" ref="AP3">pareto($C3:$C8,$D3:$D8,1,"dist",$AQ$1,$AN4,$AN6)</f>
        <v>50.475672699999997</v>
      </c>
      <c r="AQ3" s="240" cm="1">
        <f t="array" ref="AQ3">pareto($L3:$L8,$M3:$M8,1,"rate",$AQ$1,$AN4,$AN6)</f>
        <v>404.0872</v>
      </c>
      <c r="AR3" s="240" cm="1">
        <f t="array" ref="AR3">pareto($L3:$L8,$M3:$M8,1,"dist",$AQ$1,$AN4,$AN6)</f>
        <v>50.774667000000001</v>
      </c>
      <c r="AS3" s="240"/>
      <c r="AU3" s="243" t="s">
        <v>19</v>
      </c>
      <c r="AW3" s="240"/>
      <c r="AX3" s="240"/>
    </row>
    <row r="4" spans="1:50" ht="12" customHeight="1" x14ac:dyDescent="0.25">
      <c r="A4" s="58"/>
      <c r="B4" s="107" t="s">
        <v>251</v>
      </c>
      <c r="C4" s="267">
        <v>290.18959999999998</v>
      </c>
      <c r="D4" s="267">
        <v>48.409894000000001</v>
      </c>
      <c r="E4" s="86"/>
      <c r="F4" s="86"/>
      <c r="G4" s="86"/>
      <c r="H4" s="143"/>
      <c r="I4" s="86"/>
      <c r="J4" s="86"/>
      <c r="K4" s="52"/>
      <c r="L4" s="267">
        <v>290.18959999999998</v>
      </c>
      <c r="M4" s="267">
        <v>48.926338700000002</v>
      </c>
      <c r="N4" s="86"/>
      <c r="O4" s="86"/>
      <c r="P4" s="86"/>
      <c r="Q4" s="222"/>
      <c r="R4" s="86"/>
      <c r="S4" s="86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0">
        <v>48.5</v>
      </c>
      <c r="AO4" s="240" cm="1">
        <f t="array" ref="AO4">pareto($C3:$C8,$D3:$D8,2,"rate",$AQ$1,$AN4,$AN6)</f>
        <v>290.18959999999998</v>
      </c>
      <c r="AP4" s="240" cm="1">
        <f t="array" ref="AP4">pareto($C3:$C8,$D3:$D8,2,"dist",$AQ$1,$AN4,$AN6)</f>
        <v>48.409894000000001</v>
      </c>
      <c r="AQ4" s="240" cm="1">
        <f t="array" ref="AQ4">pareto($L3:$L8,$M3:$M8,2,"rate",$AQ$1,$AN4,$AN6)</f>
        <v>290.18959999999998</v>
      </c>
      <c r="AR4" s="240" cm="1">
        <f t="array" ref="AR4">pareto($L3:$L8,$M3:$M8,2,"dist",$AQ$1,$AN4,$AN6)</f>
        <v>48.926338700000002</v>
      </c>
      <c r="AS4" s="240"/>
      <c r="AU4" s="243" t="s">
        <v>20</v>
      </c>
      <c r="AW4" s="240"/>
      <c r="AX4" s="240"/>
    </row>
    <row r="5" spans="1:50" ht="12" customHeight="1" x14ac:dyDescent="0.25">
      <c r="A5" s="135"/>
      <c r="B5" s="107" t="s">
        <v>252</v>
      </c>
      <c r="C5" s="267">
        <v>210.81039999999999</v>
      </c>
      <c r="D5" s="267">
        <v>44.985050299999997</v>
      </c>
      <c r="E5" s="86"/>
      <c r="F5" s="86"/>
      <c r="G5" s="86"/>
      <c r="H5" s="143"/>
      <c r="I5" s="86"/>
      <c r="J5" s="86"/>
      <c r="K5" s="52"/>
      <c r="L5" s="267">
        <v>210.81039999999999</v>
      </c>
      <c r="M5" s="267">
        <v>45.6917641</v>
      </c>
      <c r="N5" s="86"/>
      <c r="O5" s="86"/>
      <c r="P5" s="86"/>
      <c r="Q5" s="222"/>
      <c r="R5" s="86"/>
      <c r="S5" s="86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0" t="s">
        <v>44</v>
      </c>
      <c r="AO5" s="240" cm="1">
        <f t="array" ref="AO5">pareto($C3:$C8,$D3:$D8,3,"rate",$AQ$1,$AN4,$AN6)</f>
        <v>210.81039999999999</v>
      </c>
      <c r="AP5" s="240" cm="1">
        <f t="array" ref="AP5">pareto($C3:$C8,$D3:$D8,3,"dist",$AQ$1,$AN4,$AN6)</f>
        <v>44.985050299999997</v>
      </c>
      <c r="AQ5" s="240" cm="1">
        <f t="array" ref="AQ5">pareto($L3:$L8,$M3:$M8,3,"rate",$AQ$1,$AN4,$AN6)</f>
        <v>210.81039999999999</v>
      </c>
      <c r="AR5" s="240" cm="1">
        <f t="array" ref="AR5">pareto($L3:$L8,$M3:$M8,3,"dist",$AQ$1,$AN4,$AN6)</f>
        <v>45.6917641</v>
      </c>
      <c r="AS5" s="240"/>
      <c r="AU5" s="244" t="s">
        <v>21</v>
      </c>
      <c r="AW5" s="240"/>
      <c r="AX5" s="240"/>
    </row>
    <row r="6" spans="1:50" ht="12" customHeight="1" x14ac:dyDescent="0.25">
      <c r="A6" s="135"/>
      <c r="B6" s="107" t="s">
        <v>253</v>
      </c>
      <c r="C6" s="267">
        <v>130.3792</v>
      </c>
      <c r="D6" s="267">
        <v>39.983691200000003</v>
      </c>
      <c r="E6" s="86"/>
      <c r="F6" s="86"/>
      <c r="G6" s="86"/>
      <c r="H6" s="143"/>
      <c r="I6" s="86"/>
      <c r="J6" s="86"/>
      <c r="K6" s="52"/>
      <c r="L6" s="267">
        <v>130.3792</v>
      </c>
      <c r="M6" s="267">
        <v>39.9565099</v>
      </c>
      <c r="N6" s="86"/>
      <c r="O6" s="86"/>
      <c r="P6" s="86"/>
      <c r="Q6" s="222"/>
      <c r="R6" s="86"/>
      <c r="S6" s="86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0">
        <v>25</v>
      </c>
      <c r="AO6" s="240" cm="1">
        <f t="array" ref="AO6">pareto($C3:$C8,$D3:$D8,4,"rate",$AQ$1,$AN4,$AN6)</f>
        <v>130.3792</v>
      </c>
      <c r="AP6" s="240" cm="1">
        <f t="array" ref="AP6">pareto($C3:$C8,$D3:$D8,4,"dist",$AQ$1,$AN4,$AN6)</f>
        <v>39.983691200000003</v>
      </c>
      <c r="AQ6" s="240" cm="1">
        <f t="array" ref="AQ6">pareto($L3:$L8,$M3:$M8,4,"rate",$AQ$1,$AN4,$AN6)</f>
        <v>130.3792</v>
      </c>
      <c r="AR6" s="240" cm="1">
        <f t="array" ref="AR6">pareto($L3:$L8,$M3:$M8,4,"dist",$AQ$1,$AN4,$AN6)</f>
        <v>39.9565099</v>
      </c>
      <c r="AS6" s="240"/>
      <c r="AU6" s="244" t="s">
        <v>22</v>
      </c>
      <c r="AW6" s="240"/>
      <c r="AX6" s="240"/>
    </row>
    <row r="7" spans="1:50" ht="12" customHeight="1" x14ac:dyDescent="0.25">
      <c r="A7" s="58"/>
      <c r="B7" s="107" t="s">
        <v>254</v>
      </c>
      <c r="C7" s="267">
        <v>80.284800000000004</v>
      </c>
      <c r="D7" s="267">
        <v>32.237020899999997</v>
      </c>
      <c r="E7" s="86"/>
      <c r="F7" s="86"/>
      <c r="G7" s="86"/>
      <c r="H7" s="143"/>
      <c r="I7" s="86"/>
      <c r="J7" s="86"/>
      <c r="K7" s="52"/>
      <c r="L7" s="267">
        <v>80.284800000000004</v>
      </c>
      <c r="M7" s="267">
        <v>32.508833899999999</v>
      </c>
      <c r="N7" s="86"/>
      <c r="O7" s="86"/>
      <c r="P7" s="86"/>
      <c r="Q7" s="222"/>
      <c r="R7" s="86"/>
      <c r="S7" s="86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0"/>
      <c r="AO7" s="240" cm="1">
        <f t="array" ref="AO7">pareto($C3:$C8,$D3:$D8,5,"rate",$AQ$1,$AN4,$AN6)</f>
        <v>80.284800000000004</v>
      </c>
      <c r="AP7" s="240" cm="1">
        <f t="array" ref="AP7">pareto($C3:$C8,$D3:$D8,5,"dist",$AQ$1,$AN4,$AN6)</f>
        <v>32.237020899999997</v>
      </c>
      <c r="AQ7" s="240" cm="1">
        <f t="array" ref="AQ7">pareto($L3:$L8,$M3:$M8,5,"rate",$AQ$1,$AN4,$AN6)</f>
        <v>80.284800000000004</v>
      </c>
      <c r="AR7" s="240" cm="1">
        <f t="array" ref="AR7">pareto($L3:$L8,$M3:$M8,5,"dist",$AQ$1,$AN4,$AN6)</f>
        <v>32.508833899999999</v>
      </c>
      <c r="AS7" s="240"/>
      <c r="AU7" s="244" t="s">
        <v>45</v>
      </c>
      <c r="AW7" s="240"/>
      <c r="AX7" s="240"/>
    </row>
    <row r="8" spans="1:50" ht="12" customHeight="1" thickBot="1" x14ac:dyDescent="0.3">
      <c r="A8" s="45"/>
      <c r="B8" s="108" t="s">
        <v>255</v>
      </c>
      <c r="C8" s="267">
        <v>50.585599999999999</v>
      </c>
      <c r="D8" s="267">
        <v>20.793693900000001</v>
      </c>
      <c r="E8" s="94"/>
      <c r="F8" s="94"/>
      <c r="G8" s="94"/>
      <c r="H8" s="144"/>
      <c r="I8" s="94"/>
      <c r="J8" s="94"/>
      <c r="K8" s="55"/>
      <c r="L8" s="267">
        <v>50.585599999999999</v>
      </c>
      <c r="M8" s="267">
        <v>21.228594699999999</v>
      </c>
      <c r="N8" s="94"/>
      <c r="O8" s="94"/>
      <c r="P8" s="94"/>
      <c r="Q8" s="223"/>
      <c r="R8" s="94"/>
      <c r="S8" s="94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0"/>
      <c r="AO8" s="240" cm="1">
        <f t="array" ref="AO8">pareto($C3:$C8,$D3:$D8,6,"rate",$AQ$1,$AN4,$AN6)</f>
        <v>50.585599999999999</v>
      </c>
      <c r="AP8" s="240" cm="1">
        <f t="array" ref="AP8">pareto($C3:$C8,$D3:$D8,6,"dist",$AQ$1,$AN4,$AN6)</f>
        <v>20.793693900000001</v>
      </c>
      <c r="AQ8" s="240" cm="1">
        <f t="array" ref="AQ8">pareto($L3:$L8,$M3:$M8,6,"rate",$AQ$1,$AN4,$AN6)</f>
        <v>50.585599999999999</v>
      </c>
      <c r="AR8" s="240" cm="1">
        <f t="array" ref="AR8">pareto($L3:$L8,$M3:$M8,6,"dist",$AQ$1,$AN4,$AN6)</f>
        <v>21.228594699999999</v>
      </c>
      <c r="AS8" s="240"/>
      <c r="AT8" s="240"/>
      <c r="AU8" s="240"/>
      <c r="AV8" s="240"/>
      <c r="AW8" s="240"/>
      <c r="AX8" s="240"/>
    </row>
    <row r="9" spans="1:50" ht="12" customHeight="1" x14ac:dyDescent="0.25">
      <c r="A9" s="141" t="s">
        <v>230</v>
      </c>
      <c r="B9" s="106" t="s">
        <v>250</v>
      </c>
      <c r="C9" s="267">
        <v>443.19839999999999</v>
      </c>
      <c r="D9" s="267">
        <v>51.286524200000002</v>
      </c>
      <c r="E9" s="83"/>
      <c r="F9" s="83"/>
      <c r="G9" s="83"/>
      <c r="H9" s="83"/>
      <c r="I9" s="83"/>
      <c r="J9" s="83"/>
      <c r="K9" s="110"/>
      <c r="L9" s="267">
        <v>443.19839999999999</v>
      </c>
      <c r="M9" s="267">
        <v>51.460968200000003</v>
      </c>
      <c r="N9" s="83"/>
      <c r="O9" s="83"/>
      <c r="P9" s="83"/>
      <c r="Q9" s="222"/>
      <c r="R9" s="83"/>
      <c r="S9" s="83"/>
      <c r="T9" s="37" t="e">
        <f t="shared" ref="T9:T14" si="1">R9/I9</f>
        <v>#DIV/0!</v>
      </c>
      <c r="U9" s="38" t="e">
        <f t="shared" ref="U9:U14" si="2">S9/J9</f>
        <v>#DIV/0!</v>
      </c>
      <c r="V9" s="55"/>
      <c r="W9" s="14">
        <f>bdRateExtend($C9:$C14,D9:D14,$L9:$L14,$M9:$M14)</f>
        <v>1E+308</v>
      </c>
      <c r="X9" s="14">
        <f>bdRateExtend($C9:$C13,$D9:$D13,$L9:$L13,$M9:$M13)</f>
        <v>1E+308</v>
      </c>
      <c r="Y9" s="14">
        <f>bdRateExtend($C10:$C14,$D10:$D14,$L10:$L14,$M10:$M14)</f>
        <v>7.8864734873240749E-4</v>
      </c>
      <c r="Z9" s="14">
        <f>bdRateExtend($C9:$C12,$D9:$D12,$L9:$L12,$M9:$M12)</f>
        <v>1E+308</v>
      </c>
      <c r="AA9" s="14">
        <f>bdRateExtend($C10:$C13,$D10:$D13,$L10:$L13,$M10:$M13)</f>
        <v>-6.3634365282746463E-3</v>
      </c>
      <c r="AB9" s="14">
        <f>bdRateExtend($C11:$C14,$D11:$D14,$L11:$L14,$M11:$M14)</f>
        <v>3.4051379334210097E-4</v>
      </c>
      <c r="AC9" s="145" cm="1">
        <f t="array" ref="AC9">bdRatePareto(AO9:AO14,AP9:AP14,AQ9:AQ14,AR9:AR14)</f>
        <v>7.8864734873240749E-4</v>
      </c>
      <c r="AD9" s="14" t="e">
        <f>bdRateExtend($C9:$C14,E9:E14,$L9:$L14,N9:N14)</f>
        <v>#VALUE!</v>
      </c>
      <c r="AE9" s="14" t="e">
        <f>bdRateExtend($C9:$C14,F9:F14,$L9:$L14,O9:O14)</f>
        <v>#VALUE!</v>
      </c>
      <c r="AF9" s="15" t="e">
        <f>bdRateExtend($C9:$C14,G9:G14,$L9:$L14,P9:P14)</f>
        <v>#VALUE!</v>
      </c>
      <c r="AG9" s="72">
        <f>bdPSNRExtend($C9:$C14,$D9:$D14,$L9:$L14,$M9:$M14)</f>
        <v>-7.4365618910141179E-2</v>
      </c>
      <c r="AN9" s="240" t="s">
        <v>213</v>
      </c>
      <c r="AO9" s="240" cm="1">
        <f t="array" ref="AO9">pareto($C9:$C14,$D9:$D14,1,"rate",$AQ$1,$AN10,$AN12)</f>
        <v>271.84480000000002</v>
      </c>
      <c r="AP9" s="240" cm="1">
        <f t="array" ref="AP9">pareto($C9:$C14,$D9:$D14,1,"dist",$AQ$1,$AN10,$AN12)</f>
        <v>55.756650700000002</v>
      </c>
      <c r="AQ9" s="240" cm="1">
        <f t="array" ref="AQ9">pareto($L9:$L14,$M9:$M14,1,"rate",$AQ$1,$AN10,$AN12)</f>
        <v>271.84480000000002</v>
      </c>
      <c r="AR9" s="240" cm="1">
        <f t="array" ref="AR9">pareto($L9:$L14,$M9:$M14,1,"dist",$AQ$1,$AN10,$AN12)</f>
        <v>55.342346300000003</v>
      </c>
      <c r="AS9" s="240"/>
      <c r="AT9" s="240"/>
      <c r="AU9" s="240"/>
      <c r="AV9" s="240"/>
      <c r="AW9" s="240"/>
      <c r="AX9" s="240"/>
    </row>
    <row r="10" spans="1:50" ht="12" customHeight="1" x14ac:dyDescent="0.25">
      <c r="A10" s="58"/>
      <c r="B10" s="107" t="s">
        <v>251</v>
      </c>
      <c r="C10" s="267">
        <v>271.84480000000002</v>
      </c>
      <c r="D10" s="267">
        <v>55.756650700000002</v>
      </c>
      <c r="E10" s="86"/>
      <c r="F10" s="86"/>
      <c r="G10" s="86"/>
      <c r="H10" s="86"/>
      <c r="I10" s="86"/>
      <c r="J10" s="86"/>
      <c r="K10" s="110"/>
      <c r="L10" s="267">
        <v>271.84480000000002</v>
      </c>
      <c r="M10" s="267">
        <v>55.342346300000003</v>
      </c>
      <c r="N10" s="86"/>
      <c r="O10" s="86"/>
      <c r="P10" s="86"/>
      <c r="Q10" s="222"/>
      <c r="R10" s="86"/>
      <c r="S10" s="86"/>
      <c r="T10" s="37" t="e">
        <f t="shared" si="1"/>
        <v>#DIV/0!</v>
      </c>
      <c r="U10" s="38" t="e">
        <f t="shared" si="2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0">
        <v>55.9</v>
      </c>
      <c r="AO10" s="240" cm="1">
        <f t="array" ref="AO10">pareto($C9:$C14,$D9:$D14,2,"rate",$AQ$1,$AN10,$AN12)</f>
        <v>168.29920000000001</v>
      </c>
      <c r="AP10" s="240" cm="1">
        <f t="array" ref="AP10">pareto($C9:$C14,$D9:$D14,2,"dist",$AQ$1,$AN10,$AN12)</f>
        <v>53.445268200000001</v>
      </c>
      <c r="AQ10" s="240" cm="1">
        <f t="array" ref="AQ10">pareto($L9:$L14,$M9:$M14,2,"rate",$AQ$1,$AN10,$AN12)</f>
        <v>168.29920000000001</v>
      </c>
      <c r="AR10" s="240" cm="1">
        <f t="array" ref="AR10">pareto($L9:$L14,$M9:$M14,2,"dist",$AQ$1,$AN10,$AN12)</f>
        <v>53.532490199999998</v>
      </c>
      <c r="AS10" s="240"/>
      <c r="AT10" s="240"/>
      <c r="AU10" s="240"/>
      <c r="AV10" s="240"/>
      <c r="AW10" s="240"/>
      <c r="AX10" s="240"/>
    </row>
    <row r="11" spans="1:50" ht="12" customHeight="1" x14ac:dyDescent="0.25">
      <c r="A11" s="135"/>
      <c r="B11" s="107" t="s">
        <v>252</v>
      </c>
      <c r="C11" s="267">
        <v>168.29920000000001</v>
      </c>
      <c r="D11" s="267">
        <v>53.445268200000001</v>
      </c>
      <c r="E11" s="86"/>
      <c r="F11" s="86"/>
      <c r="G11" s="86"/>
      <c r="H11" s="86"/>
      <c r="I11" s="86"/>
      <c r="J11" s="86"/>
      <c r="K11" s="110"/>
      <c r="L11" s="267">
        <v>168.29920000000001</v>
      </c>
      <c r="M11" s="267">
        <v>53.532490199999998</v>
      </c>
      <c r="N11" s="86"/>
      <c r="O11" s="86"/>
      <c r="P11" s="86"/>
      <c r="Q11" s="222"/>
      <c r="R11" s="86"/>
      <c r="S11" s="86"/>
      <c r="T11" s="37" t="e">
        <f t="shared" si="1"/>
        <v>#DIV/0!</v>
      </c>
      <c r="U11" s="38" t="e">
        <f t="shared" si="2"/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0" t="s">
        <v>44</v>
      </c>
      <c r="AO11" s="240" cm="1">
        <f t="array" ref="AO11">pareto($C9:$C14,$D9:$D14,3,"rate",$AQ$1,$AN10,$AN12)</f>
        <v>104.942399999999</v>
      </c>
      <c r="AP11" s="240" cm="1">
        <f t="array" ref="AP11">pareto($C9:$C14,$D9:$D14,3,"dist",$AQ$1,$AN10,$AN12)</f>
        <v>53.2708242</v>
      </c>
      <c r="AQ11" s="240" cm="1">
        <f t="array" ref="AQ11">pareto($L9:$L14,$M9:$M14,3,"rate",$AQ$1,$AN10,$AN12)</f>
        <v>104.942399999999</v>
      </c>
      <c r="AR11" s="240" cm="1">
        <f t="array" ref="AR11">pareto($L9:$L14,$M9:$M14,3,"dist",$AQ$1,$AN10,$AN12)</f>
        <v>53.379851700000003</v>
      </c>
      <c r="AS11" s="240"/>
      <c r="AT11" s="240"/>
      <c r="AU11" s="240"/>
      <c r="AV11" s="240"/>
      <c r="AW11" s="240"/>
      <c r="AX11" s="240"/>
    </row>
    <row r="12" spans="1:50" ht="12" customHeight="1" x14ac:dyDescent="0.25">
      <c r="A12" s="135"/>
      <c r="B12" s="107" t="s">
        <v>253</v>
      </c>
      <c r="C12" s="267">
        <v>104.942399999999</v>
      </c>
      <c r="D12" s="267">
        <v>53.2708242</v>
      </c>
      <c r="E12" s="86"/>
      <c r="F12" s="86"/>
      <c r="G12" s="86"/>
      <c r="H12" s="86"/>
      <c r="I12" s="86"/>
      <c r="J12" s="86"/>
      <c r="K12" s="110"/>
      <c r="L12" s="267">
        <v>104.942399999999</v>
      </c>
      <c r="M12" s="267">
        <v>53.379851700000003</v>
      </c>
      <c r="N12" s="86"/>
      <c r="O12" s="86"/>
      <c r="P12" s="86"/>
      <c r="Q12" s="222"/>
      <c r="R12" s="86"/>
      <c r="S12" s="86"/>
      <c r="T12" s="37" t="e">
        <f t="shared" si="1"/>
        <v>#DIV/0!</v>
      </c>
      <c r="U12" s="38" t="e">
        <f t="shared" si="2"/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0">
        <v>25</v>
      </c>
      <c r="AO12" s="240" cm="1">
        <f t="array" ref="AO12">pareto($C9:$C14,$D9:$D14,4,"rate",$AQ$1,$AN10,$AN12)</f>
        <v>49.144799999999996</v>
      </c>
      <c r="AP12" s="240" cm="1">
        <f t="array" ref="AP12">pareto($C9:$C14,$D9:$D14,4,"dist",$AQ$1,$AN10,$AN12)</f>
        <v>45.115569100000002</v>
      </c>
      <c r="AQ12" s="240" cm="1">
        <f t="array" ref="AQ12">pareto($L9:$L14,$M9:$M14,4,"rate",$AQ$1,$AN10,$AN12)</f>
        <v>49.144799999999996</v>
      </c>
      <c r="AR12" s="240" cm="1">
        <f t="array" ref="AR12">pareto($L9:$L14,$M9:$M14,4,"dist",$AQ$1,$AN10,$AN12)</f>
        <v>44.941125200000002</v>
      </c>
      <c r="AS12" s="240"/>
      <c r="AT12" s="240"/>
      <c r="AU12" s="240"/>
      <c r="AV12" s="240"/>
      <c r="AW12" s="240"/>
      <c r="AX12" s="240"/>
    </row>
    <row r="13" spans="1:50" ht="12" customHeight="1" x14ac:dyDescent="0.25">
      <c r="A13" s="58"/>
      <c r="B13" s="107" t="s">
        <v>254</v>
      </c>
      <c r="C13" s="267">
        <v>49.144799999999996</v>
      </c>
      <c r="D13" s="267">
        <v>45.115569100000002</v>
      </c>
      <c r="E13" s="86"/>
      <c r="F13" s="86"/>
      <c r="G13" s="86"/>
      <c r="H13" s="86"/>
      <c r="I13" s="86"/>
      <c r="J13" s="86"/>
      <c r="K13" s="110"/>
      <c r="L13" s="267">
        <v>49.144799999999996</v>
      </c>
      <c r="M13" s="267">
        <v>44.941125200000002</v>
      </c>
      <c r="N13" s="86"/>
      <c r="O13" s="86"/>
      <c r="P13" s="86"/>
      <c r="Q13" s="222"/>
      <c r="R13" s="86"/>
      <c r="S13" s="86"/>
      <c r="T13" s="37" t="e">
        <f t="shared" si="1"/>
        <v>#DIV/0!</v>
      </c>
      <c r="U13" s="38" t="e">
        <f t="shared" si="2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0"/>
      <c r="AO13" s="240" cm="1">
        <f t="array" ref="AO13">pareto($C9:$C14,$D9:$D14,5,"rate",$AQ$1,$AN10,$AN12)</f>
        <v>36.231200000000001</v>
      </c>
      <c r="AP13" s="240" cm="1">
        <f t="array" ref="AP13">pareto($C9:$C14,$D9:$D14,5,"dist",$AQ$1,$AN10,$AN12)</f>
        <v>36.131705199999999</v>
      </c>
      <c r="AQ13" s="240" cm="1">
        <f t="array" ref="AQ13">pareto($L9:$L14,$M9:$M14,5,"rate",$AQ$1,$AN10,$AN12)</f>
        <v>36.231200000000001</v>
      </c>
      <c r="AR13" s="240" cm="1">
        <f t="array" ref="AR13">pareto($L9:$L14,$M9:$M14,5,"dist",$AQ$1,$AN10,$AN12)</f>
        <v>36.131705199999999</v>
      </c>
      <c r="AS13" s="240"/>
      <c r="AT13" s="240"/>
      <c r="AU13" s="240"/>
      <c r="AV13" s="240"/>
      <c r="AW13" s="240"/>
      <c r="AX13" s="240"/>
    </row>
    <row r="14" spans="1:50" ht="12" customHeight="1" thickBot="1" x14ac:dyDescent="0.3">
      <c r="A14" s="45"/>
      <c r="B14" s="108" t="s">
        <v>255</v>
      </c>
      <c r="C14" s="267">
        <v>36.231200000000001</v>
      </c>
      <c r="D14" s="267">
        <v>36.131705199999999</v>
      </c>
      <c r="E14" s="94"/>
      <c r="F14" s="94"/>
      <c r="G14" s="94"/>
      <c r="H14" s="94"/>
      <c r="I14" s="94"/>
      <c r="J14" s="94"/>
      <c r="K14" s="110"/>
      <c r="L14" s="267">
        <v>36.231200000000001</v>
      </c>
      <c r="M14" s="267">
        <v>36.131705199999999</v>
      </c>
      <c r="N14" s="94"/>
      <c r="O14" s="94"/>
      <c r="P14" s="94"/>
      <c r="Q14" s="223"/>
      <c r="R14" s="94"/>
      <c r="S14" s="94"/>
      <c r="T14" s="3" t="e">
        <f t="shared" si="1"/>
        <v>#DIV/0!</v>
      </c>
      <c r="U14" s="39" t="e">
        <f t="shared" si="2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0"/>
      <c r="AO14" s="240" t="e" cm="1">
        <f t="array" ref="AO14">pareto($C9:$C14,$D9:$D14,6,"rate",$AQ$1,$AN10,$AN12)</f>
        <v>#N/A</v>
      </c>
      <c r="AP14" s="240" t="e" cm="1">
        <f t="array" ref="AP14">pareto($C9:$C14,$D9:$D14,6,"dist",$AQ$1,$AN10,$AN12)</f>
        <v>#N/A</v>
      </c>
      <c r="AQ14" s="240" t="e" cm="1">
        <f t="array" ref="AQ14">pareto($L9:$L14,$M9:$M14,6,"rate",$AQ$1,$AN10,$AN12)</f>
        <v>#N/A</v>
      </c>
      <c r="AR14" s="240" t="e" cm="1">
        <f t="array" ref="AR14">pareto($L9:$L14,$M9:$M14,6,"dist",$AQ$1,$AN10,$AN12)</f>
        <v>#N/A</v>
      </c>
      <c r="AS14" s="240"/>
      <c r="AT14" s="240"/>
      <c r="AU14" s="240"/>
      <c r="AV14" s="240"/>
      <c r="AW14" s="240"/>
      <c r="AX14" s="240"/>
    </row>
    <row r="15" spans="1:50" ht="12" customHeight="1" x14ac:dyDescent="0.25">
      <c r="A15" s="141" t="s">
        <v>231</v>
      </c>
      <c r="B15" s="106" t="s">
        <v>250</v>
      </c>
      <c r="C15" s="267">
        <v>596.66880000000003</v>
      </c>
      <c r="D15" s="267">
        <v>47.446201700000003</v>
      </c>
      <c r="E15" s="83"/>
      <c r="F15" s="83"/>
      <c r="G15" s="83"/>
      <c r="H15" s="83"/>
      <c r="I15" s="83"/>
      <c r="J15" s="83"/>
      <c r="K15" s="110"/>
      <c r="L15" s="267">
        <v>596.66880000000003</v>
      </c>
      <c r="M15" s="267">
        <v>47.264713499999999</v>
      </c>
      <c r="N15" s="83"/>
      <c r="O15" s="83"/>
      <c r="P15" s="83"/>
      <c r="Q15" s="222"/>
      <c r="R15" s="83"/>
      <c r="S15" s="83"/>
      <c r="T15" s="37" t="e">
        <f t="shared" si="0"/>
        <v>#DIV/0!</v>
      </c>
      <c r="U15" s="38" t="e">
        <f t="shared" si="0"/>
        <v>#DIV/0!</v>
      </c>
      <c r="V15" s="55"/>
      <c r="W15" s="14">
        <f>bdRateExtend($C15:$C20,D15:D20,$L15:$L20,$M15:$M20)</f>
        <v>-1.5519894484611663E-2</v>
      </c>
      <c r="X15" s="14">
        <f>bdRateExtend($C15:$C19,$D15:$D19,$L15:$L19,$M15:$M19)</f>
        <v>-3.5798096393386492E-2</v>
      </c>
      <c r="Y15" s="14">
        <f>bdRateExtend($C16:$C20,$D16:$D20,$L16:$L20,$M16:$M20)</f>
        <v>-1.5228654049944335E-2</v>
      </c>
      <c r="Z15" s="14">
        <f>bdRateExtend($C15:$C18,$D15:$D18,$L15:$L18,$M15:$M18)</f>
        <v>-2.3731079627056451E-2</v>
      </c>
      <c r="AA15" s="14">
        <f>bdRateExtend($C16:$C19,$D16:$D19,$L16:$L19,$M16:$M19)</f>
        <v>-3.8146788742366322E-2</v>
      </c>
      <c r="AB15" s="14">
        <f>bdRateExtend($C17:$C20,$D17:$D20,$L17:$L20,$M17:$M20)</f>
        <v>-2.5062360848992493E-2</v>
      </c>
      <c r="AC15" s="145" cm="1">
        <f t="array" ref="AC15">bdRatePareto(AO15:AO20,AP15:AP20,AQ15:AQ20,AR15:AR20)</f>
        <v>-1.5519894484611663E-2</v>
      </c>
      <c r="AD15" s="14" t="e">
        <f>bdRateExtend($C15:$C20,E15:E20,$L15:$L20,N15:N20)</f>
        <v>#VALUE!</v>
      </c>
      <c r="AE15" s="14" t="e">
        <f>bdRateExtend($C15:$C20,F15:F20,$L15:$L20,O15:O20)</f>
        <v>#VALUE!</v>
      </c>
      <c r="AF15" s="15" t="e">
        <f>bdRateExtend($C15:$C20,G15:G20,$L15:$L20,P15:P20)</f>
        <v>#VALUE!</v>
      </c>
      <c r="AG15" s="72">
        <f>bdPSNRExtend($C15:$C20,$D15:$D20,$L15:$L20,$M15:$M20)</f>
        <v>0.15231062813905485</v>
      </c>
      <c r="AN15" s="240" t="s">
        <v>213</v>
      </c>
      <c r="AO15" s="240" cm="1">
        <f t="array" ref="AO15">pareto($C15:$C20,$D15:$D20,1,"rate",$AQ$1,$AN16,$AN18)</f>
        <v>596.66880000000003</v>
      </c>
      <c r="AP15" s="240" cm="1">
        <f t="array" ref="AP15">pareto($C15:$C20,$D15:$D20,1,"dist",$AQ$1,$AN16,$AN18)</f>
        <v>47.446201700000003</v>
      </c>
      <c r="AQ15" s="240" cm="1">
        <f t="array" ref="AQ15">pareto($L15:$L20,$M15:$M20,1,"rate",$AQ$1,$AN16,$AN18)</f>
        <v>596.66880000000003</v>
      </c>
      <c r="AR15" s="240" cm="1">
        <f t="array" ref="AR15">pareto($L15:$L20,$M15:$M20,1,"dist",$AQ$1,$AN16,$AN18)</f>
        <v>47.264713499999999</v>
      </c>
      <c r="AS15" s="240"/>
      <c r="AT15" s="240"/>
      <c r="AU15" s="240"/>
      <c r="AV15" s="240"/>
      <c r="AW15" s="240"/>
      <c r="AX15" s="240"/>
    </row>
    <row r="16" spans="1:50" ht="12" customHeight="1" x14ac:dyDescent="0.25">
      <c r="A16" s="58"/>
      <c r="B16" s="107" t="s">
        <v>251</v>
      </c>
      <c r="C16" s="267">
        <v>426.76</v>
      </c>
      <c r="D16" s="267">
        <v>45.242416400000003</v>
      </c>
      <c r="E16" s="86"/>
      <c r="F16" s="86"/>
      <c r="G16" s="86"/>
      <c r="H16" s="86"/>
      <c r="I16" s="86"/>
      <c r="J16" s="86"/>
      <c r="K16" s="110"/>
      <c r="L16" s="267">
        <v>426.76</v>
      </c>
      <c r="M16" s="267">
        <v>45.449831500000002</v>
      </c>
      <c r="N16" s="86"/>
      <c r="O16" s="86"/>
      <c r="P16" s="86"/>
      <c r="Q16" s="222"/>
      <c r="R16" s="86"/>
      <c r="S16" s="86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6"/>
      <c r="AD16" s="4"/>
      <c r="AE16" s="4"/>
      <c r="AF16" s="5"/>
      <c r="AG16" s="59"/>
      <c r="AN16" s="240">
        <v>46.2</v>
      </c>
      <c r="AO16" s="240" cm="1">
        <f t="array" ref="AO16">pareto($C15:$C20,$D15:$D20,2,"rate",$AQ$1,$AN16,$AN18)</f>
        <v>426.76</v>
      </c>
      <c r="AP16" s="240" cm="1">
        <f t="array" ref="AP16">pareto($C15:$C20,$D15:$D20,2,"dist",$AQ$1,$AN16,$AN18)</f>
        <v>45.242416400000003</v>
      </c>
      <c r="AQ16" s="240" cm="1">
        <f t="array" ref="AQ16">pareto($L15:$L20,$M15:$M20,2,"rate",$AQ$1,$AN16,$AN18)</f>
        <v>426.76</v>
      </c>
      <c r="AR16" s="240" cm="1">
        <f t="array" ref="AR16">pareto($L15:$L20,$M15:$M20,2,"dist",$AQ$1,$AN16,$AN18)</f>
        <v>45.449831500000002</v>
      </c>
      <c r="AS16" s="240"/>
      <c r="AT16" s="240"/>
      <c r="AU16" s="240"/>
      <c r="AV16" s="240"/>
      <c r="AW16" s="240"/>
      <c r="AX16" s="240"/>
    </row>
    <row r="17" spans="1:50" ht="12" customHeight="1" x14ac:dyDescent="0.25">
      <c r="A17" s="58"/>
      <c r="B17" s="107" t="s">
        <v>252</v>
      </c>
      <c r="C17" s="267">
        <v>306.57440000000003</v>
      </c>
      <c r="D17" s="267">
        <v>43.868291399999997</v>
      </c>
      <c r="E17" s="86"/>
      <c r="F17" s="86"/>
      <c r="G17" s="86"/>
      <c r="H17" s="86"/>
      <c r="I17" s="86"/>
      <c r="J17" s="86"/>
      <c r="K17" s="110"/>
      <c r="L17" s="267">
        <v>306.57440000000003</v>
      </c>
      <c r="M17" s="267">
        <v>44.023852699999999</v>
      </c>
      <c r="N17" s="86"/>
      <c r="O17" s="86"/>
      <c r="P17" s="86"/>
      <c r="Q17" s="222"/>
      <c r="R17" s="86"/>
      <c r="S17" s="86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6"/>
      <c r="AD17" s="4"/>
      <c r="AE17" s="4"/>
      <c r="AF17" s="5"/>
      <c r="AG17" s="59"/>
      <c r="AN17" s="240" t="s">
        <v>44</v>
      </c>
      <c r="AO17" s="240" cm="1">
        <f t="array" ref="AO17">pareto($C15:$C20,$D15:$D20,3,"rate",$AQ$1,$AN16,$AN18)</f>
        <v>306.57440000000003</v>
      </c>
      <c r="AP17" s="240" cm="1">
        <f t="array" ref="AP17">pareto($C15:$C20,$D15:$D20,3,"dist",$AQ$1,$AN16,$AN18)</f>
        <v>43.868291399999997</v>
      </c>
      <c r="AQ17" s="240" cm="1">
        <f t="array" ref="AQ17">pareto($L15:$L20,$M15:$M20,3,"rate",$AQ$1,$AN16,$AN18)</f>
        <v>306.57440000000003</v>
      </c>
      <c r="AR17" s="240" cm="1">
        <f t="array" ref="AR17">pareto($L15:$L20,$M15:$M20,3,"dist",$AQ$1,$AN16,$AN18)</f>
        <v>44.023852699999999</v>
      </c>
      <c r="AS17" s="240"/>
      <c r="AT17" s="240"/>
      <c r="AU17" s="240"/>
      <c r="AV17" s="240"/>
      <c r="AW17" s="240"/>
      <c r="AX17" s="240"/>
    </row>
    <row r="18" spans="1:50" ht="12" customHeight="1" x14ac:dyDescent="0.25">
      <c r="A18" s="58"/>
      <c r="B18" s="107" t="s">
        <v>253</v>
      </c>
      <c r="C18" s="267">
        <v>118.3232</v>
      </c>
      <c r="D18" s="267">
        <v>33.4975369</v>
      </c>
      <c r="E18" s="86"/>
      <c r="F18" s="86"/>
      <c r="G18" s="86"/>
      <c r="H18" s="86"/>
      <c r="I18" s="86"/>
      <c r="J18" s="86"/>
      <c r="K18" s="110"/>
      <c r="L18" s="267">
        <v>118.3232</v>
      </c>
      <c r="M18" s="267">
        <v>33.990147800000003</v>
      </c>
      <c r="N18" s="86"/>
      <c r="O18" s="86"/>
      <c r="P18" s="86"/>
      <c r="Q18" s="222"/>
      <c r="R18" s="86"/>
      <c r="S18" s="86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6"/>
      <c r="AD18" s="4"/>
      <c r="AE18" s="4"/>
      <c r="AF18" s="5"/>
      <c r="AG18" s="59"/>
      <c r="AN18" s="240">
        <v>25</v>
      </c>
      <c r="AO18" s="240" cm="1">
        <f t="array" ref="AO18">pareto($C15:$C20,$D15:$D20,4,"rate",$AQ$1,$AN16,$AN18)</f>
        <v>118.3232</v>
      </c>
      <c r="AP18" s="240" cm="1">
        <f t="array" ref="AP18">pareto($C15:$C20,$D15:$D20,4,"dist",$AQ$1,$AN16,$AN18)</f>
        <v>33.4975369</v>
      </c>
      <c r="AQ18" s="240" cm="1">
        <f t="array" ref="AQ18">pareto($L15:$L20,$M15:$M20,4,"rate",$AQ$1,$AN16,$AN18)</f>
        <v>118.3232</v>
      </c>
      <c r="AR18" s="240" cm="1">
        <f t="array" ref="AR18">pareto($L15:$L20,$M15:$M20,4,"dist",$AQ$1,$AN16,$AN18)</f>
        <v>33.990147800000003</v>
      </c>
      <c r="AS18" s="240"/>
      <c r="AT18" s="240"/>
      <c r="AU18" s="240"/>
      <c r="AV18" s="240"/>
      <c r="AW18" s="240"/>
      <c r="AX18" s="240"/>
    </row>
    <row r="19" spans="1:50" ht="12" customHeight="1" x14ac:dyDescent="0.25">
      <c r="A19" s="58"/>
      <c r="B19" s="107" t="s">
        <v>254</v>
      </c>
      <c r="C19" s="267">
        <v>63.457599999999999</v>
      </c>
      <c r="D19" s="267">
        <v>31.034482799999999</v>
      </c>
      <c r="E19" s="86"/>
      <c r="F19" s="86"/>
      <c r="G19" s="86"/>
      <c r="H19" s="86"/>
      <c r="I19" s="86"/>
      <c r="J19" s="86"/>
      <c r="K19" s="110"/>
      <c r="L19" s="267">
        <v>63.457599999999999</v>
      </c>
      <c r="M19" s="267">
        <v>30.723360100000001</v>
      </c>
      <c r="N19" s="86"/>
      <c r="O19" s="86"/>
      <c r="P19" s="86"/>
      <c r="Q19" s="222"/>
      <c r="R19" s="86"/>
      <c r="S19" s="86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6"/>
      <c r="AD19" s="4"/>
      <c r="AE19" s="4"/>
      <c r="AF19" s="5"/>
      <c r="AG19" s="59"/>
      <c r="AN19" s="240"/>
      <c r="AO19" s="240" cm="1">
        <f t="array" ref="AO19">pareto($C15:$C20,$D15:$D20,5,"rate",$AQ$1,$AN16,$AN18)</f>
        <v>63.457599999999999</v>
      </c>
      <c r="AP19" s="240" cm="1">
        <f t="array" ref="AP19">pareto($C15:$C20,$D15:$D20,5,"dist",$AQ$1,$AN16,$AN18)</f>
        <v>31.034482799999999</v>
      </c>
      <c r="AQ19" s="240" cm="1">
        <f t="array" ref="AQ19">pareto($L15:$L20,$M15:$M20,5,"rate",$AQ$1,$AN16,$AN18)</f>
        <v>63.457599999999999</v>
      </c>
      <c r="AR19" s="240" cm="1">
        <f t="array" ref="AR19">pareto($L15:$L20,$M15:$M20,5,"dist",$AQ$1,$AN16,$AN18)</f>
        <v>30.723360100000001</v>
      </c>
      <c r="AS19" s="240"/>
      <c r="AT19" s="240"/>
      <c r="AU19" s="240"/>
      <c r="AV19" s="240"/>
      <c r="AW19" s="240"/>
      <c r="AX19" s="240"/>
    </row>
    <row r="20" spans="1:50" ht="12" customHeight="1" thickBot="1" x14ac:dyDescent="0.3">
      <c r="A20" s="45"/>
      <c r="B20" s="108" t="s">
        <v>255</v>
      </c>
      <c r="C20" s="267">
        <v>34.193599999999897</v>
      </c>
      <c r="D20" s="267">
        <v>19.730360399999999</v>
      </c>
      <c r="E20" s="94"/>
      <c r="F20" s="94"/>
      <c r="G20" s="94"/>
      <c r="H20" s="94"/>
      <c r="I20" s="94"/>
      <c r="J20" s="94"/>
      <c r="K20" s="110"/>
      <c r="L20" s="267">
        <v>34.193599999999897</v>
      </c>
      <c r="M20" s="267">
        <v>20.093336799999999</v>
      </c>
      <c r="N20" s="94"/>
      <c r="O20" s="94"/>
      <c r="P20" s="94"/>
      <c r="Q20" s="223"/>
      <c r="R20" s="94"/>
      <c r="S20" s="94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7"/>
      <c r="AD20" s="6"/>
      <c r="AE20" s="6"/>
      <c r="AF20" s="7"/>
      <c r="AG20" s="63"/>
      <c r="AN20" s="240"/>
      <c r="AO20" s="240" cm="1">
        <f t="array" ref="AO20">pareto($C15:$C20,$D15:$D20,6,"rate",$AQ$1,$AN16,$AN18)</f>
        <v>34.193599999999897</v>
      </c>
      <c r="AP20" s="240" cm="1">
        <f t="array" ref="AP20">pareto($C15:$C20,$D15:$D20,6,"dist",$AQ$1,$AN16,$AN18)</f>
        <v>19.730360399999999</v>
      </c>
      <c r="AQ20" s="240" cm="1">
        <f t="array" ref="AQ20">pareto($L15:$L20,$M15:$M20,6,"rate",$AQ$1,$AN16,$AN18)</f>
        <v>34.193599999999897</v>
      </c>
      <c r="AR20" s="240" cm="1">
        <f t="array" ref="AR20">pareto($L15:$L20,$M15:$M20,6,"dist",$AQ$1,$AN16,$AN18)</f>
        <v>20.093336799999999</v>
      </c>
      <c r="AS20" s="240"/>
      <c r="AT20" s="240"/>
      <c r="AU20" s="240"/>
      <c r="AV20" s="240"/>
      <c r="AW20" s="240"/>
      <c r="AX20" s="240"/>
    </row>
    <row r="21" spans="1:50" ht="12" customHeight="1" x14ac:dyDescent="0.25">
      <c r="A21" s="141" t="s">
        <v>232</v>
      </c>
      <c r="B21" s="106" t="s">
        <v>250</v>
      </c>
      <c r="C21" s="267">
        <v>248.98427672955901</v>
      </c>
      <c r="D21" s="267">
        <v>55.676657599999999</v>
      </c>
      <c r="E21" s="83"/>
      <c r="F21" s="83"/>
      <c r="G21" s="83"/>
      <c r="H21" s="83"/>
      <c r="I21" s="83"/>
      <c r="J21" s="83"/>
      <c r="K21" s="110"/>
      <c r="L21" s="267">
        <v>248.98427672955901</v>
      </c>
      <c r="M21" s="267">
        <v>55.5858311</v>
      </c>
      <c r="N21" s="83"/>
      <c r="O21" s="83"/>
      <c r="P21" s="83"/>
      <c r="Q21" s="222"/>
      <c r="R21" s="83"/>
      <c r="S21" s="83"/>
      <c r="T21" s="37" t="e">
        <f t="shared" si="0"/>
        <v>#DIV/0!</v>
      </c>
      <c r="U21" s="38" t="e">
        <f t="shared" si="0"/>
        <v>#DIV/0!</v>
      </c>
      <c r="V21" s="55"/>
      <c r="W21" s="14">
        <f>bdRateExtend($C21:$C26,D21:D26,$L21:$L26,$M21:$M26)</f>
        <v>1E+308</v>
      </c>
      <c r="X21" s="14">
        <f>bdRateExtend($C21:$C25,$D21:$D25,$L21:$L25,$M21:$M25)</f>
        <v>1E+308</v>
      </c>
      <c r="Y21" s="14">
        <f>bdRateExtend($C22:$C26,$D22:$D26,$L22:$L26,$M22:$M26)</f>
        <v>1.2755219901384063E-2</v>
      </c>
      <c r="Z21" s="14">
        <f>bdRateExtend($C21:$C24,$D21:$D24,$L21:$L24,$M21:$M24)</f>
        <v>1E+308</v>
      </c>
      <c r="AA21" s="14">
        <f>bdRateExtend($C22:$C25,$D22:$D25,$L22:$L25,$M22:$M25)</f>
        <v>-4.8466946190092175E-3</v>
      </c>
      <c r="AB21" s="14">
        <f>bdRateExtend($C23:$C26,$D23:$D26,$L23:$L26,$M23:$M26)</f>
        <v>4.0927547577379819E-2</v>
      </c>
      <c r="AC21" s="145" cm="1">
        <f t="array" ref="AC21">bdRatePareto(AO21:AO26,AP21:AP26,AQ21:AQ26,AR21:AR26)</f>
        <v>-1.6064699278827366E-2</v>
      </c>
      <c r="AD21" s="14" t="e">
        <f>bdRateExtend($C21:$C26,E21:E26,$L21:$L26,N21:N26)</f>
        <v>#VALUE!</v>
      </c>
      <c r="AE21" s="14" t="e">
        <f>bdRateExtend($C21:$C26,F21:F26,$L21:$L26,O21:O26)</f>
        <v>#VALUE!</v>
      </c>
      <c r="AF21" s="15" t="e">
        <f>bdRateExtend($C21:$C26,G21:G26,$L21:$L26,P21:P26)</f>
        <v>#VALUE!</v>
      </c>
      <c r="AG21" s="72">
        <f>bdPSNRExtend($C21:$C26,$D21:$D26,$L21:$L26,$M21:$M26)</f>
        <v>-0.23221590993698168</v>
      </c>
      <c r="AN21" s="240" t="s">
        <v>213</v>
      </c>
      <c r="AO21" s="240" cm="1">
        <f t="array" ref="AO21">pareto($C21:$C26,$D21:$D26,1,"rate",$AQ$1,$AN22,$AN24)</f>
        <v>149.452830188679</v>
      </c>
      <c r="AP21" s="240" cm="1">
        <f t="array" ref="AP21">pareto($C21:$C26,$D21:$D26,1,"dist",$AQ$1,$AN22,$AN24)</f>
        <v>55.812897399999997</v>
      </c>
      <c r="AQ21" s="240" cm="1">
        <f t="array" ref="AQ21">pareto($L21:$L26,$M21:$M26,1,"rate",$AQ$1,$AN22,$AN24)</f>
        <v>248.98427672955901</v>
      </c>
      <c r="AR21" s="240" cm="1">
        <f t="array" ref="AR21">pareto($L21:$L26,$M21:$M26,1,"dist",$AQ$1,$AN22,$AN24)</f>
        <v>55.5858311</v>
      </c>
      <c r="AS21" s="240"/>
      <c r="AT21" s="240"/>
      <c r="AU21" s="240"/>
      <c r="AV21" s="240"/>
      <c r="AW21" s="240"/>
      <c r="AX21" s="240"/>
    </row>
    <row r="22" spans="1:50" ht="12" customHeight="1" x14ac:dyDescent="0.25">
      <c r="A22" s="58"/>
      <c r="B22" s="107" t="s">
        <v>251</v>
      </c>
      <c r="C22" s="267">
        <v>149.452830188679</v>
      </c>
      <c r="D22" s="267">
        <v>55.812897399999997</v>
      </c>
      <c r="E22" s="86"/>
      <c r="F22" s="86"/>
      <c r="G22" s="86"/>
      <c r="H22" s="86"/>
      <c r="I22" s="86"/>
      <c r="J22" s="86"/>
      <c r="K22" s="110"/>
      <c r="L22" s="267">
        <v>149.452830188679</v>
      </c>
      <c r="M22" s="267">
        <v>55.086285199999999</v>
      </c>
      <c r="N22" s="86"/>
      <c r="O22" s="86"/>
      <c r="P22" s="86"/>
      <c r="Q22" s="222"/>
      <c r="R22" s="86"/>
      <c r="S22" s="86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0">
        <v>55.4</v>
      </c>
      <c r="AO22" s="240" cm="1">
        <f t="array" ref="AO22">pareto($C21:$C26,$D21:$D26,2,"rate",$AQ$1,$AN22,$AN24)</f>
        <v>82.522012578616298</v>
      </c>
      <c r="AP22" s="240" cm="1">
        <f t="array" ref="AP22">pareto($C21:$C26,$D21:$D26,2,"dist",$AQ$1,$AN22,$AN24)</f>
        <v>47.048138100000003</v>
      </c>
      <c r="AQ22" s="240" cm="1">
        <f t="array" ref="AQ22">pareto($L21:$L26,$M21:$M26,2,"rate",$AQ$1,$AN22,$AN24)</f>
        <v>149.452830188679</v>
      </c>
      <c r="AR22" s="240" cm="1">
        <f t="array" ref="AR22">pareto($L21:$L26,$M21:$M26,2,"dist",$AQ$1,$AN22,$AN24)</f>
        <v>55.086285199999999</v>
      </c>
      <c r="AS22" s="240"/>
      <c r="AT22" s="240"/>
      <c r="AU22" s="240"/>
      <c r="AV22" s="240"/>
      <c r="AW22" s="240"/>
      <c r="AX22" s="240"/>
    </row>
    <row r="23" spans="1:50" ht="12" customHeight="1" x14ac:dyDescent="0.25">
      <c r="A23" s="58"/>
      <c r="B23" s="107" t="s">
        <v>252</v>
      </c>
      <c r="C23" s="267">
        <v>82.522012578616298</v>
      </c>
      <c r="D23" s="267">
        <v>47.048138100000003</v>
      </c>
      <c r="E23" s="86"/>
      <c r="F23" s="86"/>
      <c r="G23" s="86"/>
      <c r="H23" s="86"/>
      <c r="I23" s="86"/>
      <c r="J23" s="86"/>
      <c r="K23" s="110"/>
      <c r="L23" s="267">
        <v>82.522012578616298</v>
      </c>
      <c r="M23" s="267">
        <v>47.502270699999997</v>
      </c>
      <c r="N23" s="86"/>
      <c r="O23" s="86"/>
      <c r="P23" s="86"/>
      <c r="Q23" s="222"/>
      <c r="R23" s="86"/>
      <c r="S23" s="86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0" t="s">
        <v>44</v>
      </c>
      <c r="AO23" s="240" cm="1">
        <f t="array" ref="AO23">pareto($C21:$C26,$D21:$D26,3,"rate",$AQ$1,$AN22,$AN24)</f>
        <v>46.077987421383597</v>
      </c>
      <c r="AP23" s="240" cm="1">
        <f t="array" ref="AP23">pareto($C21:$C26,$D21:$D26,3,"dist",$AQ$1,$AN22,$AN24)</f>
        <v>42.461398699999997</v>
      </c>
      <c r="AQ23" s="240" cm="1">
        <f t="array" ref="AQ23">pareto($L21:$L26,$M21:$M26,3,"rate",$AQ$1,$AN22,$AN24)</f>
        <v>82.522012578616298</v>
      </c>
      <c r="AR23" s="240" cm="1">
        <f t="array" ref="AR23">pareto($L21:$L26,$M21:$M26,3,"dist",$AQ$1,$AN22,$AN24)</f>
        <v>47.502270699999997</v>
      </c>
      <c r="AS23" s="240"/>
      <c r="AT23" s="240"/>
      <c r="AU23" s="240"/>
      <c r="AV23" s="240"/>
      <c r="AW23" s="240"/>
      <c r="AX23" s="240"/>
    </row>
    <row r="24" spans="1:50" ht="12" customHeight="1" x14ac:dyDescent="0.25">
      <c r="A24" s="58"/>
      <c r="B24" s="107" t="s">
        <v>253</v>
      </c>
      <c r="C24" s="267">
        <v>46.077987421383597</v>
      </c>
      <c r="D24" s="267">
        <v>42.461398699999997</v>
      </c>
      <c r="E24" s="86"/>
      <c r="F24" s="86"/>
      <c r="G24" s="86"/>
      <c r="H24" s="86"/>
      <c r="I24" s="86"/>
      <c r="J24" s="86"/>
      <c r="K24" s="110"/>
      <c r="L24" s="267">
        <v>46.077987421383597</v>
      </c>
      <c r="M24" s="267">
        <v>42.370572199999998</v>
      </c>
      <c r="N24" s="86"/>
      <c r="O24" s="86"/>
      <c r="P24" s="86"/>
      <c r="Q24" s="222"/>
      <c r="R24" s="86"/>
      <c r="S24" s="86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0">
        <v>25</v>
      </c>
      <c r="AO24" s="240" cm="1">
        <f t="array" ref="AO24">pareto($C21:$C26,$D21:$D26,4,"rate",$AQ$1,$AN22,$AN24)</f>
        <v>25.884276729559701</v>
      </c>
      <c r="AP24" s="240" cm="1">
        <f t="array" ref="AP24">pareto($C21:$C26,$D21:$D26,4,"dist",$AQ$1,$AN22,$AN24)</f>
        <v>37.829246099999999</v>
      </c>
      <c r="AQ24" s="240" cm="1">
        <f t="array" ref="AQ24">pareto($L21:$L26,$M21:$M26,4,"rate",$AQ$1,$AN22,$AN24)</f>
        <v>46.077987421383597</v>
      </c>
      <c r="AR24" s="240" cm="1">
        <f t="array" ref="AR24">pareto($L21:$L26,$M21:$M26,4,"dist",$AQ$1,$AN22,$AN24)</f>
        <v>42.370572199999998</v>
      </c>
      <c r="AS24" s="240"/>
      <c r="AT24" s="240"/>
      <c r="AU24" s="240"/>
      <c r="AV24" s="240"/>
      <c r="AW24" s="240"/>
      <c r="AX24" s="240"/>
    </row>
    <row r="25" spans="1:50" ht="12" customHeight="1" x14ac:dyDescent="0.25">
      <c r="A25" s="58"/>
      <c r="B25" s="107" t="s">
        <v>254</v>
      </c>
      <c r="C25" s="267">
        <v>25.884276729559701</v>
      </c>
      <c r="D25" s="267">
        <v>37.829246099999999</v>
      </c>
      <c r="E25" s="86"/>
      <c r="F25" s="86"/>
      <c r="G25" s="86"/>
      <c r="H25" s="86"/>
      <c r="I25" s="86"/>
      <c r="J25" s="86"/>
      <c r="K25" s="110"/>
      <c r="L25" s="267">
        <v>25.884276729559701</v>
      </c>
      <c r="M25" s="267">
        <v>37.148047200000001</v>
      </c>
      <c r="N25" s="86"/>
      <c r="O25" s="86"/>
      <c r="P25" s="86"/>
      <c r="Q25" s="222"/>
      <c r="R25" s="86"/>
      <c r="S25" s="86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0"/>
      <c r="AO25" s="240" cm="1">
        <f t="array" ref="AO25">pareto($C21:$C26,$D21:$D26,5,"rate",$AQ$1,$AN22,$AN24)</f>
        <v>18.189308176100599</v>
      </c>
      <c r="AP25" s="240" cm="1">
        <f t="array" ref="AP25">pareto($C21:$C26,$D21:$D26,5,"dist",$AQ$1,$AN22,$AN24)</f>
        <v>36.603088100000001</v>
      </c>
      <c r="AQ25" s="240" cm="1">
        <f t="array" ref="AQ25">pareto($L21:$L26,$M21:$M26,5,"rate",$AQ$1,$AN22,$AN24)</f>
        <v>25.884276729559701</v>
      </c>
      <c r="AR25" s="240" cm="1">
        <f t="array" ref="AR25">pareto($L21:$L26,$M21:$M26,5,"dist",$AQ$1,$AN22,$AN24)</f>
        <v>37.148047200000001</v>
      </c>
      <c r="AS25" s="240"/>
      <c r="AT25" s="240"/>
      <c r="AU25" s="240"/>
      <c r="AV25" s="240"/>
      <c r="AW25" s="240"/>
      <c r="AX25" s="240"/>
    </row>
    <row r="26" spans="1:50" ht="12" customHeight="1" thickBot="1" x14ac:dyDescent="0.3">
      <c r="A26" s="45"/>
      <c r="B26" s="108" t="s">
        <v>255</v>
      </c>
      <c r="C26" s="267">
        <v>18.189308176100599</v>
      </c>
      <c r="D26" s="267">
        <v>36.603088100000001</v>
      </c>
      <c r="E26" s="94"/>
      <c r="F26" s="94"/>
      <c r="G26" s="94"/>
      <c r="H26" s="94"/>
      <c r="I26" s="94"/>
      <c r="J26" s="94"/>
      <c r="K26" s="110"/>
      <c r="L26" s="267">
        <v>18.189308176100599</v>
      </c>
      <c r="M26" s="267">
        <v>36.693914599999999</v>
      </c>
      <c r="N26" s="94"/>
      <c r="O26" s="94"/>
      <c r="P26" s="94"/>
      <c r="Q26" s="223"/>
      <c r="R26" s="94"/>
      <c r="S26" s="94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0"/>
      <c r="AO26" s="240" t="e" cm="1">
        <f t="array" ref="AO26">pareto($C21:$C26,$D21:$D26,6,"rate",$AQ$1,$AN22,$AN24)</f>
        <v>#N/A</v>
      </c>
      <c r="AP26" s="240" t="e" cm="1">
        <f t="array" ref="AP26">pareto($C21:$C26,$D21:$D26,6,"dist",$AQ$1,$AN22,$AN24)</f>
        <v>#N/A</v>
      </c>
      <c r="AQ26" s="240" cm="1">
        <f t="array" ref="AQ26">pareto($L21:$L26,$M21:$M26,6,"rate",$AQ$1,$AN22,$AN24)</f>
        <v>18.189308176100599</v>
      </c>
      <c r="AR26" s="240" cm="1">
        <f t="array" ref="AR26">pareto($L21:$L26,$M21:$M26,6,"dist",$AQ$1,$AN22,$AN24)</f>
        <v>36.693914599999999</v>
      </c>
      <c r="AS26" s="240"/>
      <c r="AT26" s="240"/>
      <c r="AU26" s="240"/>
      <c r="AV26" s="240"/>
      <c r="AW26" s="240"/>
      <c r="AX26" s="240"/>
    </row>
    <row r="27" spans="1:50" ht="12" customHeight="1" x14ac:dyDescent="0.25">
      <c r="A27" s="141" t="s">
        <v>233</v>
      </c>
      <c r="B27" s="106" t="s">
        <v>250</v>
      </c>
      <c r="C27" s="267">
        <v>321.12639999999999</v>
      </c>
      <c r="D27" s="267">
        <v>72.972972999999996</v>
      </c>
      <c r="E27" s="83"/>
      <c r="F27" s="83"/>
      <c r="G27" s="83"/>
      <c r="H27" s="83"/>
      <c r="I27" s="83"/>
      <c r="J27" s="83"/>
      <c r="K27" s="110"/>
      <c r="L27" s="267">
        <v>321.12639999999999</v>
      </c>
      <c r="M27" s="267">
        <v>72.972972999999996</v>
      </c>
      <c r="N27" s="83"/>
      <c r="O27" s="83"/>
      <c r="P27" s="83"/>
      <c r="Q27" s="222"/>
      <c r="R27" s="83"/>
      <c r="S27" s="83"/>
      <c r="T27" s="37" t="e">
        <f t="shared" ref="T27:T32" si="3">R27/I27</f>
        <v>#DIV/0!</v>
      </c>
      <c r="U27" s="38" t="e">
        <f t="shared" ref="U27:U32" si="4">S27/J27</f>
        <v>#DIV/0!</v>
      </c>
      <c r="V27" s="55"/>
      <c r="W27" s="14">
        <f>bdRateExtend($C27:$C32,D27:D32,$L27:$L32,$M27:$M32)</f>
        <v>0</v>
      </c>
      <c r="X27" s="14">
        <f>bdRateExtend($C27:$C31,$D27:$D31,$L27:$L31,$M27:$M31)</f>
        <v>0</v>
      </c>
      <c r="Y27" s="14">
        <f>bdRateExtend($C28:$C32,$D28:$D32,$L28:$L32,$M28:$M32)</f>
        <v>0</v>
      </c>
      <c r="Z27" s="14">
        <f>bdRateExtend($C27:$C30,$D27:$D30,$L27:$L30,$M27:$M30)</f>
        <v>0</v>
      </c>
      <c r="AA27" s="14">
        <f>bdRateExtend($C28:$C31,$D28:$D31,$L28:$L31,$M28:$M31)</f>
        <v>0</v>
      </c>
      <c r="AB27" s="14">
        <f>bdRateExtend($C29:$C32,$D29:$D32,$L29:$L32,$M29:$M32)</f>
        <v>0</v>
      </c>
      <c r="AC27" s="145" cm="1">
        <f t="array" ref="AC27">bdRatePareto(AO27:AO32,AP27:AP32,AQ27:AQ32,AR27:AR32)</f>
        <v>0</v>
      </c>
      <c r="AD27" s="14" t="e">
        <f>bdRateExtend($C27:$C32,E27:E32,$L27:$L32,N27:N32)</f>
        <v>#VALUE!</v>
      </c>
      <c r="AE27" s="14" t="e">
        <f>bdRateExtend($C27:$C32,F27:F32,$L27:$L32,O27:O32)</f>
        <v>#VALUE!</v>
      </c>
      <c r="AF27" s="15" t="e">
        <f>bdRateExtend($C27:$C32,G27:G32,$L27:$L32,P27:P32)</f>
        <v>#VALUE!</v>
      </c>
      <c r="AG27" s="72">
        <f>bdPSNRExtend($C27:$C32,$D27:$D32,$L27:$L32,$M27:$M32)</f>
        <v>0</v>
      </c>
      <c r="AN27" s="240" t="s">
        <v>213</v>
      </c>
      <c r="AO27" s="240" cm="1">
        <f t="array" ref="AO27">pareto($C27:$C32,$D27:$D32,1,"rate",$AQ$1,$AN28,$AN30)</f>
        <v>321.12639999999999</v>
      </c>
      <c r="AP27" s="240" cm="1">
        <f t="array" ref="AP27">pareto($C27:$C32,$D27:$D32,1,"dist",$AQ$1,$AN28,$AN30)</f>
        <v>72.972972999999996</v>
      </c>
      <c r="AQ27" s="240" cm="1">
        <f t="array" ref="AQ27">pareto($L27:$L32,$M27:$M32,1,"rate",$AQ$1,$AN28,$AN30)</f>
        <v>321.12639999999999</v>
      </c>
      <c r="AR27" s="240" cm="1">
        <f t="array" ref="AR27">pareto($L27:$L32,$M27:$M32,1,"dist",$AQ$1,$AN28,$AN30)</f>
        <v>72.972972999999996</v>
      </c>
      <c r="AS27" s="240"/>
      <c r="AT27" s="240"/>
      <c r="AU27" s="240"/>
      <c r="AV27" s="240"/>
      <c r="AW27" s="240"/>
      <c r="AX27" s="240"/>
    </row>
    <row r="28" spans="1:50" ht="12" customHeight="1" x14ac:dyDescent="0.25">
      <c r="A28" s="58"/>
      <c r="B28" s="107" t="s">
        <v>251</v>
      </c>
      <c r="C28" s="267">
        <v>159.33439999999999</v>
      </c>
      <c r="D28" s="267">
        <v>68.146718100000001</v>
      </c>
      <c r="E28" s="86"/>
      <c r="F28" s="86"/>
      <c r="G28" s="86"/>
      <c r="H28" s="86"/>
      <c r="I28" s="86"/>
      <c r="J28" s="86"/>
      <c r="K28" s="110"/>
      <c r="L28" s="267">
        <v>159.33439999999999</v>
      </c>
      <c r="M28" s="267">
        <v>68.146718100000001</v>
      </c>
      <c r="N28" s="86"/>
      <c r="O28" s="86"/>
      <c r="P28" s="86"/>
      <c r="Q28" s="222"/>
      <c r="R28" s="86"/>
      <c r="S28" s="86"/>
      <c r="T28" s="37" t="e">
        <f t="shared" si="3"/>
        <v>#DIV/0!</v>
      </c>
      <c r="U28" s="38" t="e">
        <f t="shared" si="4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0">
        <v>69.7</v>
      </c>
      <c r="AO28" s="240" cm="1">
        <f t="array" ref="AO28">pareto($C27:$C32,$D27:$D32,2,"rate",$AQ$1,$AN28,$AN30)</f>
        <v>159.33439999999999</v>
      </c>
      <c r="AP28" s="240" cm="1">
        <f t="array" ref="AP28">pareto($C27:$C32,$D27:$D32,2,"dist",$AQ$1,$AN28,$AN30)</f>
        <v>68.146718100000001</v>
      </c>
      <c r="AQ28" s="240" cm="1">
        <f t="array" ref="AQ28">pareto($L27:$L32,$M27:$M32,2,"rate",$AQ$1,$AN28,$AN30)</f>
        <v>159.33439999999999</v>
      </c>
      <c r="AR28" s="240" cm="1">
        <f t="array" ref="AR28">pareto($L27:$L32,$M27:$M32,2,"dist",$AQ$1,$AN28,$AN30)</f>
        <v>68.146718100000001</v>
      </c>
      <c r="AS28" s="240"/>
      <c r="AT28" s="240"/>
      <c r="AU28" s="240"/>
      <c r="AV28" s="240"/>
      <c r="AW28" s="240"/>
      <c r="AX28" s="240"/>
    </row>
    <row r="29" spans="1:50" ht="12" customHeight="1" x14ac:dyDescent="0.25">
      <c r="A29" s="58"/>
      <c r="B29" s="107" t="s">
        <v>252</v>
      </c>
      <c r="C29" s="267">
        <v>102.49679999999999</v>
      </c>
      <c r="D29" s="267">
        <v>63.497425999999997</v>
      </c>
      <c r="E29" s="86"/>
      <c r="F29" s="86"/>
      <c r="G29" s="86"/>
      <c r="H29" s="86"/>
      <c r="I29" s="86"/>
      <c r="J29" s="86"/>
      <c r="K29" s="110"/>
      <c r="L29" s="267">
        <v>102.49679999999999</v>
      </c>
      <c r="M29" s="267">
        <v>63.497425999999997</v>
      </c>
      <c r="N29" s="86"/>
      <c r="O29" s="86"/>
      <c r="P29" s="86"/>
      <c r="Q29" s="222"/>
      <c r="R29" s="86"/>
      <c r="S29" s="86"/>
      <c r="T29" s="37" t="e">
        <f t="shared" si="3"/>
        <v>#DIV/0!</v>
      </c>
      <c r="U29" s="38" t="e">
        <f t="shared" si="4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0" t="s">
        <v>44</v>
      </c>
      <c r="AO29" s="240" cm="1">
        <f t="array" ref="AO29">pareto($C27:$C32,$D27:$D32,3,"rate",$AQ$1,$AN28,$AN30)</f>
        <v>102.49679999999999</v>
      </c>
      <c r="AP29" s="240" cm="1">
        <f t="array" ref="AP29">pareto($C27:$C32,$D27:$D32,3,"dist",$AQ$1,$AN28,$AN30)</f>
        <v>63.497425999999997</v>
      </c>
      <c r="AQ29" s="240" cm="1">
        <f t="array" ref="AQ29">pareto($L27:$L32,$M27:$M32,3,"rate",$AQ$1,$AN28,$AN30)</f>
        <v>102.49679999999999</v>
      </c>
      <c r="AR29" s="240" cm="1">
        <f t="array" ref="AR29">pareto($L27:$L32,$M27:$M32,3,"dist",$AQ$1,$AN28,$AN30)</f>
        <v>63.497425999999997</v>
      </c>
      <c r="AS29" s="240"/>
      <c r="AT29" s="240"/>
      <c r="AU29" s="240"/>
      <c r="AV29" s="240"/>
      <c r="AW29" s="240"/>
      <c r="AX29" s="240"/>
    </row>
    <row r="30" spans="1:50" ht="12" customHeight="1" x14ac:dyDescent="0.25">
      <c r="A30" s="58"/>
      <c r="B30" s="107" t="s">
        <v>253</v>
      </c>
      <c r="C30" s="267">
        <v>56.12</v>
      </c>
      <c r="D30" s="267">
        <v>56.032818499999998</v>
      </c>
      <c r="E30" s="86"/>
      <c r="F30" s="86"/>
      <c r="G30" s="86"/>
      <c r="H30" s="86"/>
      <c r="I30" s="86"/>
      <c r="J30" s="86"/>
      <c r="K30" s="110"/>
      <c r="L30" s="267">
        <v>56.12</v>
      </c>
      <c r="M30" s="267">
        <v>56.032818499999998</v>
      </c>
      <c r="N30" s="86"/>
      <c r="O30" s="86"/>
      <c r="P30" s="86"/>
      <c r="Q30" s="222"/>
      <c r="R30" s="86"/>
      <c r="S30" s="86"/>
      <c r="T30" s="37" t="e">
        <f t="shared" si="3"/>
        <v>#DIV/0!</v>
      </c>
      <c r="U30" s="38" t="e">
        <f t="shared" si="4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0">
        <v>25</v>
      </c>
      <c r="AO30" s="240" cm="1">
        <f t="array" ref="AO30">pareto($C27:$C32,$D27:$D32,4,"rate",$AQ$1,$AN28,$AN30)</f>
        <v>56.12</v>
      </c>
      <c r="AP30" s="240" cm="1">
        <f t="array" ref="AP30">pareto($C27:$C32,$D27:$D32,4,"dist",$AQ$1,$AN28,$AN30)</f>
        <v>56.032818499999998</v>
      </c>
      <c r="AQ30" s="240" cm="1">
        <f t="array" ref="AQ30">pareto($L27:$L32,$M27:$M32,4,"rate",$AQ$1,$AN28,$AN30)</f>
        <v>56.12</v>
      </c>
      <c r="AR30" s="240" cm="1">
        <f t="array" ref="AR30">pareto($L27:$L32,$M27:$M32,4,"dist",$AQ$1,$AN28,$AN30)</f>
        <v>56.032818499999998</v>
      </c>
      <c r="AS30" s="240"/>
      <c r="AT30" s="240"/>
      <c r="AU30" s="240"/>
      <c r="AV30" s="240"/>
      <c r="AW30" s="240"/>
      <c r="AX30" s="240"/>
    </row>
    <row r="31" spans="1:50" ht="12" customHeight="1" x14ac:dyDescent="0.25">
      <c r="A31" s="58"/>
      <c r="B31" s="107" t="s">
        <v>254</v>
      </c>
      <c r="C31" s="267">
        <v>29.685600000000001</v>
      </c>
      <c r="D31" s="267">
        <v>40.1222651</v>
      </c>
      <c r="E31" s="86"/>
      <c r="F31" s="86"/>
      <c r="G31" s="86"/>
      <c r="H31" s="86"/>
      <c r="I31" s="86"/>
      <c r="J31" s="86"/>
      <c r="K31" s="110"/>
      <c r="L31" s="267">
        <v>29.685600000000001</v>
      </c>
      <c r="M31" s="267">
        <v>40.1222651</v>
      </c>
      <c r="N31" s="86"/>
      <c r="O31" s="86"/>
      <c r="P31" s="86"/>
      <c r="Q31" s="222"/>
      <c r="R31" s="86"/>
      <c r="S31" s="86"/>
      <c r="T31" s="37" t="e">
        <f t="shared" si="3"/>
        <v>#DIV/0!</v>
      </c>
      <c r="U31" s="38" t="e">
        <f t="shared" si="4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0"/>
      <c r="AO31" s="240" cm="1">
        <f t="array" ref="AO31">pareto($C27:$C32,$D27:$D32,5,"rate",$AQ$1,$AN28,$AN30)</f>
        <v>29.685600000000001</v>
      </c>
      <c r="AP31" s="240" cm="1">
        <f t="array" ref="AP31">pareto($C27:$C32,$D27:$D32,5,"dist",$AQ$1,$AN28,$AN30)</f>
        <v>40.1222651</v>
      </c>
      <c r="AQ31" s="240" cm="1">
        <f t="array" ref="AQ31">pareto($L27:$L32,$M27:$M32,5,"rate",$AQ$1,$AN28,$AN30)</f>
        <v>29.685600000000001</v>
      </c>
      <c r="AR31" s="240" cm="1">
        <f t="array" ref="AR31">pareto($L27:$L32,$M27:$M32,5,"dist",$AQ$1,$AN28,$AN30)</f>
        <v>40.1222651</v>
      </c>
      <c r="AS31" s="240"/>
      <c r="AT31" s="240"/>
      <c r="AU31" s="240"/>
      <c r="AV31" s="240"/>
      <c r="AW31" s="240"/>
      <c r="AX31" s="240"/>
    </row>
    <row r="32" spans="1:50" ht="12" customHeight="1" thickBot="1" x14ac:dyDescent="0.3">
      <c r="A32" s="45"/>
      <c r="B32" s="108" t="s">
        <v>255</v>
      </c>
      <c r="C32" s="267">
        <v>15.397600000000001</v>
      </c>
      <c r="D32" s="267">
        <v>12.9343629</v>
      </c>
      <c r="E32" s="94"/>
      <c r="F32" s="94"/>
      <c r="G32" s="94"/>
      <c r="H32" s="94"/>
      <c r="I32" s="94"/>
      <c r="J32" s="94"/>
      <c r="K32" s="110"/>
      <c r="L32" s="267">
        <v>15.397600000000001</v>
      </c>
      <c r="M32" s="267">
        <v>12.9343629</v>
      </c>
      <c r="N32" s="94"/>
      <c r="O32" s="94"/>
      <c r="P32" s="94"/>
      <c r="Q32" s="223"/>
      <c r="R32" s="94"/>
      <c r="S32" s="94"/>
      <c r="T32" s="3" t="e">
        <f t="shared" si="3"/>
        <v>#DIV/0!</v>
      </c>
      <c r="U32" s="39" t="e">
        <f t="shared" si="4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0"/>
      <c r="AO32" s="240" cm="1">
        <f t="array" ref="AO32">pareto($C27:$C32,$D27:$D32,6,"rate",$AQ$1,$AN28,$AN30)</f>
        <v>15.397600000000001</v>
      </c>
      <c r="AP32" s="240" cm="1">
        <f t="array" ref="AP32">pareto($C27:$C32,$D27:$D32,6,"dist",$AQ$1,$AN28,$AN30)</f>
        <v>12.9343629</v>
      </c>
      <c r="AQ32" s="240" cm="1">
        <f t="array" ref="AQ32">pareto($L27:$L32,$M27:$M32,6,"rate",$AQ$1,$AN28,$AN30)</f>
        <v>15.397600000000001</v>
      </c>
      <c r="AR32" s="240" cm="1">
        <f t="array" ref="AR32">pareto($L27:$L32,$M27:$M32,6,"dist",$AQ$1,$AN28,$AN30)</f>
        <v>12.9343629</v>
      </c>
      <c r="AS32" s="240"/>
      <c r="AT32" s="240"/>
      <c r="AU32" s="240"/>
      <c r="AV32" s="240"/>
      <c r="AW32" s="240"/>
      <c r="AX32" s="240"/>
    </row>
    <row r="33" spans="1:50" ht="12" customHeight="1" x14ac:dyDescent="0.25">
      <c r="A33" s="141" t="s">
        <v>234</v>
      </c>
      <c r="B33" s="106" t="s">
        <v>250</v>
      </c>
      <c r="C33" s="267">
        <v>805.07759999999905</v>
      </c>
      <c r="D33" s="267">
        <v>75.435408100000004</v>
      </c>
      <c r="E33" s="83"/>
      <c r="F33" s="83"/>
      <c r="G33" s="83"/>
      <c r="H33" s="83"/>
      <c r="I33" s="83"/>
      <c r="J33" s="83"/>
      <c r="K33" s="110"/>
      <c r="L33" s="267">
        <v>805.07759999999905</v>
      </c>
      <c r="M33" s="267">
        <v>75.435408100000004</v>
      </c>
      <c r="N33" s="83"/>
      <c r="O33" s="83"/>
      <c r="P33" s="83"/>
      <c r="Q33" s="222"/>
      <c r="R33" s="83"/>
      <c r="S33" s="83"/>
      <c r="T33" s="37" t="e">
        <f t="shared" ref="T33:T38" si="5">R33/I33</f>
        <v>#DIV/0!</v>
      </c>
      <c r="U33" s="38" t="e">
        <f t="shared" ref="U33:U38" si="6">S33/J33</f>
        <v>#DIV/0!</v>
      </c>
      <c r="V33" s="55"/>
      <c r="W33" s="14">
        <f>bdRateExtend($C33:$C38,D33:D38,$L33:$L38,$M33:$M38)</f>
        <v>0</v>
      </c>
      <c r="X33" s="14">
        <f>bdRateExtend($C33:$C37,$D33:$D37,$L33:$L37,$M33:$M37)</f>
        <v>0</v>
      </c>
      <c r="Y33" s="14">
        <f>bdRateExtend($C34:$C38,$D34:$D38,$L34:$L38,$M34:$M38)</f>
        <v>0</v>
      </c>
      <c r="Z33" s="14">
        <f>bdRateExtend($C33:$C36,$D33:$D36,$L33:$L36,$M33:$M36)</f>
        <v>0</v>
      </c>
      <c r="AA33" s="14">
        <f>bdRateExtend($C34:$C37,$D34:$D37,$L34:$L37,$M34:$M37)</f>
        <v>0</v>
      </c>
      <c r="AB33" s="14">
        <f>bdRateExtend($C35:$C38,$D35:$D38,$L35:$L38,$M35:$M38)</f>
        <v>0</v>
      </c>
      <c r="AC33" s="145" cm="1">
        <f t="array" ref="AC33">bdRatePareto(AO33:AO38,AP33:AP38,AQ33:AQ38,AR33:AR38)</f>
        <v>0</v>
      </c>
      <c r="AD33" s="14" t="e">
        <f>bdRateExtend($C33:$C38,E33:E38,$L33:$L38,N33:N38)</f>
        <v>#VALUE!</v>
      </c>
      <c r="AE33" s="14" t="e">
        <f>bdRateExtend($C33:$C38,F33:F38,$L33:$L38,O33:O38)</f>
        <v>#VALUE!</v>
      </c>
      <c r="AF33" s="15" t="e">
        <f>bdRateExtend($C33:$C38,G33:G38,$L33:$L38,P33:P38)</f>
        <v>#VALUE!</v>
      </c>
      <c r="AG33" s="72">
        <f>bdPSNRExtend($C33:$C38,$D33:$D38,$L33:$L38,$M33:$M38)</f>
        <v>0</v>
      </c>
      <c r="AN33" s="240" t="s">
        <v>213</v>
      </c>
      <c r="AO33" s="240" cm="1">
        <f t="array" ref="AO33">pareto($C33:$C38,$D33:$D38,1,"rate",$AQ$1,$AN34,$AN36)</f>
        <v>805.07759999999905</v>
      </c>
      <c r="AP33" s="240" cm="1">
        <f t="array" ref="AP33">pareto($C33:$C38,$D33:$D38,1,"dist",$AQ$1,$AN34,$AN36)</f>
        <v>75.435408100000004</v>
      </c>
      <c r="AQ33" s="240" cm="1">
        <f t="array" ref="AQ33">pareto($L33:$L38,$M33:$M38,1,"rate",$AQ$1,$AN34,$AN36)</f>
        <v>805.07759999999905</v>
      </c>
      <c r="AR33" s="240" cm="1">
        <f t="array" ref="AR33">pareto($L33:$L38,$M33:$M38,1,"dist",$AQ$1,$AN34,$AN36)</f>
        <v>75.435408100000004</v>
      </c>
      <c r="AS33" s="240"/>
      <c r="AT33" s="240"/>
      <c r="AU33" s="240"/>
      <c r="AV33" s="240"/>
      <c r="AW33" s="240"/>
      <c r="AX33" s="240"/>
    </row>
    <row r="34" spans="1:50" ht="12" customHeight="1" x14ac:dyDescent="0.25">
      <c r="A34" s="58"/>
      <c r="B34" s="107" t="s">
        <v>251</v>
      </c>
      <c r="C34" s="267">
        <v>442.79279999999898</v>
      </c>
      <c r="D34" s="267">
        <v>74.708465799999999</v>
      </c>
      <c r="E34" s="86"/>
      <c r="F34" s="86"/>
      <c r="G34" s="86"/>
      <c r="H34" s="86"/>
      <c r="I34" s="86"/>
      <c r="J34" s="86"/>
      <c r="K34" s="110"/>
      <c r="L34" s="267">
        <v>442.79279999999898</v>
      </c>
      <c r="M34" s="267">
        <v>74.708465799999999</v>
      </c>
      <c r="N34" s="86"/>
      <c r="O34" s="86"/>
      <c r="P34" s="86"/>
      <c r="Q34" s="222"/>
      <c r="R34" s="86"/>
      <c r="S34" s="86"/>
      <c r="T34" s="37" t="e">
        <f t="shared" si="5"/>
        <v>#DIV/0!</v>
      </c>
      <c r="U34" s="38" t="e">
        <f t="shared" si="6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0">
        <v>73</v>
      </c>
      <c r="AO34" s="240" cm="1">
        <f t="array" ref="AO34">pareto($C33:$C38,$D33:$D38,2,"rate",$AQ$1,$AN34,$AN36)</f>
        <v>442.79279999999898</v>
      </c>
      <c r="AP34" s="240" cm="1">
        <f t="array" ref="AP34">pareto($C33:$C38,$D33:$D38,2,"dist",$AQ$1,$AN34,$AN36)</f>
        <v>74.708465799999999</v>
      </c>
      <c r="AQ34" s="240" cm="1">
        <f t="array" ref="AQ34">pareto($L33:$L38,$M33:$M38,2,"rate",$AQ$1,$AN34,$AN36)</f>
        <v>442.79279999999898</v>
      </c>
      <c r="AR34" s="240" cm="1">
        <f t="array" ref="AR34">pareto($L33:$L38,$M33:$M38,2,"dist",$AQ$1,$AN34,$AN36)</f>
        <v>74.708465799999999</v>
      </c>
      <c r="AS34" s="240"/>
      <c r="AT34" s="240"/>
      <c r="AU34" s="240"/>
      <c r="AV34" s="240"/>
      <c r="AW34" s="240"/>
      <c r="AX34" s="240"/>
    </row>
    <row r="35" spans="1:50" ht="12" customHeight="1" x14ac:dyDescent="0.25">
      <c r="A35" s="58"/>
      <c r="B35" s="107" t="s">
        <v>252</v>
      </c>
      <c r="C35" s="267">
        <v>246.25599999999901</v>
      </c>
      <c r="D35" s="267">
        <v>73.572618500000004</v>
      </c>
      <c r="E35" s="86"/>
      <c r="F35" s="86"/>
      <c r="G35" s="86"/>
      <c r="H35" s="86"/>
      <c r="I35" s="86"/>
      <c r="J35" s="86"/>
      <c r="K35" s="110"/>
      <c r="L35" s="267">
        <v>246.25599999999901</v>
      </c>
      <c r="M35" s="267">
        <v>73.572618500000004</v>
      </c>
      <c r="N35" s="86"/>
      <c r="O35" s="86"/>
      <c r="P35" s="86"/>
      <c r="Q35" s="222"/>
      <c r="R35" s="86"/>
      <c r="S35" s="86"/>
      <c r="T35" s="37" t="e">
        <f t="shared" si="5"/>
        <v>#DIV/0!</v>
      </c>
      <c r="U35" s="38" t="e">
        <f t="shared" si="6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0" t="s">
        <v>44</v>
      </c>
      <c r="AO35" s="240" cm="1">
        <f t="array" ref="AO35">pareto($C33:$C38,$D33:$D38,3,"rate",$AQ$1,$AN34,$AN36)</f>
        <v>246.25599999999901</v>
      </c>
      <c r="AP35" s="240" cm="1">
        <f t="array" ref="AP35">pareto($C33:$C38,$D33:$D38,3,"dist",$AQ$1,$AN34,$AN36)</f>
        <v>73.572618500000004</v>
      </c>
      <c r="AQ35" s="240" cm="1">
        <f t="array" ref="AQ35">pareto($L33:$L38,$M33:$M38,3,"rate",$AQ$1,$AN34,$AN36)</f>
        <v>246.25599999999901</v>
      </c>
      <c r="AR35" s="240" cm="1">
        <f t="array" ref="AR35">pareto($L33:$L38,$M33:$M38,3,"dist",$AQ$1,$AN34,$AN36)</f>
        <v>73.572618500000004</v>
      </c>
      <c r="AS35" s="240"/>
      <c r="AT35" s="240"/>
      <c r="AU35" s="240"/>
      <c r="AV35" s="240"/>
      <c r="AW35" s="240"/>
      <c r="AX35" s="240"/>
    </row>
    <row r="36" spans="1:50" ht="12" customHeight="1" x14ac:dyDescent="0.25">
      <c r="A36" s="58"/>
      <c r="B36" s="107" t="s">
        <v>253</v>
      </c>
      <c r="C36" s="267">
        <v>135.02319999999901</v>
      </c>
      <c r="D36" s="267">
        <v>69.922762399999996</v>
      </c>
      <c r="E36" s="86"/>
      <c r="F36" s="86"/>
      <c r="G36" s="86"/>
      <c r="H36" s="86"/>
      <c r="I36" s="86"/>
      <c r="J36" s="86"/>
      <c r="K36" s="110"/>
      <c r="L36" s="267">
        <v>135.02319999999901</v>
      </c>
      <c r="M36" s="267">
        <v>69.922762399999996</v>
      </c>
      <c r="N36" s="86"/>
      <c r="O36" s="86"/>
      <c r="P36" s="86"/>
      <c r="Q36" s="222"/>
      <c r="R36" s="86"/>
      <c r="S36" s="86"/>
      <c r="T36" s="37" t="e">
        <f t="shared" si="5"/>
        <v>#DIV/0!</v>
      </c>
      <c r="U36" s="38" t="e">
        <f t="shared" si="6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0">
        <v>25</v>
      </c>
      <c r="AO36" s="240" cm="1">
        <f t="array" ref="AO36">pareto($C33:$C38,$D33:$D38,4,"rate",$AQ$1,$AN34,$AN36)</f>
        <v>135.02319999999901</v>
      </c>
      <c r="AP36" s="240" cm="1">
        <f t="array" ref="AP36">pareto($C33:$C38,$D33:$D38,4,"dist",$AQ$1,$AN34,$AN36)</f>
        <v>69.922762399999996</v>
      </c>
      <c r="AQ36" s="240" cm="1">
        <f t="array" ref="AQ36">pareto($L33:$L38,$M33:$M38,4,"rate",$AQ$1,$AN34,$AN36)</f>
        <v>135.02319999999901</v>
      </c>
      <c r="AR36" s="240" cm="1">
        <f t="array" ref="AR36">pareto($L33:$L38,$M33:$M38,4,"dist",$AQ$1,$AN34,$AN36)</f>
        <v>69.922762399999996</v>
      </c>
      <c r="AS36" s="240"/>
      <c r="AT36" s="240"/>
      <c r="AU36" s="240"/>
      <c r="AV36" s="240"/>
      <c r="AW36" s="240"/>
      <c r="AX36" s="240"/>
    </row>
    <row r="37" spans="1:50" ht="12" customHeight="1" x14ac:dyDescent="0.25">
      <c r="A37" s="58"/>
      <c r="B37" s="107" t="s">
        <v>254</v>
      </c>
      <c r="C37" s="267">
        <v>62.081600000000002</v>
      </c>
      <c r="D37" s="267">
        <v>63.047099799999998</v>
      </c>
      <c r="E37" s="86"/>
      <c r="F37" s="86"/>
      <c r="G37" s="86"/>
      <c r="H37" s="86"/>
      <c r="I37" s="86"/>
      <c r="J37" s="86"/>
      <c r="K37" s="110"/>
      <c r="L37" s="267">
        <v>62.081600000000002</v>
      </c>
      <c r="M37" s="267">
        <v>63.047099799999998</v>
      </c>
      <c r="N37" s="86"/>
      <c r="O37" s="86"/>
      <c r="P37" s="86"/>
      <c r="Q37" s="222"/>
      <c r="R37" s="86"/>
      <c r="S37" s="86"/>
      <c r="T37" s="37" t="e">
        <f t="shared" si="5"/>
        <v>#DIV/0!</v>
      </c>
      <c r="U37" s="38" t="e">
        <f t="shared" si="6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0"/>
      <c r="AO37" s="240" cm="1">
        <f t="array" ref="AO37">pareto($C33:$C38,$D33:$D38,5,"rate",$AQ$1,$AN34,$AN36)</f>
        <v>62.081600000000002</v>
      </c>
      <c r="AP37" s="240" cm="1">
        <f t="array" ref="AP37">pareto($C33:$C38,$D33:$D38,5,"dist",$AQ$1,$AN34,$AN36)</f>
        <v>63.047099799999998</v>
      </c>
      <c r="AQ37" s="240" cm="1">
        <f t="array" ref="AQ37">pareto($L33:$L38,$M33:$M38,5,"rate",$AQ$1,$AN34,$AN36)</f>
        <v>62.081600000000002</v>
      </c>
      <c r="AR37" s="240" cm="1">
        <f t="array" ref="AR37">pareto($L33:$L38,$M33:$M38,5,"dist",$AQ$1,$AN34,$AN36)</f>
        <v>63.047099799999998</v>
      </c>
      <c r="AS37" s="240"/>
      <c r="AT37" s="240"/>
      <c r="AU37" s="240"/>
      <c r="AV37" s="240"/>
      <c r="AW37" s="240"/>
      <c r="AX37" s="240"/>
    </row>
    <row r="38" spans="1:50" ht="12" customHeight="1" thickBot="1" x14ac:dyDescent="0.3">
      <c r="A38" s="45"/>
      <c r="B38" s="108" t="s">
        <v>255</v>
      </c>
      <c r="C38" s="267">
        <v>32.107999999999997</v>
      </c>
      <c r="D38" s="267">
        <v>37.816144199999997</v>
      </c>
      <c r="E38" s="94"/>
      <c r="F38" s="94"/>
      <c r="G38" s="94"/>
      <c r="H38" s="94"/>
      <c r="I38" s="94"/>
      <c r="J38" s="94"/>
      <c r="K38" s="110"/>
      <c r="L38" s="267">
        <v>32.107999999999997</v>
      </c>
      <c r="M38" s="267">
        <v>37.816144199999997</v>
      </c>
      <c r="N38" s="94"/>
      <c r="O38" s="94"/>
      <c r="P38" s="94"/>
      <c r="Q38" s="223"/>
      <c r="R38" s="94"/>
      <c r="S38" s="94"/>
      <c r="T38" s="3" t="e">
        <f t="shared" si="5"/>
        <v>#DIV/0!</v>
      </c>
      <c r="U38" s="39" t="e">
        <f t="shared" si="6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0"/>
      <c r="AO38" s="240" cm="1">
        <f t="array" ref="AO38">pareto($C33:$C38,$D33:$D38,6,"rate",$AQ$1,$AN34,$AN36)</f>
        <v>32.107999999999997</v>
      </c>
      <c r="AP38" s="240" cm="1">
        <f t="array" ref="AP38">pareto($C33:$C38,$D33:$D38,6,"dist",$AQ$1,$AN34,$AN36)</f>
        <v>37.816144199999997</v>
      </c>
      <c r="AQ38" s="240" cm="1">
        <f t="array" ref="AQ38">pareto($L33:$L38,$M33:$M38,6,"rate",$AQ$1,$AN34,$AN36)</f>
        <v>32.107999999999997</v>
      </c>
      <c r="AR38" s="240" cm="1">
        <f t="array" ref="AR38">pareto($L33:$L38,$M33:$M38,6,"dist",$AQ$1,$AN34,$AN36)</f>
        <v>37.816144199999997</v>
      </c>
      <c r="AS38" s="240"/>
      <c r="AT38" s="240"/>
      <c r="AU38" s="240"/>
      <c r="AV38" s="240"/>
      <c r="AW38" s="240"/>
      <c r="AX38" s="240"/>
    </row>
    <row r="39" spans="1:50" ht="12" customHeight="1" x14ac:dyDescent="0.25">
      <c r="A39" s="141" t="s">
        <v>235</v>
      </c>
      <c r="B39" s="106" t="s">
        <v>250</v>
      </c>
      <c r="C39" s="267">
        <v>869.64879999999903</v>
      </c>
      <c r="D39" s="267">
        <v>72.409909900000002</v>
      </c>
      <c r="E39" s="83"/>
      <c r="F39" s="83"/>
      <c r="G39" s="83"/>
      <c r="H39" s="83"/>
      <c r="I39" s="83"/>
      <c r="J39" s="83"/>
      <c r="K39" s="110"/>
      <c r="L39" s="267">
        <v>869.64879999999903</v>
      </c>
      <c r="M39" s="267">
        <v>72.297297299999997</v>
      </c>
      <c r="N39" s="83"/>
      <c r="O39" s="83"/>
      <c r="P39" s="83"/>
      <c r="Q39" s="222"/>
      <c r="R39" s="83"/>
      <c r="S39" s="83"/>
      <c r="T39" s="37" t="e">
        <f t="shared" ref="T39:T44" si="7">R39/I39</f>
        <v>#DIV/0!</v>
      </c>
      <c r="U39" s="38" t="e">
        <f t="shared" ref="U39:U44" si="8">S39/J39</f>
        <v>#DIV/0!</v>
      </c>
      <c r="V39" s="55"/>
      <c r="W39" s="14">
        <f>bdRateExtend($C39:$C44,D39:D44,$L39:$L44,$M39:$M44)</f>
        <v>3.5217084253567066E-3</v>
      </c>
      <c r="X39" s="14">
        <f>bdRateExtend($C39:$C43,$D39:$D43,$L39:$L43,$M39:$M43)</f>
        <v>3.3862394594676992E-3</v>
      </c>
      <c r="Y39" s="14">
        <f>bdRateExtend($C40:$C44,$D40:$D44,$L40:$L44,$M40:$M44)</f>
        <v>3.0555146955393298E-3</v>
      </c>
      <c r="Z39" s="14">
        <f>bdRateExtend($C39:$C42,$D39:$D42,$L39:$L42,$M39:$M42)</f>
        <v>2.0595229411999316E-3</v>
      </c>
      <c r="AA39" s="14">
        <f>bdRateExtend($C40:$C43,$D40:$D43,$L40:$L43,$M40:$M43)</f>
        <v>2.45804830752272E-3</v>
      </c>
      <c r="AB39" s="14">
        <f>bdRateExtend($C41:$C44,$D41:$D44,$L41:$L44,$M41:$M44)</f>
        <v>3.2025589571662572E-3</v>
      </c>
      <c r="AC39" s="145" cm="1">
        <f t="array" ref="AC39">bdRatePareto(AO39:AO44,AP39:AP44,AQ39:AQ44,AR39:AR44)</f>
        <v>3.5217084253567066E-3</v>
      </c>
      <c r="AD39" s="14" t="e">
        <f>bdRateExtend($C39:$C44,E39:E44,$L39:$L44,N39:N44)</f>
        <v>#VALUE!</v>
      </c>
      <c r="AE39" s="14" t="e">
        <f>bdRateExtend($C39:$C44,F39:F44,$L39:$L44,O39:O44)</f>
        <v>#VALUE!</v>
      </c>
      <c r="AF39" s="15" t="e">
        <f>bdRateExtend($C39:$C44,G39:G44,$L39:$L44,P39:P44)</f>
        <v>#VALUE!</v>
      </c>
      <c r="AG39" s="72">
        <f>bdPSNRExtend($C39:$C44,$D39:$D44,$L39:$L44,$M39:$M44)</f>
        <v>-3.422455103844671E-2</v>
      </c>
      <c r="AN39" s="240" t="s">
        <v>213</v>
      </c>
      <c r="AO39" s="240" cm="1">
        <f t="array" ref="AO39">pareto($C39:$C44,$D39:$D44,1,"rate",$AQ$1,$AN40,$AN42)</f>
        <v>869.64879999999903</v>
      </c>
      <c r="AP39" s="240" cm="1">
        <f t="array" ref="AP39">pareto($C39:$C44,$D39:$D44,1,"dist",$AQ$1,$AN40,$AN42)</f>
        <v>72.409909900000002</v>
      </c>
      <c r="AQ39" s="240" cm="1">
        <f t="array" ref="AQ39">pareto($L39:$L44,$M39:$M44,1,"rate",$AQ$1,$AN40,$AN42)</f>
        <v>869.64879999999903</v>
      </c>
      <c r="AR39" s="240" cm="1">
        <f t="array" ref="AR39">pareto($L39:$L44,$M39:$M44,1,"dist",$AQ$1,$AN40,$AN42)</f>
        <v>72.297297299999997</v>
      </c>
      <c r="AS39" s="240"/>
      <c r="AT39" s="240"/>
      <c r="AU39" s="240"/>
      <c r="AV39" s="240"/>
      <c r="AW39" s="240"/>
      <c r="AX39" s="240"/>
    </row>
    <row r="40" spans="1:50" ht="12" customHeight="1" x14ac:dyDescent="0.25">
      <c r="A40" s="58"/>
      <c r="B40" s="107" t="s">
        <v>251</v>
      </c>
      <c r="C40" s="267">
        <v>553.75360000000001</v>
      </c>
      <c r="D40" s="267">
        <v>69.904279299999999</v>
      </c>
      <c r="E40" s="86"/>
      <c r="F40" s="86"/>
      <c r="G40" s="86"/>
      <c r="H40" s="86"/>
      <c r="I40" s="86"/>
      <c r="J40" s="86"/>
      <c r="K40" s="110"/>
      <c r="L40" s="267">
        <v>553.75360000000001</v>
      </c>
      <c r="M40" s="267">
        <v>69.876126099999993</v>
      </c>
      <c r="N40" s="86"/>
      <c r="O40" s="86"/>
      <c r="P40" s="86"/>
      <c r="Q40" s="222"/>
      <c r="R40" s="86"/>
      <c r="S40" s="86"/>
      <c r="T40" s="37" t="e">
        <f t="shared" si="7"/>
        <v>#DIV/0!</v>
      </c>
      <c r="U40" s="38" t="e">
        <f t="shared" si="8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0">
        <v>70</v>
      </c>
      <c r="AO40" s="240" cm="1">
        <f t="array" ref="AO40">pareto($C39:$C44,$D39:$D44,2,"rate",$AQ$1,$AN40,$AN42)</f>
        <v>553.75360000000001</v>
      </c>
      <c r="AP40" s="240" cm="1">
        <f t="array" ref="AP40">pareto($C39:$C44,$D39:$D44,2,"dist",$AQ$1,$AN40,$AN42)</f>
        <v>69.904279299999999</v>
      </c>
      <c r="AQ40" s="240" cm="1">
        <f t="array" ref="AQ40">pareto($L39:$L44,$M39:$M44,2,"rate",$AQ$1,$AN40,$AN42)</f>
        <v>553.75360000000001</v>
      </c>
      <c r="AR40" s="240" cm="1">
        <f t="array" ref="AR40">pareto($L39:$L44,$M39:$M44,2,"dist",$AQ$1,$AN40,$AN42)</f>
        <v>69.876126099999993</v>
      </c>
      <c r="AS40" s="240"/>
      <c r="AT40" s="240"/>
      <c r="AU40" s="240"/>
      <c r="AV40" s="240"/>
      <c r="AW40" s="240"/>
      <c r="AX40" s="240"/>
    </row>
    <row r="41" spans="1:50" ht="12" customHeight="1" x14ac:dyDescent="0.25">
      <c r="A41" s="58"/>
      <c r="B41" s="107" t="s">
        <v>252</v>
      </c>
      <c r="C41" s="267">
        <v>261.67599999999999</v>
      </c>
      <c r="D41" s="267">
        <v>63.316441400000002</v>
      </c>
      <c r="E41" s="86"/>
      <c r="F41" s="86"/>
      <c r="G41" s="86"/>
      <c r="H41" s="86"/>
      <c r="I41" s="86"/>
      <c r="J41" s="86"/>
      <c r="K41" s="110"/>
      <c r="L41" s="267">
        <v>261.67599999999999</v>
      </c>
      <c r="M41" s="267">
        <v>63.316441400000002</v>
      </c>
      <c r="N41" s="86"/>
      <c r="O41" s="86"/>
      <c r="P41" s="86"/>
      <c r="Q41" s="222"/>
      <c r="R41" s="86"/>
      <c r="S41" s="86"/>
      <c r="T41" s="37" t="e">
        <f t="shared" si="7"/>
        <v>#DIV/0!</v>
      </c>
      <c r="U41" s="38" t="e">
        <f t="shared" si="8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0" t="s">
        <v>44</v>
      </c>
      <c r="AO41" s="240" cm="1">
        <f t="array" ref="AO41">pareto($C39:$C44,$D39:$D44,3,"rate",$AQ$1,$AN40,$AN42)</f>
        <v>261.67599999999999</v>
      </c>
      <c r="AP41" s="240" cm="1">
        <f t="array" ref="AP41">pareto($C39:$C44,$D39:$D44,3,"dist",$AQ$1,$AN40,$AN42)</f>
        <v>63.316441400000002</v>
      </c>
      <c r="AQ41" s="240" cm="1">
        <f t="array" ref="AQ41">pareto($L39:$L44,$M39:$M44,3,"rate",$AQ$1,$AN40,$AN42)</f>
        <v>261.67599999999999</v>
      </c>
      <c r="AR41" s="240" cm="1">
        <f t="array" ref="AR41">pareto($L39:$L44,$M39:$M44,3,"dist",$AQ$1,$AN40,$AN42)</f>
        <v>63.316441400000002</v>
      </c>
      <c r="AS41" s="240"/>
      <c r="AT41" s="240"/>
      <c r="AU41" s="240"/>
      <c r="AV41" s="240"/>
      <c r="AW41" s="240"/>
      <c r="AX41" s="240"/>
    </row>
    <row r="42" spans="1:50" ht="12" customHeight="1" x14ac:dyDescent="0.25">
      <c r="A42" s="58"/>
      <c r="B42" s="107" t="s">
        <v>253</v>
      </c>
      <c r="C42" s="267">
        <v>125.141599999999</v>
      </c>
      <c r="D42" s="267">
        <v>57.235360399999998</v>
      </c>
      <c r="E42" s="86"/>
      <c r="F42" s="86"/>
      <c r="G42" s="86"/>
      <c r="H42" s="86"/>
      <c r="I42" s="86"/>
      <c r="J42" s="86"/>
      <c r="K42" s="110"/>
      <c r="L42" s="267">
        <v>125.141599999999</v>
      </c>
      <c r="M42" s="267">
        <v>57.235360399999998</v>
      </c>
      <c r="N42" s="86"/>
      <c r="O42" s="86"/>
      <c r="P42" s="86"/>
      <c r="Q42" s="222"/>
      <c r="R42" s="86"/>
      <c r="S42" s="86"/>
      <c r="T42" s="37" t="e">
        <f t="shared" si="7"/>
        <v>#DIV/0!</v>
      </c>
      <c r="U42" s="38" t="e">
        <f t="shared" si="8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0">
        <v>25</v>
      </c>
      <c r="AO42" s="240" cm="1">
        <f t="array" ref="AO42">pareto($C39:$C44,$D39:$D44,4,"rate",$AQ$1,$AN40,$AN42)</f>
        <v>125.141599999999</v>
      </c>
      <c r="AP42" s="240" cm="1">
        <f t="array" ref="AP42">pareto($C39:$C44,$D39:$D44,4,"dist",$AQ$1,$AN40,$AN42)</f>
        <v>57.235360399999998</v>
      </c>
      <c r="AQ42" s="240" cm="1">
        <f t="array" ref="AQ42">pareto($L39:$L44,$M39:$M44,4,"rate",$AQ$1,$AN40,$AN42)</f>
        <v>125.141599999999</v>
      </c>
      <c r="AR42" s="240" cm="1">
        <f t="array" ref="AR42">pareto($L39:$L44,$M39:$M44,4,"dist",$AQ$1,$AN40,$AN42)</f>
        <v>57.235360399999998</v>
      </c>
      <c r="AS42" s="240"/>
      <c r="AT42" s="240"/>
      <c r="AU42" s="240"/>
      <c r="AV42" s="240"/>
      <c r="AW42" s="240"/>
      <c r="AX42" s="240"/>
    </row>
    <row r="43" spans="1:50" ht="12" customHeight="1" x14ac:dyDescent="0.25">
      <c r="A43" s="58"/>
      <c r="B43" s="107" t="s">
        <v>254</v>
      </c>
      <c r="C43" s="267">
        <v>48.779199999999904</v>
      </c>
      <c r="D43" s="267">
        <v>52.815315300000002</v>
      </c>
      <c r="E43" s="86"/>
      <c r="F43" s="86"/>
      <c r="G43" s="86"/>
      <c r="H43" s="86"/>
      <c r="I43" s="86"/>
      <c r="J43" s="86"/>
      <c r="K43" s="110"/>
      <c r="L43" s="267">
        <v>48.779199999999904</v>
      </c>
      <c r="M43" s="267">
        <v>52.730855900000002</v>
      </c>
      <c r="N43" s="86"/>
      <c r="O43" s="86"/>
      <c r="P43" s="86"/>
      <c r="Q43" s="222"/>
      <c r="R43" s="86"/>
      <c r="S43" s="86"/>
      <c r="T43" s="37" t="e">
        <f t="shared" si="7"/>
        <v>#DIV/0!</v>
      </c>
      <c r="U43" s="38" t="e">
        <f t="shared" si="8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0"/>
      <c r="AO43" s="240" cm="1">
        <f t="array" ref="AO43">pareto($C39:$C44,$D39:$D44,5,"rate",$AQ$1,$AN40,$AN42)</f>
        <v>48.779199999999904</v>
      </c>
      <c r="AP43" s="240" cm="1">
        <f t="array" ref="AP43">pareto($C39:$C44,$D39:$D44,5,"dist",$AQ$1,$AN40,$AN42)</f>
        <v>52.815315300000002</v>
      </c>
      <c r="AQ43" s="240" cm="1">
        <f t="array" ref="AQ43">pareto($L39:$L44,$M39:$M44,5,"rate",$AQ$1,$AN40,$AN42)</f>
        <v>48.779199999999904</v>
      </c>
      <c r="AR43" s="240" cm="1">
        <f t="array" ref="AR43">pareto($L39:$L44,$M39:$M44,5,"dist",$AQ$1,$AN40,$AN42)</f>
        <v>52.730855900000002</v>
      </c>
      <c r="AS43" s="240"/>
      <c r="AT43" s="240"/>
      <c r="AU43" s="240"/>
      <c r="AV43" s="240"/>
      <c r="AW43" s="240"/>
      <c r="AX43" s="240"/>
    </row>
    <row r="44" spans="1:50" ht="12" customHeight="1" thickBot="1" x14ac:dyDescent="0.3">
      <c r="A44" s="45"/>
      <c r="B44" s="108" t="s">
        <v>255</v>
      </c>
      <c r="C44" s="267">
        <v>24.956800000000001</v>
      </c>
      <c r="D44" s="267">
        <v>36.599099099999997</v>
      </c>
      <c r="E44" s="94"/>
      <c r="F44" s="94"/>
      <c r="G44" s="94"/>
      <c r="H44" s="94"/>
      <c r="I44" s="94"/>
      <c r="J44" s="94"/>
      <c r="K44" s="111"/>
      <c r="L44" s="267">
        <v>24.956800000000001</v>
      </c>
      <c r="M44" s="267">
        <v>36.542792800000001</v>
      </c>
      <c r="N44" s="94"/>
      <c r="O44" s="94"/>
      <c r="P44" s="94"/>
      <c r="Q44" s="223"/>
      <c r="R44" s="94"/>
      <c r="S44" s="94"/>
      <c r="T44" s="3" t="e">
        <f t="shared" si="7"/>
        <v>#DIV/0!</v>
      </c>
      <c r="U44" s="39" t="e">
        <f t="shared" si="8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0"/>
      <c r="AO44" s="240" cm="1">
        <f t="array" ref="AO44">pareto($C39:$C44,$D39:$D44,6,"rate",$AQ$1,$AN40,$AN42)</f>
        <v>24.956800000000001</v>
      </c>
      <c r="AP44" s="240" cm="1">
        <f t="array" ref="AP44">pareto($C39:$C44,$D39:$D44,6,"dist",$AQ$1,$AN40,$AN42)</f>
        <v>36.599099099999997</v>
      </c>
      <c r="AQ44" s="240" cm="1">
        <f t="array" ref="AQ44">pareto($L39:$L44,$M39:$M44,6,"rate",$AQ$1,$AN40,$AN42)</f>
        <v>24.956800000000001</v>
      </c>
      <c r="AR44" s="240" cm="1">
        <f t="array" ref="AR44">pareto($L39:$L44,$M39:$M44,6,"dist",$AQ$1,$AN40,$AN42)</f>
        <v>36.542792800000001</v>
      </c>
      <c r="AS44" s="240"/>
      <c r="AT44" s="240"/>
      <c r="AU44" s="240"/>
      <c r="AV44" s="240"/>
      <c r="AW44" s="240"/>
      <c r="AX44" s="240"/>
    </row>
    <row r="45" spans="1:50" x14ac:dyDescent="0.25">
      <c r="A45" s="46" t="s">
        <v>210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</row>
    <row r="46" spans="1:50" x14ac:dyDescent="0.25">
      <c r="A46" s="46" t="s">
        <v>211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212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202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207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200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201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35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 t="e">
        <f>AVERAGE(W3:W44)</f>
        <v>#NUM!</v>
      </c>
      <c r="X52" s="4" t="e">
        <f t="shared" ref="X52:AG52" si="9">AVERAGE(X3:X44)</f>
        <v>#NUM!</v>
      </c>
      <c r="Y52" s="4">
        <f t="shared" si="9"/>
        <v>-2.7837564547402555E-3</v>
      </c>
      <c r="Z52" s="4" t="e">
        <f t="shared" si="9"/>
        <v>#NUM!</v>
      </c>
      <c r="AA52" s="4">
        <f t="shared" si="9"/>
        <v>-9.7452958118752053E-3</v>
      </c>
      <c r="AB52" s="4">
        <f t="shared" si="9"/>
        <v>8.2601797600896046E-4</v>
      </c>
      <c r="AC52" s="4">
        <f t="shared" si="9"/>
        <v>-7.3078979729836692E-3</v>
      </c>
      <c r="AD52" s="4" t="e">
        <f t="shared" si="9"/>
        <v>#VALUE!</v>
      </c>
      <c r="AE52" s="4" t="e">
        <f t="shared" si="9"/>
        <v>#VALUE!</v>
      </c>
      <c r="AF52" s="4" t="e">
        <f t="shared" si="9"/>
        <v>#VALUE!</v>
      </c>
      <c r="AG52" s="4">
        <f t="shared" si="9"/>
        <v>2.2110962264999947E-2</v>
      </c>
    </row>
    <row r="53" spans="1:33" x14ac:dyDescent="0.25">
      <c r="A53" s="46" t="s">
        <v>36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37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7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8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193" priority="79" operator="greaterThan">
      <formula>0.03</formula>
    </cfRule>
    <cfRule type="cellIs" dxfId="192" priority="80" stopIfTrue="1" operator="lessThan">
      <formula>-0.03</formula>
    </cfRule>
  </conditionalFormatting>
  <conditionalFormatting sqref="W8 W16:W19 W14">
    <cfRule type="cellIs" dxfId="191" priority="77" operator="greaterThan">
      <formula>0.03</formula>
    </cfRule>
    <cfRule type="cellIs" dxfId="190" priority="78" stopIfTrue="1" operator="lessThan">
      <formula>-0.03</formula>
    </cfRule>
  </conditionalFormatting>
  <conditionalFormatting sqref="W26:AB26 W32:AB32 W38:AB38 W44:AB44">
    <cfRule type="cellIs" dxfId="189" priority="75" operator="greaterThan">
      <formula>0.03</formula>
    </cfRule>
    <cfRule type="cellIs" dxfId="188" priority="76" stopIfTrue="1" operator="lessThan">
      <formula>-0.03</formula>
    </cfRule>
  </conditionalFormatting>
  <conditionalFormatting sqref="AD4:AF7 AD22:AF25">
    <cfRule type="cellIs" dxfId="187" priority="73" operator="greaterThan">
      <formula>0.03</formula>
    </cfRule>
    <cfRule type="cellIs" dxfId="186" priority="74" stopIfTrue="1" operator="lessThan">
      <formula>-0.03</formula>
    </cfRule>
  </conditionalFormatting>
  <conditionalFormatting sqref="AD8:AF8 AD16:AF19 AD14:AF14">
    <cfRule type="cellIs" dxfId="185" priority="71" operator="greaterThan">
      <formula>0.03</formula>
    </cfRule>
    <cfRule type="cellIs" dxfId="184" priority="72" stopIfTrue="1" operator="lessThan">
      <formula>-0.03</formula>
    </cfRule>
  </conditionalFormatting>
  <conditionalFormatting sqref="AD26:AF26 AD32:AF32 AD38:AF38 AD44:AF44">
    <cfRule type="cellIs" dxfId="183" priority="69" operator="greaterThan">
      <formula>0.03</formula>
    </cfRule>
    <cfRule type="cellIs" dxfId="182" priority="70" stopIfTrue="1" operator="lessThan">
      <formula>-0.03</formula>
    </cfRule>
  </conditionalFormatting>
  <conditionalFormatting sqref="AC4:AC7 AC22:AC25">
    <cfRule type="cellIs" dxfId="181" priority="67" operator="greaterThan">
      <formula>0.03</formula>
    </cfRule>
    <cfRule type="cellIs" dxfId="180" priority="68" stopIfTrue="1" operator="lessThan">
      <formula>-0.03</formula>
    </cfRule>
  </conditionalFormatting>
  <conditionalFormatting sqref="AC8 AC16:AC19 AC14">
    <cfRule type="cellIs" dxfId="179" priority="65" operator="greaterThan">
      <formula>0.03</formula>
    </cfRule>
    <cfRule type="cellIs" dxfId="178" priority="66" stopIfTrue="1" operator="lessThan">
      <formula>-0.03</formula>
    </cfRule>
  </conditionalFormatting>
  <conditionalFormatting sqref="AC26 AC32 AC38 AC44">
    <cfRule type="cellIs" dxfId="177" priority="63" operator="greaterThan">
      <formula>0.03</formula>
    </cfRule>
    <cfRule type="cellIs" dxfId="176" priority="64" stopIfTrue="1" operator="lessThan">
      <formula>-0.03</formula>
    </cfRule>
  </conditionalFormatting>
  <conditionalFormatting sqref="AG4:AG8 AG16:AG19 AG10:AG14">
    <cfRule type="cellIs" dxfId="175" priority="61" operator="greaterThan">
      <formula>0.03</formula>
    </cfRule>
    <cfRule type="cellIs" dxfId="174" priority="62" stopIfTrue="1" operator="lessThan">
      <formula>-0.03</formula>
    </cfRule>
  </conditionalFormatting>
  <conditionalFormatting sqref="AG22:AG26 AG28:AG32 AG34:AG38 AG40:AG44">
    <cfRule type="cellIs" dxfId="173" priority="59" operator="greaterThan">
      <formula>0.03</formula>
    </cfRule>
    <cfRule type="cellIs" dxfId="172" priority="60" stopIfTrue="1" operator="lessThan">
      <formula>-0.03</formula>
    </cfRule>
  </conditionalFormatting>
  <conditionalFormatting sqref="W20">
    <cfRule type="cellIs" dxfId="171" priority="57" operator="greaterThan">
      <formula>0.03</formula>
    </cfRule>
    <cfRule type="cellIs" dxfId="170" priority="58" stopIfTrue="1" operator="lessThan">
      <formula>-0.03</formula>
    </cfRule>
  </conditionalFormatting>
  <conditionalFormatting sqref="AD20:AF20">
    <cfRule type="cellIs" dxfId="169" priority="55" operator="greaterThan">
      <formula>0.03</formula>
    </cfRule>
    <cfRule type="cellIs" dxfId="168" priority="56" stopIfTrue="1" operator="lessThan">
      <formula>-0.03</formula>
    </cfRule>
  </conditionalFormatting>
  <conditionalFormatting sqref="AC20">
    <cfRule type="cellIs" dxfId="167" priority="53" operator="greaterThan">
      <formula>0.03</formula>
    </cfRule>
    <cfRule type="cellIs" dxfId="166" priority="54" stopIfTrue="1" operator="lessThan">
      <formula>-0.03</formula>
    </cfRule>
  </conditionalFormatting>
  <conditionalFormatting sqref="AG20">
    <cfRule type="cellIs" dxfId="165" priority="51" operator="greaterThan">
      <formula>0.03</formula>
    </cfRule>
    <cfRule type="cellIs" dxfId="164" priority="52" stopIfTrue="1" operator="lessThan">
      <formula>-0.03</formula>
    </cfRule>
  </conditionalFormatting>
  <conditionalFormatting sqref="X4:AB8 X10:AB14">
    <cfRule type="cellIs" dxfId="163" priority="49" operator="greaterThan">
      <formula>0.03</formula>
    </cfRule>
    <cfRule type="cellIs" dxfId="162" priority="50" stopIfTrue="1" operator="lessThan">
      <formula>-0.03</formula>
    </cfRule>
  </conditionalFormatting>
  <conditionalFormatting sqref="X16:AB20">
    <cfRule type="cellIs" dxfId="161" priority="47" operator="greaterThan">
      <formula>0.03</formula>
    </cfRule>
    <cfRule type="cellIs" dxfId="160" priority="48" stopIfTrue="1" operator="lessThan">
      <formula>-0.03</formula>
    </cfRule>
  </conditionalFormatting>
  <conditionalFormatting sqref="W10:W13">
    <cfRule type="cellIs" dxfId="159" priority="45" operator="greaterThan">
      <formula>0.03</formula>
    </cfRule>
    <cfRule type="cellIs" dxfId="158" priority="46" stopIfTrue="1" operator="lessThan">
      <formula>-0.03</formula>
    </cfRule>
  </conditionalFormatting>
  <conditionalFormatting sqref="AD10:AF13">
    <cfRule type="cellIs" dxfId="157" priority="43" operator="greaterThan">
      <formula>0.03</formula>
    </cfRule>
    <cfRule type="cellIs" dxfId="156" priority="44" stopIfTrue="1" operator="lessThan">
      <formula>-0.03</formula>
    </cfRule>
  </conditionalFormatting>
  <conditionalFormatting sqref="AC10:AC13">
    <cfRule type="cellIs" dxfId="155" priority="41" operator="greaterThan">
      <formula>0.03</formula>
    </cfRule>
    <cfRule type="cellIs" dxfId="154" priority="42" stopIfTrue="1" operator="lessThan">
      <formula>-0.03</formula>
    </cfRule>
  </conditionalFormatting>
  <conditionalFormatting sqref="W28:AB31">
    <cfRule type="cellIs" dxfId="153" priority="23" operator="greaterThan">
      <formula>0.03</formula>
    </cfRule>
    <cfRule type="cellIs" dxfId="152" priority="24" stopIfTrue="1" operator="lessThan">
      <formula>-0.03</formula>
    </cfRule>
  </conditionalFormatting>
  <conditionalFormatting sqref="AD28:AF31">
    <cfRule type="cellIs" dxfId="151" priority="21" operator="greaterThan">
      <formula>0.03</formula>
    </cfRule>
    <cfRule type="cellIs" dxfId="150" priority="22" stopIfTrue="1" operator="lessThan">
      <formula>-0.03</formula>
    </cfRule>
  </conditionalFormatting>
  <conditionalFormatting sqref="AC28:AC31">
    <cfRule type="cellIs" dxfId="149" priority="19" operator="greaterThan">
      <formula>0.03</formula>
    </cfRule>
    <cfRule type="cellIs" dxfId="148" priority="20" stopIfTrue="1" operator="lessThan">
      <formula>-0.03</formula>
    </cfRule>
  </conditionalFormatting>
  <conditionalFormatting sqref="W34:AB37">
    <cfRule type="cellIs" dxfId="147" priority="11" operator="greaterThan">
      <formula>0.03</formula>
    </cfRule>
    <cfRule type="cellIs" dxfId="146" priority="12" stopIfTrue="1" operator="lessThan">
      <formula>-0.03</formula>
    </cfRule>
  </conditionalFormatting>
  <conditionalFormatting sqref="AD34:AF37">
    <cfRule type="cellIs" dxfId="145" priority="9" operator="greaterThan">
      <formula>0.03</formula>
    </cfRule>
    <cfRule type="cellIs" dxfId="144" priority="10" stopIfTrue="1" operator="lessThan">
      <formula>-0.03</formula>
    </cfRule>
  </conditionalFormatting>
  <conditionalFormatting sqref="AC34:AC37">
    <cfRule type="cellIs" dxfId="143" priority="7" operator="greaterThan">
      <formula>0.03</formula>
    </cfRule>
    <cfRule type="cellIs" dxfId="142" priority="8" stopIfTrue="1" operator="lessThan">
      <formula>-0.03</formula>
    </cfRule>
  </conditionalFormatting>
  <conditionalFormatting sqref="W40:AB43">
    <cfRule type="cellIs" dxfId="141" priority="5" operator="greaterThan">
      <formula>0.03</formula>
    </cfRule>
    <cfRule type="cellIs" dxfId="140" priority="6" stopIfTrue="1" operator="lessThan">
      <formula>-0.03</formula>
    </cfRule>
  </conditionalFormatting>
  <conditionalFormatting sqref="AD40:AF43">
    <cfRule type="cellIs" dxfId="139" priority="3" operator="greaterThan">
      <formula>0.03</formula>
    </cfRule>
    <cfRule type="cellIs" dxfId="138" priority="4" stopIfTrue="1" operator="lessThan">
      <formula>-0.03</formula>
    </cfRule>
  </conditionalFormatting>
  <conditionalFormatting sqref="AC40:AC43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4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X56"/>
  <sheetViews>
    <sheetView topLeftCell="A9" zoomScaleNormal="100" workbookViewId="0">
      <selection activeCell="L3" sqref="L3:M44"/>
    </sheetView>
  </sheetViews>
  <sheetFormatPr defaultColWidth="10.625" defaultRowHeight="16.5" x14ac:dyDescent="0.25"/>
  <cols>
    <col min="1" max="1" width="17.625" style="1" customWidth="1"/>
    <col min="2" max="2" width="7.625" style="1" customWidth="1"/>
    <col min="3" max="3" width="11" style="1" customWidth="1"/>
    <col min="4" max="4" width="8.125" style="1" customWidth="1"/>
    <col min="5" max="5" width="7" style="1" customWidth="1"/>
    <col min="6" max="8" width="6.625" style="1" customWidth="1"/>
    <col min="9" max="9" width="8.625" style="1" customWidth="1"/>
    <col min="10" max="10" width="7.625" style="1" customWidth="1"/>
    <col min="11" max="11" width="2.625" style="1" customWidth="1"/>
    <col min="12" max="13" width="9.625" style="1" customWidth="1"/>
    <col min="14" max="17" width="6.625" style="1" customWidth="1"/>
    <col min="18" max="19" width="8.625" style="1" customWidth="1"/>
    <col min="20" max="20" width="9.125" style="1" customWidth="1"/>
    <col min="21" max="22" width="7" style="1" customWidth="1"/>
    <col min="23" max="23" width="12.375" style="1" customWidth="1"/>
    <col min="24" max="24" width="11.125" style="1" customWidth="1"/>
    <col min="25" max="25" width="10" style="1" customWidth="1"/>
    <col min="26" max="26" width="10.875" style="1" customWidth="1"/>
    <col min="27" max="27" width="12.375" style="1" customWidth="1"/>
    <col min="28" max="28" width="10.125" style="1" customWidth="1"/>
    <col min="29" max="29" width="11.125" style="1" customWidth="1"/>
    <col min="30" max="33" width="8.625" style="1" customWidth="1"/>
    <col min="34" max="38" width="10.625" style="1"/>
    <col min="40" max="41" width="11.5" style="1" customWidth="1"/>
    <col min="42" max="16384" width="10.625" style="1"/>
  </cols>
  <sheetData>
    <row r="1" spans="1:50" ht="32.25" customHeight="1" thickBot="1" x14ac:dyDescent="0.3">
      <c r="C1" s="297" t="str">
        <f>"Reference: "&amp;Summary!O4</f>
        <v>Reference: Anchor (v0.6.1 VTM inner)</v>
      </c>
      <c r="D1" s="298"/>
      <c r="E1" s="298"/>
      <c r="F1" s="298"/>
      <c r="G1" s="298"/>
      <c r="H1" s="298"/>
      <c r="I1" s="298"/>
      <c r="J1" s="303"/>
      <c r="L1" s="297" t="str">
        <f>_xlfn.CONCAT("Test: ",Summary!O5)</f>
        <v>Test: Test</v>
      </c>
      <c r="M1" s="298"/>
      <c r="N1" s="298"/>
      <c r="O1" s="298"/>
      <c r="P1" s="298"/>
      <c r="Q1" s="298"/>
      <c r="R1" s="298"/>
      <c r="S1" s="299"/>
      <c r="T1" s="304"/>
      <c r="U1" s="305"/>
      <c r="V1" s="16"/>
      <c r="W1" s="306" t="s">
        <v>11</v>
      </c>
      <c r="X1" s="307"/>
      <c r="Y1" s="307"/>
      <c r="Z1" s="307"/>
      <c r="AA1" s="307"/>
      <c r="AB1" s="307"/>
      <c r="AC1" s="307"/>
      <c r="AD1" s="307"/>
      <c r="AE1" s="307"/>
      <c r="AF1" s="308"/>
      <c r="AG1" s="70" t="s">
        <v>49</v>
      </c>
      <c r="AN1" s="245" t="s">
        <v>214</v>
      </c>
      <c r="AP1" s="241" t="s">
        <v>216</v>
      </c>
      <c r="AQ1" s="242" t="s">
        <v>22</v>
      </c>
      <c r="AR1" s="240"/>
      <c r="AS1" s="240"/>
      <c r="AT1" s="240"/>
      <c r="AU1" s="240"/>
      <c r="AV1" s="240"/>
      <c r="AW1" s="240"/>
      <c r="AX1" s="240"/>
    </row>
    <row r="2" spans="1:50" ht="12" customHeight="1" thickBot="1" x14ac:dyDescent="0.3">
      <c r="A2" s="44" t="s">
        <v>106</v>
      </c>
      <c r="B2" s="44" t="s">
        <v>30</v>
      </c>
      <c r="C2" s="61" t="s">
        <v>39</v>
      </c>
      <c r="D2" s="48" t="s">
        <v>31</v>
      </c>
      <c r="E2" s="48" t="s">
        <v>0</v>
      </c>
      <c r="F2" s="48" t="s">
        <v>1</v>
      </c>
      <c r="G2" s="48" t="s">
        <v>2</v>
      </c>
      <c r="H2" s="48" t="s">
        <v>113</v>
      </c>
      <c r="I2" s="48" t="s">
        <v>226</v>
      </c>
      <c r="J2" s="51" t="s">
        <v>227</v>
      </c>
      <c r="K2" s="53"/>
      <c r="L2" s="61" t="s">
        <v>39</v>
      </c>
      <c r="M2" s="48" t="s">
        <v>31</v>
      </c>
      <c r="N2" s="48" t="s">
        <v>0</v>
      </c>
      <c r="O2" s="48" t="s">
        <v>1</v>
      </c>
      <c r="P2" s="48" t="s">
        <v>2</v>
      </c>
      <c r="Q2" s="48" t="s">
        <v>113</v>
      </c>
      <c r="R2" s="48" t="s">
        <v>226</v>
      </c>
      <c r="S2" s="51" t="s">
        <v>227</v>
      </c>
      <c r="T2" s="61" t="s">
        <v>3</v>
      </c>
      <c r="U2" s="51" t="s">
        <v>4</v>
      </c>
      <c r="V2" s="60"/>
      <c r="W2" s="54" t="s">
        <v>190</v>
      </c>
      <c r="X2" s="54" t="s">
        <v>191</v>
      </c>
      <c r="Y2" s="54" t="s">
        <v>192</v>
      </c>
      <c r="Z2" s="54" t="s">
        <v>193</v>
      </c>
      <c r="AA2" s="54" t="s">
        <v>194</v>
      </c>
      <c r="AB2" s="54" t="s">
        <v>195</v>
      </c>
      <c r="AC2" s="54" t="s">
        <v>43</v>
      </c>
      <c r="AD2" s="54" t="s">
        <v>32</v>
      </c>
      <c r="AE2" s="54" t="s">
        <v>33</v>
      </c>
      <c r="AF2" s="57" t="s">
        <v>34</v>
      </c>
      <c r="AG2" s="64"/>
      <c r="AO2" s="242" t="s">
        <v>217</v>
      </c>
      <c r="AP2" s="242"/>
      <c r="AQ2" s="242" t="s">
        <v>218</v>
      </c>
      <c r="AR2" s="240"/>
      <c r="AS2" s="240"/>
      <c r="AT2" s="240"/>
      <c r="AU2" s="240"/>
      <c r="AV2" s="240"/>
      <c r="AW2" s="240"/>
      <c r="AX2" s="240"/>
    </row>
    <row r="3" spans="1:50" ht="12" customHeight="1" x14ac:dyDescent="0.25">
      <c r="A3" s="141" t="s">
        <v>229</v>
      </c>
      <c r="B3" s="106" t="s">
        <v>250</v>
      </c>
      <c r="C3" s="267">
        <v>394.125599999999</v>
      </c>
      <c r="D3" s="267">
        <v>50.149497099999998</v>
      </c>
      <c r="E3" s="83"/>
      <c r="F3" s="83"/>
      <c r="G3" s="83"/>
      <c r="H3" s="143"/>
      <c r="I3" s="83"/>
      <c r="J3" s="83"/>
      <c r="K3" s="52"/>
      <c r="L3" s="267">
        <v>394.125599999999</v>
      </c>
      <c r="M3" s="267">
        <v>50.3397662</v>
      </c>
      <c r="N3" s="83"/>
      <c r="O3" s="83"/>
      <c r="P3" s="83"/>
      <c r="Q3" s="222"/>
      <c r="R3" s="83"/>
      <c r="S3" s="83"/>
      <c r="T3" s="37" t="e">
        <f t="shared" ref="T3:U26" si="0">R3/I3</f>
        <v>#DIV/0!</v>
      </c>
      <c r="U3" s="38" t="e">
        <f t="shared" si="0"/>
        <v>#DIV/0!</v>
      </c>
      <c r="V3" s="55"/>
      <c r="W3" s="14">
        <f>bdRateExtend($C3:$C8,D3:D8,$L3:$L8,$M3:$M8)</f>
        <v>1E+308</v>
      </c>
      <c r="X3" s="14">
        <f>bdRateExtend($C3:$C7,$D3:$D7,$L3:$L7,$M3:$M7)</f>
        <v>1E+308</v>
      </c>
      <c r="Y3" s="14">
        <f>bdRateExtend($C4:$C8,$D4:$D8,$L4:$L8,$M4:$M8)</f>
        <v>-1.4535430785979409E-2</v>
      </c>
      <c r="Z3" s="14">
        <f>bdRateExtend($C3:$C6,$D3:$D6,$L3:$L6,$M3:$M6)</f>
        <v>1E+308</v>
      </c>
      <c r="AA3" s="14">
        <f>bdRateExtend($C4:$C7,$D4:$D7,$L4:$L7,$M4:$M7)</f>
        <v>-3.6256317378820513E-2</v>
      </c>
      <c r="AB3" s="14">
        <f>bdRateExtend($C5:$C8,$D5:$D8,$L5:$L8,$M5:$M8)</f>
        <v>-1.4763697434333589E-2</v>
      </c>
      <c r="AC3" s="145" cm="1">
        <f t="array" ref="AC3">bdRatePareto(AO3:AO8,AP3:AP8,AQ3:AQ8,AR3:AR8)</f>
        <v>-1.4535430785979409E-2</v>
      </c>
      <c r="AD3" s="14" t="e">
        <f>bdRateExtend($C3:$C8,E3:E8,$L3:$L8,N3:N8)</f>
        <v>#VALUE!</v>
      </c>
      <c r="AE3" s="14" t="e">
        <f>bdRateExtend($C3:$C8,F3:F8,$L3:$L8,O3:O8)</f>
        <v>#VALUE!</v>
      </c>
      <c r="AF3" s="15" t="e">
        <f>bdRateExtend($C3:$C8,G3:G8,$L3:$L8,P3:P8)</f>
        <v>#VALUE!</v>
      </c>
      <c r="AG3" s="72">
        <f>bdPSNRExtend($C3:$C8,$D3:$D8,$L3:$L8,$M3:$M8)</f>
        <v>0.23628359464289103</v>
      </c>
      <c r="AN3" s="240" t="s">
        <v>213</v>
      </c>
      <c r="AO3" s="240" cm="1">
        <f t="array" ref="AO3">pareto($C3:$C8,$D3:$D8,1,"rate",$AQ$1,$AN4,$AN6)</f>
        <v>271.6472</v>
      </c>
      <c r="AP3" s="240" cm="1">
        <f t="array" ref="AP3">pareto($C3:$C8,$D3:$D8,1,"dist",$AQ$1,$AN4,$AN6)</f>
        <v>50.312584899999997</v>
      </c>
      <c r="AQ3" s="240" cm="1">
        <f t="array" ref="AQ3">pareto($L3:$L8,$M3:$M8,1,"rate",$AQ$1,$AN4,$AN6)</f>
        <v>271.6472</v>
      </c>
      <c r="AR3" s="240" cm="1">
        <f t="array" ref="AR3">pareto($L3:$L8,$M3:$M8,1,"dist",$AQ$1,$AN4,$AN6)</f>
        <v>50.394128799999997</v>
      </c>
      <c r="AS3" s="240"/>
      <c r="AU3" s="243" t="s">
        <v>19</v>
      </c>
      <c r="AW3" s="240"/>
      <c r="AX3" s="240"/>
    </row>
    <row r="4" spans="1:50" ht="12" customHeight="1" x14ac:dyDescent="0.25">
      <c r="A4" s="58"/>
      <c r="B4" s="107" t="s">
        <v>251</v>
      </c>
      <c r="C4" s="267">
        <v>271.6472</v>
      </c>
      <c r="D4" s="267">
        <v>50.312584899999997</v>
      </c>
      <c r="E4" s="86"/>
      <c r="F4" s="86"/>
      <c r="G4" s="86"/>
      <c r="H4" s="143"/>
      <c r="I4" s="86"/>
      <c r="J4" s="86"/>
      <c r="K4" s="52"/>
      <c r="L4" s="267">
        <v>271.6472</v>
      </c>
      <c r="M4" s="267">
        <v>50.394128799999997</v>
      </c>
      <c r="N4" s="86"/>
      <c r="O4" s="86"/>
      <c r="P4" s="86"/>
      <c r="Q4" s="222"/>
      <c r="R4" s="86"/>
      <c r="S4" s="86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0">
        <v>48.5</v>
      </c>
      <c r="AO4" s="240" cm="1">
        <f t="array" ref="AO4">pareto($C3:$C8,$D3:$D8,2,"rate",$AQ$1,$AN4,$AN6)</f>
        <v>196.35679999999999</v>
      </c>
      <c r="AP4" s="240" cm="1">
        <f t="array" ref="AP4">pareto($C3:$C8,$D3:$D8,2,"dist",$AQ$1,$AN4,$AN6)</f>
        <v>46.099483599999999</v>
      </c>
      <c r="AQ4" s="240" cm="1">
        <f t="array" ref="AQ4">pareto($L3:$L8,$M3:$M8,2,"rate",$AQ$1,$AN4,$AN6)</f>
        <v>196.35679999999999</v>
      </c>
      <c r="AR4" s="240" cm="1">
        <f t="array" ref="AR4">pareto($L3:$L8,$M3:$M8,2,"dist",$AQ$1,$AN4,$AN6)</f>
        <v>46.507202999999997</v>
      </c>
      <c r="AS4" s="240"/>
      <c r="AU4" s="243" t="s">
        <v>20</v>
      </c>
      <c r="AW4" s="240"/>
      <c r="AX4" s="240"/>
    </row>
    <row r="5" spans="1:50" ht="12" customHeight="1" x14ac:dyDescent="0.25">
      <c r="A5" s="135"/>
      <c r="B5" s="107" t="s">
        <v>252</v>
      </c>
      <c r="C5" s="267">
        <v>196.35679999999999</v>
      </c>
      <c r="D5" s="267">
        <v>46.099483599999999</v>
      </c>
      <c r="E5" s="86"/>
      <c r="F5" s="86"/>
      <c r="G5" s="86"/>
      <c r="H5" s="143"/>
      <c r="I5" s="86"/>
      <c r="J5" s="86"/>
      <c r="K5" s="52"/>
      <c r="L5" s="267">
        <v>196.35679999999999</v>
      </c>
      <c r="M5" s="267">
        <v>46.507202999999997</v>
      </c>
      <c r="N5" s="86"/>
      <c r="O5" s="86"/>
      <c r="P5" s="86"/>
      <c r="Q5" s="222"/>
      <c r="R5" s="86"/>
      <c r="S5" s="86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0" t="s">
        <v>44</v>
      </c>
      <c r="AO5" s="240" cm="1">
        <f t="array" ref="AO5">pareto($C3:$C8,$D3:$D8,3,"rate",$AQ$1,$AN4,$AN6)</f>
        <v>120.356799999999</v>
      </c>
      <c r="AP5" s="240" cm="1">
        <f t="array" ref="AP5">pareto($C3:$C8,$D3:$D8,3,"dist",$AQ$1,$AN4,$AN6)</f>
        <v>38.977983100000003</v>
      </c>
      <c r="AQ5" s="240" cm="1">
        <f t="array" ref="AQ5">pareto($L3:$L8,$M3:$M8,3,"rate",$AQ$1,$AN4,$AN6)</f>
        <v>120.356799999999</v>
      </c>
      <c r="AR5" s="240" cm="1">
        <f t="array" ref="AR5">pareto($L3:$L8,$M3:$M8,3,"dist",$AQ$1,$AN4,$AN6)</f>
        <v>39.793422100000001</v>
      </c>
      <c r="AS5" s="240"/>
      <c r="AU5" s="244" t="s">
        <v>21</v>
      </c>
      <c r="AW5" s="240"/>
      <c r="AX5" s="240"/>
    </row>
    <row r="6" spans="1:50" ht="12" customHeight="1" x14ac:dyDescent="0.25">
      <c r="A6" s="135"/>
      <c r="B6" s="107" t="s">
        <v>253</v>
      </c>
      <c r="C6" s="267">
        <v>120.356799999999</v>
      </c>
      <c r="D6" s="267">
        <v>38.977983100000003</v>
      </c>
      <c r="E6" s="86"/>
      <c r="F6" s="86"/>
      <c r="G6" s="86"/>
      <c r="H6" s="143"/>
      <c r="I6" s="86"/>
      <c r="J6" s="86"/>
      <c r="K6" s="52"/>
      <c r="L6" s="267">
        <v>120.356799999999</v>
      </c>
      <c r="M6" s="267">
        <v>39.793422100000001</v>
      </c>
      <c r="N6" s="86"/>
      <c r="O6" s="86"/>
      <c r="P6" s="86"/>
      <c r="Q6" s="222"/>
      <c r="R6" s="86"/>
      <c r="S6" s="86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0">
        <v>25</v>
      </c>
      <c r="AO6" s="240" cm="1">
        <f t="array" ref="AO6">pareto($C3:$C8,$D3:$D8,4,"rate",$AQ$1,$AN4,$AN6)</f>
        <v>71.049599999999998</v>
      </c>
      <c r="AP6" s="240" cm="1">
        <f t="array" ref="AP6">pareto($C3:$C8,$D3:$D8,4,"dist",$AQ$1,$AN4,$AN6)</f>
        <v>32.644740400000003</v>
      </c>
      <c r="AQ6" s="240" cm="1">
        <f t="array" ref="AQ6">pareto($L3:$L8,$M3:$M8,4,"rate",$AQ$1,$AN4,$AN6)</f>
        <v>71.049599999999998</v>
      </c>
      <c r="AR6" s="240" cm="1">
        <f t="array" ref="AR6">pareto($L3:$L8,$M3:$M8,4,"dist",$AQ$1,$AN4,$AN6)</f>
        <v>32.563196499999997</v>
      </c>
      <c r="AS6" s="240"/>
      <c r="AU6" s="244" t="s">
        <v>22</v>
      </c>
      <c r="AW6" s="240"/>
      <c r="AX6" s="240"/>
    </row>
    <row r="7" spans="1:50" ht="12" customHeight="1" x14ac:dyDescent="0.25">
      <c r="A7" s="58"/>
      <c r="B7" s="107" t="s">
        <v>254</v>
      </c>
      <c r="C7" s="267">
        <v>71.049599999999998</v>
      </c>
      <c r="D7" s="267">
        <v>32.644740400000003</v>
      </c>
      <c r="E7" s="86"/>
      <c r="F7" s="86"/>
      <c r="G7" s="86"/>
      <c r="H7" s="143"/>
      <c r="I7" s="86"/>
      <c r="J7" s="86"/>
      <c r="K7" s="52"/>
      <c r="L7" s="267">
        <v>71.049599999999998</v>
      </c>
      <c r="M7" s="267">
        <v>32.563196499999997</v>
      </c>
      <c r="N7" s="86"/>
      <c r="O7" s="86"/>
      <c r="P7" s="86"/>
      <c r="Q7" s="222"/>
      <c r="R7" s="86"/>
      <c r="S7" s="86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0"/>
      <c r="AO7" s="240" cm="1">
        <f t="array" ref="AO7">pareto($C3:$C8,$D3:$D8,5,"rate",$AQ$1,$AN4,$AN6)</f>
        <v>44.128799999999998</v>
      </c>
      <c r="AP7" s="240" cm="1">
        <f t="array" ref="AP7">pareto($C3:$C8,$D3:$D8,5,"dist",$AQ$1,$AN4,$AN6)</f>
        <v>21.092688200000001</v>
      </c>
      <c r="AQ7" s="240" cm="1">
        <f t="array" ref="AQ7">pareto($L3:$L8,$M3:$M8,5,"rate",$AQ$1,$AN4,$AN6)</f>
        <v>44.128799999999998</v>
      </c>
      <c r="AR7" s="240" cm="1">
        <f t="array" ref="AR7">pareto($L3:$L8,$M3:$M8,5,"dist",$AQ$1,$AN4,$AN6)</f>
        <v>20.684968699999999</v>
      </c>
      <c r="AS7" s="240"/>
      <c r="AU7" s="244" t="s">
        <v>45</v>
      </c>
      <c r="AW7" s="240"/>
      <c r="AX7" s="240"/>
    </row>
    <row r="8" spans="1:50" ht="12" customHeight="1" thickBot="1" x14ac:dyDescent="0.3">
      <c r="A8" s="45"/>
      <c r="B8" s="108" t="s">
        <v>255</v>
      </c>
      <c r="C8" s="267">
        <v>44.128799999999998</v>
      </c>
      <c r="D8" s="267">
        <v>21.092688200000001</v>
      </c>
      <c r="E8" s="94"/>
      <c r="F8" s="94"/>
      <c r="G8" s="94"/>
      <c r="H8" s="144"/>
      <c r="I8" s="94"/>
      <c r="J8" s="94"/>
      <c r="K8" s="55"/>
      <c r="L8" s="267">
        <v>44.128799999999998</v>
      </c>
      <c r="M8" s="267">
        <v>20.684968699999999</v>
      </c>
      <c r="N8" s="94"/>
      <c r="O8" s="94"/>
      <c r="P8" s="94"/>
      <c r="Q8" s="223"/>
      <c r="R8" s="94"/>
      <c r="S8" s="94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0"/>
      <c r="AO8" s="240" t="e" cm="1">
        <f t="array" ref="AO8">pareto($C3:$C8,$D3:$D8,6,"rate",$AQ$1,$AN4,$AN6)</f>
        <v>#N/A</v>
      </c>
      <c r="AP8" s="240" t="e" cm="1">
        <f t="array" ref="AP8">pareto($C3:$C8,$D3:$D8,6,"dist",$AQ$1,$AN4,$AN6)</f>
        <v>#N/A</v>
      </c>
      <c r="AQ8" s="240" t="e" cm="1">
        <f t="array" ref="AQ8">pareto($L3:$L8,$M3:$M8,6,"rate",$AQ$1,$AN4,$AN6)</f>
        <v>#N/A</v>
      </c>
      <c r="AR8" s="240" t="e" cm="1">
        <f t="array" ref="AR8">pareto($L3:$L8,$M3:$M8,6,"dist",$AQ$1,$AN4,$AN6)</f>
        <v>#N/A</v>
      </c>
      <c r="AS8" s="240"/>
      <c r="AT8" s="240"/>
      <c r="AU8" s="240"/>
      <c r="AV8" s="240"/>
      <c r="AW8" s="240"/>
      <c r="AX8" s="240"/>
    </row>
    <row r="9" spans="1:50" ht="12" customHeight="1" x14ac:dyDescent="0.25">
      <c r="A9" s="141" t="s">
        <v>230</v>
      </c>
      <c r="B9" s="106" t="s">
        <v>250</v>
      </c>
      <c r="C9" s="267">
        <v>431.416799999999</v>
      </c>
      <c r="D9" s="267">
        <v>53.728739599999997</v>
      </c>
      <c r="E9" s="83"/>
      <c r="F9" s="83"/>
      <c r="G9" s="83"/>
      <c r="H9" s="83"/>
      <c r="I9" s="83"/>
      <c r="J9" s="83"/>
      <c r="K9" s="110"/>
      <c r="L9" s="267">
        <v>431.416799999999</v>
      </c>
      <c r="M9" s="267">
        <v>53.815961600000001</v>
      </c>
      <c r="N9" s="83"/>
      <c r="O9" s="83"/>
      <c r="P9" s="83"/>
      <c r="Q9" s="222"/>
      <c r="R9" s="83"/>
      <c r="S9" s="83"/>
      <c r="T9" s="37" t="e">
        <f t="shared" si="0"/>
        <v>#DIV/0!</v>
      </c>
      <c r="U9" s="38" t="e">
        <f t="shared" si="0"/>
        <v>#DIV/0!</v>
      </c>
      <c r="V9" s="55"/>
      <c r="W9" s="14">
        <f>bdRateExtend($C9:$C14,D9:D14,$L9:$L14,$M9:$M14)</f>
        <v>1E+308</v>
      </c>
      <c r="X9" s="14">
        <f>bdRateExtend($C9:$C13,$D9:$D13,$L9:$L13,$M9:$M13)</f>
        <v>1E+308</v>
      </c>
      <c r="Y9" s="14">
        <f>bdRateExtend($C10:$C14,$D10:$D14,$L10:$L14,$M10:$M14)</f>
        <v>-2.0413243789114688E-3</v>
      </c>
      <c r="Z9" s="14">
        <f>bdRateExtend($C9:$C12,$D9:$D12,$L9:$L12,$M9:$M12)</f>
        <v>1E+308</v>
      </c>
      <c r="AA9" s="14">
        <f>bdRateExtend($C10:$C13,$D10:$D13,$L10:$L13,$M10:$M13)</f>
        <v>-3.9748197968295651E-3</v>
      </c>
      <c r="AB9" s="14">
        <f>bdRateExtend($C11:$C14,$D11:$D14,$L11:$L14,$M11:$M14)</f>
        <v>1.380662683164724E-3</v>
      </c>
      <c r="AC9" s="145" cm="1">
        <f t="array" ref="AC9">bdRatePareto(AO9:AO14,AP9:AP14,AQ9:AQ14,AR9:AR14)</f>
        <v>-2.0413243789114688E-3</v>
      </c>
      <c r="AD9" s="14" t="e">
        <f>bdRateExtend($C9:$C14,E9:E14,$L9:$L14,N9:N14)</f>
        <v>#VALUE!</v>
      </c>
      <c r="AE9" s="14" t="e">
        <f>bdRateExtend($C9:$C14,F9:F14,$L9:$L14,O9:O14)</f>
        <v>#VALUE!</v>
      </c>
      <c r="AF9" s="15" t="e">
        <f>bdRateExtend($C9:$C14,G9:G14,$L9:$L14,P9:P14)</f>
        <v>#VALUE!</v>
      </c>
      <c r="AG9" s="72">
        <f>bdPSNRExtend($C9:$C14,$D9:$D14,$L9:$L14,$M9:$M14)</f>
        <v>2.6463172801394316E-2</v>
      </c>
      <c r="AN9" s="240" t="s">
        <v>213</v>
      </c>
      <c r="AO9" s="240" cm="1">
        <f t="array" ref="AO9">pareto($C9:$C14,$D9:$D14,1,"rate",$AQ$1,$AN10,$AN12)</f>
        <v>257.73039999999997</v>
      </c>
      <c r="AP9" s="240" cm="1">
        <f t="array" ref="AP9">pareto($C9:$C14,$D9:$D14,1,"dist",$AQ$1,$AN10,$AN12)</f>
        <v>55.5822067</v>
      </c>
      <c r="AQ9" s="240" cm="1">
        <f t="array" ref="AQ9">pareto($L9:$L14,$M9:$M14,1,"rate",$AQ$1,$AN10,$AN12)</f>
        <v>257.73039999999997</v>
      </c>
      <c r="AR9" s="240" cm="1">
        <f t="array" ref="AR9">pareto($L9:$L14,$M9:$M14,1,"dist",$AQ$1,$AN10,$AN12)</f>
        <v>55.5822067</v>
      </c>
      <c r="AS9" s="240"/>
      <c r="AT9" s="240"/>
      <c r="AU9" s="240"/>
      <c r="AV9" s="240"/>
      <c r="AW9" s="240"/>
      <c r="AX9" s="240"/>
    </row>
    <row r="10" spans="1:50" ht="12" customHeight="1" x14ac:dyDescent="0.25">
      <c r="A10" s="58"/>
      <c r="B10" s="107" t="s">
        <v>251</v>
      </c>
      <c r="C10" s="267">
        <v>257.73039999999997</v>
      </c>
      <c r="D10" s="267">
        <v>55.5822067</v>
      </c>
      <c r="E10" s="86"/>
      <c r="F10" s="86"/>
      <c r="G10" s="86"/>
      <c r="H10" s="86"/>
      <c r="I10" s="86"/>
      <c r="J10" s="86"/>
      <c r="K10" s="110"/>
      <c r="L10" s="267">
        <v>257.73039999999997</v>
      </c>
      <c r="M10" s="267">
        <v>55.5822067</v>
      </c>
      <c r="N10" s="86"/>
      <c r="O10" s="86"/>
      <c r="P10" s="86"/>
      <c r="Q10" s="222"/>
      <c r="R10" s="86"/>
      <c r="S10" s="86"/>
      <c r="T10" s="37" t="e">
        <f t="shared" si="0"/>
        <v>#DIV/0!</v>
      </c>
      <c r="U10" s="38" t="e">
        <f t="shared" si="0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0">
        <v>55.9</v>
      </c>
      <c r="AO10" s="240" cm="1">
        <f t="array" ref="AO10">pareto($C9:$C14,$D9:$D14,2,"rate",$AQ$1,$AN10,$AN12)</f>
        <v>155.94479999999999</v>
      </c>
      <c r="AP10" s="240" cm="1">
        <f t="array" ref="AP10">pareto($C9:$C14,$D9:$D14,2,"dist",$AQ$1,$AN10,$AN12)</f>
        <v>54.099433099999999</v>
      </c>
      <c r="AQ10" s="240" cm="1">
        <f t="array" ref="AQ10">pareto($L9:$L14,$M9:$M14,2,"rate",$AQ$1,$AN10,$AN12)</f>
        <v>155.94479999999999</v>
      </c>
      <c r="AR10" s="240" cm="1">
        <f t="array" ref="AR10">pareto($L9:$L14,$M9:$M14,2,"dist",$AQ$1,$AN10,$AN12)</f>
        <v>54.2520715</v>
      </c>
      <c r="AS10" s="240"/>
      <c r="AT10" s="240"/>
      <c r="AU10" s="240"/>
      <c r="AV10" s="240"/>
      <c r="AW10" s="240"/>
      <c r="AX10" s="240"/>
    </row>
    <row r="11" spans="1:50" ht="12" customHeight="1" x14ac:dyDescent="0.25">
      <c r="A11" s="135"/>
      <c r="B11" s="107" t="s">
        <v>252</v>
      </c>
      <c r="C11" s="267">
        <v>155.94479999999999</v>
      </c>
      <c r="D11" s="267">
        <v>54.099433099999999</v>
      </c>
      <c r="E11" s="86"/>
      <c r="F11" s="86"/>
      <c r="G11" s="86"/>
      <c r="H11" s="86"/>
      <c r="I11" s="86"/>
      <c r="J11" s="86"/>
      <c r="K11" s="110"/>
      <c r="L11" s="267">
        <v>155.94479999999999</v>
      </c>
      <c r="M11" s="267">
        <v>54.2520715</v>
      </c>
      <c r="N11" s="86"/>
      <c r="O11" s="86"/>
      <c r="P11" s="86"/>
      <c r="Q11" s="222"/>
      <c r="R11" s="86"/>
      <c r="S11" s="86"/>
      <c r="T11" s="37" t="e">
        <f t="shared" si="0"/>
        <v>#DIV/0!</v>
      </c>
      <c r="U11" s="38" t="e">
        <f t="shared" si="0"/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0" t="s">
        <v>44</v>
      </c>
      <c r="AO11" s="240" cm="1">
        <f t="array" ref="AO11">pareto($C9:$C14,$D9:$D14,3,"rate",$AQ$1,$AN10,$AN12)</f>
        <v>97.697599999999994</v>
      </c>
      <c r="AP11" s="240" cm="1">
        <f t="array" ref="AP11">pareto($C9:$C14,$D9:$D14,3,"dist",$AQ$1,$AN10,$AN12)</f>
        <v>53.314435199999998</v>
      </c>
      <c r="AQ11" s="240" cm="1">
        <f t="array" ref="AQ11">pareto($L9:$L14,$M9:$M14,3,"rate",$AQ$1,$AN10,$AN12)</f>
        <v>97.697599999999994</v>
      </c>
      <c r="AR11" s="240" cm="1">
        <f t="array" ref="AR11">pareto($L9:$L14,$M9:$M14,3,"dist",$AQ$1,$AN10,$AN12)</f>
        <v>53.292629699999999</v>
      </c>
      <c r="AS11" s="240"/>
      <c r="AT11" s="240"/>
      <c r="AU11" s="240"/>
      <c r="AV11" s="240"/>
      <c r="AW11" s="240"/>
      <c r="AX11" s="240"/>
    </row>
    <row r="12" spans="1:50" ht="12" customHeight="1" x14ac:dyDescent="0.25">
      <c r="A12" s="135"/>
      <c r="B12" s="107" t="s">
        <v>253</v>
      </c>
      <c r="C12" s="267">
        <v>97.697599999999994</v>
      </c>
      <c r="D12" s="267">
        <v>53.314435199999998</v>
      </c>
      <c r="E12" s="86"/>
      <c r="F12" s="86"/>
      <c r="G12" s="86"/>
      <c r="H12" s="86"/>
      <c r="I12" s="86"/>
      <c r="J12" s="86"/>
      <c r="K12" s="110"/>
      <c r="L12" s="267">
        <v>97.697599999999994</v>
      </c>
      <c r="M12" s="267">
        <v>53.292629699999999</v>
      </c>
      <c r="N12" s="86"/>
      <c r="O12" s="86"/>
      <c r="P12" s="86"/>
      <c r="Q12" s="222"/>
      <c r="R12" s="86"/>
      <c r="S12" s="86"/>
      <c r="T12" s="37" t="e">
        <f t="shared" si="0"/>
        <v>#DIV/0!</v>
      </c>
      <c r="U12" s="38" t="e">
        <f t="shared" si="0"/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0">
        <v>25</v>
      </c>
      <c r="AO12" s="240" cm="1">
        <f t="array" ref="AO12">pareto($C9:$C14,$D9:$D14,4,"rate",$AQ$1,$AN10,$AN12)</f>
        <v>43.927999999999997</v>
      </c>
      <c r="AP12" s="240" cm="1">
        <f t="array" ref="AP12">pareto($C9:$C14,$D9:$D14,4,"dist",$AQ$1,$AN10,$AN12)</f>
        <v>43.196685600000002</v>
      </c>
      <c r="AQ12" s="240" cm="1">
        <f t="array" ref="AQ12">pareto($L9:$L14,$M9:$M14,4,"rate",$AQ$1,$AN10,$AN12)</f>
        <v>43.927999999999997</v>
      </c>
      <c r="AR12" s="240" cm="1">
        <f t="array" ref="AR12">pareto($L9:$L14,$M9:$M14,4,"dist",$AQ$1,$AN10,$AN12)</f>
        <v>43.327518499999996</v>
      </c>
      <c r="AS12" s="240"/>
      <c r="AT12" s="240"/>
      <c r="AU12" s="240"/>
      <c r="AV12" s="240"/>
      <c r="AW12" s="240"/>
      <c r="AX12" s="240"/>
    </row>
    <row r="13" spans="1:50" ht="12" customHeight="1" x14ac:dyDescent="0.25">
      <c r="A13" s="58"/>
      <c r="B13" s="107" t="s">
        <v>254</v>
      </c>
      <c r="C13" s="267">
        <v>43.927999999999997</v>
      </c>
      <c r="D13" s="267">
        <v>43.196685600000002</v>
      </c>
      <c r="E13" s="86"/>
      <c r="F13" s="86"/>
      <c r="G13" s="86"/>
      <c r="H13" s="86"/>
      <c r="I13" s="86"/>
      <c r="J13" s="86"/>
      <c r="K13" s="110"/>
      <c r="L13" s="267">
        <v>43.927999999999997</v>
      </c>
      <c r="M13" s="267">
        <v>43.327518499999996</v>
      </c>
      <c r="N13" s="86"/>
      <c r="O13" s="86"/>
      <c r="P13" s="86"/>
      <c r="Q13" s="222"/>
      <c r="R13" s="86"/>
      <c r="S13" s="86"/>
      <c r="T13" s="37" t="e">
        <f t="shared" si="0"/>
        <v>#DIV/0!</v>
      </c>
      <c r="U13" s="38" t="e">
        <f t="shared" si="0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0"/>
      <c r="AO13" s="240" cm="1">
        <f t="array" ref="AO13">pareto($C9:$C14,$D9:$D14,5,"rate",$AQ$1,$AN10,$AN12)</f>
        <v>32.127999999999901</v>
      </c>
      <c r="AP13" s="240" cm="1">
        <f t="array" ref="AP13">pareto($C9:$C14,$D9:$D14,5,"dist",$AQ$1,$AN10,$AN12)</f>
        <v>31.508940299999999</v>
      </c>
      <c r="AQ13" s="240" cm="1">
        <f t="array" ref="AQ13">pareto($L9:$L14,$M9:$M14,5,"rate",$AQ$1,$AN10,$AN12)</f>
        <v>32.127999999999901</v>
      </c>
      <c r="AR13" s="240" cm="1">
        <f t="array" ref="AR13">pareto($L9:$L14,$M9:$M14,5,"dist",$AQ$1,$AN10,$AN12)</f>
        <v>31.029219399999999</v>
      </c>
      <c r="AS13" s="240"/>
      <c r="AT13" s="240"/>
      <c r="AU13" s="240"/>
      <c r="AV13" s="240"/>
      <c r="AW13" s="240"/>
      <c r="AX13" s="240"/>
    </row>
    <row r="14" spans="1:50" ht="12" customHeight="1" thickBot="1" x14ac:dyDescent="0.3">
      <c r="A14" s="45"/>
      <c r="B14" s="108" t="s">
        <v>255</v>
      </c>
      <c r="C14" s="267">
        <v>32.127999999999901</v>
      </c>
      <c r="D14" s="267">
        <v>31.508940299999999</v>
      </c>
      <c r="E14" s="94"/>
      <c r="F14" s="94"/>
      <c r="G14" s="94"/>
      <c r="H14" s="94"/>
      <c r="I14" s="94"/>
      <c r="J14" s="94"/>
      <c r="K14" s="110"/>
      <c r="L14" s="267">
        <v>32.127999999999901</v>
      </c>
      <c r="M14" s="267">
        <v>31.029219399999999</v>
      </c>
      <c r="N14" s="94"/>
      <c r="O14" s="94"/>
      <c r="P14" s="94"/>
      <c r="Q14" s="223"/>
      <c r="R14" s="94"/>
      <c r="S14" s="94"/>
      <c r="T14" s="3" t="e">
        <f t="shared" si="0"/>
        <v>#DIV/0!</v>
      </c>
      <c r="U14" s="39" t="e">
        <f t="shared" si="0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0"/>
      <c r="AO14" s="240" t="e" cm="1">
        <f t="array" ref="AO14">pareto($C9:$C14,$D9:$D14,6,"rate",$AQ$1,$AN10,$AN12)</f>
        <v>#N/A</v>
      </c>
      <c r="AP14" s="240" t="e" cm="1">
        <f t="array" ref="AP14">pareto($C9:$C14,$D9:$D14,6,"dist",$AQ$1,$AN10,$AN12)</f>
        <v>#N/A</v>
      </c>
      <c r="AQ14" s="240" t="e" cm="1">
        <f t="array" ref="AQ14">pareto($L9:$L14,$M9:$M14,6,"rate",$AQ$1,$AN10,$AN12)</f>
        <v>#N/A</v>
      </c>
      <c r="AR14" s="240" t="e" cm="1">
        <f t="array" ref="AR14">pareto($L9:$L14,$M9:$M14,6,"dist",$AQ$1,$AN10,$AN12)</f>
        <v>#N/A</v>
      </c>
      <c r="AS14" s="240"/>
      <c r="AT14" s="240"/>
      <c r="AU14" s="240"/>
      <c r="AV14" s="240"/>
      <c r="AW14" s="240"/>
      <c r="AX14" s="240"/>
    </row>
    <row r="15" spans="1:50" ht="12" customHeight="1" x14ac:dyDescent="0.25">
      <c r="A15" s="141" t="s">
        <v>231</v>
      </c>
      <c r="B15" s="106" t="s">
        <v>250</v>
      </c>
      <c r="C15" s="267">
        <v>544.94560000000001</v>
      </c>
      <c r="D15" s="267">
        <v>48.483277200000003</v>
      </c>
      <c r="E15" s="83"/>
      <c r="F15" s="83"/>
      <c r="G15" s="83"/>
      <c r="H15" s="83"/>
      <c r="I15" s="83"/>
      <c r="J15" s="83"/>
      <c r="K15" s="110"/>
      <c r="L15" s="267">
        <v>544.94560000000001</v>
      </c>
      <c r="M15" s="267">
        <v>49.572206399999999</v>
      </c>
      <c r="N15" s="83"/>
      <c r="O15" s="83"/>
      <c r="P15" s="83"/>
      <c r="Q15" s="222"/>
      <c r="R15" s="83"/>
      <c r="S15" s="83"/>
      <c r="T15" s="37" t="e">
        <f t="shared" si="0"/>
        <v>#DIV/0!</v>
      </c>
      <c r="U15" s="38" t="e">
        <f t="shared" si="0"/>
        <v>#DIV/0!</v>
      </c>
      <c r="V15" s="55"/>
      <c r="W15" s="14">
        <f>bdRateExtend($C15:$C20,D15:D20,$L15:$L20,$M15:$M20)</f>
        <v>7.3119395121001851E-4</v>
      </c>
      <c r="X15" s="14">
        <f>bdRateExtend($C15:$C19,$D15:$D19,$L15:$L19,$M15:$M19)</f>
        <v>-1.6795541253495916E-3</v>
      </c>
      <c r="Y15" s="14">
        <f>bdRateExtend($C16:$C20,$D16:$D20,$L16:$L20,$M16:$M20)</f>
        <v>6.519535280408606E-3</v>
      </c>
      <c r="Z15" s="14">
        <f>bdRateExtend($C15:$C18,$D15:$D18,$L15:$L18,$M15:$M18)</f>
        <v>8.1093715363205199E-3</v>
      </c>
      <c r="AA15" s="14">
        <f>bdRateExtend($C16:$C19,$D16:$D19,$L16:$L19,$M16:$M19)</f>
        <v>6.1953186449983377E-3</v>
      </c>
      <c r="AB15" s="14">
        <f>bdRateExtend($C17:$C20,$D17:$D20,$L17:$L20,$M17:$M20)</f>
        <v>5.5643355129562089E-3</v>
      </c>
      <c r="AC15" s="145" cm="1">
        <f t="array" ref="AC15">bdRatePareto(AO15:AO20,AP15:AP20,AQ15:AQ20,AR15:AR20)</f>
        <v>7.3119395121001851E-4</v>
      </c>
      <c r="AD15" s="14" t="e">
        <f>bdRateExtend($C15:$C20,E15:E20,$L15:$L20,N15:N20)</f>
        <v>#VALUE!</v>
      </c>
      <c r="AE15" s="14" t="e">
        <f>bdRateExtend($C15:$C20,F15:F20,$L15:$L20,O15:O20)</f>
        <v>#VALUE!</v>
      </c>
      <c r="AF15" s="15" t="e">
        <f>bdRateExtend($C15:$C20,G15:G20,$L15:$L20,P15:P20)</f>
        <v>#VALUE!</v>
      </c>
      <c r="AG15" s="72">
        <f>bdPSNRExtend($C15:$C20,$D15:$D20,$L15:$L20,$M15:$M20)</f>
        <v>2.2322648856458027E-2</v>
      </c>
      <c r="AN15" s="240" t="s">
        <v>213</v>
      </c>
      <c r="AO15" s="240" cm="1">
        <f t="array" ref="AO15">pareto($C15:$C20,$D15:$D20,1,"rate",$AQ$1,$AN16,$AN18)</f>
        <v>544.94560000000001</v>
      </c>
      <c r="AP15" s="240" cm="1">
        <f t="array" ref="AP15">pareto($C15:$C20,$D15:$D20,1,"dist",$AQ$1,$AN16,$AN18)</f>
        <v>48.483277200000003</v>
      </c>
      <c r="AQ15" s="240" cm="1">
        <f t="array" ref="AQ15">pareto($L15:$L20,$M15:$M20,1,"rate",$AQ$1,$AN16,$AN18)</f>
        <v>544.94560000000001</v>
      </c>
      <c r="AR15" s="240" cm="1">
        <f t="array" ref="AR15">pareto($L15:$L20,$M15:$M20,1,"dist",$AQ$1,$AN16,$AN18)</f>
        <v>49.572206399999999</v>
      </c>
      <c r="AS15" s="240"/>
      <c r="AT15" s="240"/>
      <c r="AU15" s="240"/>
      <c r="AV15" s="240"/>
      <c r="AW15" s="240"/>
      <c r="AX15" s="240"/>
    </row>
    <row r="16" spans="1:50" ht="12" customHeight="1" x14ac:dyDescent="0.25">
      <c r="A16" s="58"/>
      <c r="B16" s="107" t="s">
        <v>251</v>
      </c>
      <c r="C16" s="267">
        <v>388.6232</v>
      </c>
      <c r="D16" s="267">
        <v>46.746175800000003</v>
      </c>
      <c r="E16" s="86"/>
      <c r="F16" s="86"/>
      <c r="G16" s="86"/>
      <c r="H16" s="86"/>
      <c r="I16" s="86"/>
      <c r="J16" s="86"/>
      <c r="K16" s="110"/>
      <c r="L16" s="267">
        <v>388.6232</v>
      </c>
      <c r="M16" s="267">
        <v>47.186932800000001</v>
      </c>
      <c r="N16" s="86"/>
      <c r="O16" s="86"/>
      <c r="P16" s="86"/>
      <c r="Q16" s="222"/>
      <c r="R16" s="86"/>
      <c r="S16" s="86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6"/>
      <c r="AD16" s="4"/>
      <c r="AE16" s="4"/>
      <c r="AF16" s="5"/>
      <c r="AG16" s="59"/>
      <c r="AN16" s="240">
        <v>46.2</v>
      </c>
      <c r="AO16" s="240" cm="1">
        <f t="array" ref="AO16">pareto($C15:$C20,$D15:$D20,2,"rate",$AQ$1,$AN16,$AN18)</f>
        <v>388.6232</v>
      </c>
      <c r="AP16" s="240" cm="1">
        <f t="array" ref="AP16">pareto($C15:$C20,$D15:$D20,2,"dist",$AQ$1,$AN16,$AN18)</f>
        <v>46.746175800000003</v>
      </c>
      <c r="AQ16" s="240" cm="1">
        <f t="array" ref="AQ16">pareto($L15:$L20,$M15:$M20,2,"rate",$AQ$1,$AN16,$AN18)</f>
        <v>388.6232</v>
      </c>
      <c r="AR16" s="240" cm="1">
        <f t="array" ref="AR16">pareto($L15:$L20,$M15:$M20,2,"dist",$AQ$1,$AN16,$AN18)</f>
        <v>47.186932800000001</v>
      </c>
      <c r="AS16" s="240"/>
      <c r="AT16" s="240"/>
      <c r="AU16" s="240"/>
      <c r="AV16" s="240"/>
      <c r="AW16" s="240"/>
      <c r="AX16" s="240"/>
    </row>
    <row r="17" spans="1:50" ht="12" customHeight="1" x14ac:dyDescent="0.25">
      <c r="A17" s="58"/>
      <c r="B17" s="107" t="s">
        <v>252</v>
      </c>
      <c r="C17" s="267">
        <v>274.87279999999998</v>
      </c>
      <c r="D17" s="267">
        <v>44.205340900000003</v>
      </c>
      <c r="E17" s="86"/>
      <c r="F17" s="86"/>
      <c r="G17" s="86"/>
      <c r="H17" s="86"/>
      <c r="I17" s="86"/>
      <c r="J17" s="86"/>
      <c r="K17" s="110"/>
      <c r="L17" s="267">
        <v>274.87279999999998</v>
      </c>
      <c r="M17" s="267">
        <v>44.153487200000001</v>
      </c>
      <c r="N17" s="86"/>
      <c r="O17" s="86"/>
      <c r="P17" s="86"/>
      <c r="Q17" s="222"/>
      <c r="R17" s="86"/>
      <c r="S17" s="86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6"/>
      <c r="AD17" s="4"/>
      <c r="AE17" s="4"/>
      <c r="AF17" s="5"/>
      <c r="AG17" s="59"/>
      <c r="AN17" s="240" t="s">
        <v>44</v>
      </c>
      <c r="AO17" s="240" cm="1">
        <f t="array" ref="AO17">pareto($C15:$C20,$D15:$D20,3,"rate",$AQ$1,$AN16,$AN18)</f>
        <v>274.87279999999998</v>
      </c>
      <c r="AP17" s="240" cm="1">
        <f t="array" ref="AP17">pareto($C15:$C20,$D15:$D20,3,"dist",$AQ$1,$AN16,$AN18)</f>
        <v>44.205340900000003</v>
      </c>
      <c r="AQ17" s="240" cm="1">
        <f t="array" ref="AQ17">pareto($L15:$L20,$M15:$M20,3,"rate",$AQ$1,$AN16,$AN18)</f>
        <v>274.87279999999998</v>
      </c>
      <c r="AR17" s="240" cm="1">
        <f t="array" ref="AR17">pareto($L15:$L20,$M15:$M20,3,"dist",$AQ$1,$AN16,$AN18)</f>
        <v>44.153487200000001</v>
      </c>
      <c r="AS17" s="240"/>
      <c r="AT17" s="240"/>
      <c r="AU17" s="240"/>
      <c r="AV17" s="240"/>
      <c r="AW17" s="240"/>
      <c r="AX17" s="240"/>
    </row>
    <row r="18" spans="1:50" ht="12" customHeight="1" x14ac:dyDescent="0.25">
      <c r="A18" s="58"/>
      <c r="B18" s="107" t="s">
        <v>253</v>
      </c>
      <c r="C18" s="267">
        <v>101.6296</v>
      </c>
      <c r="D18" s="267">
        <v>33.238268099999999</v>
      </c>
      <c r="E18" s="86"/>
      <c r="F18" s="86"/>
      <c r="G18" s="86"/>
      <c r="H18" s="86"/>
      <c r="I18" s="86"/>
      <c r="J18" s="86"/>
      <c r="K18" s="110"/>
      <c r="L18" s="267">
        <v>101.6296</v>
      </c>
      <c r="M18" s="267">
        <v>33.160487400000001</v>
      </c>
      <c r="N18" s="86"/>
      <c r="O18" s="86"/>
      <c r="P18" s="86"/>
      <c r="Q18" s="222"/>
      <c r="R18" s="86"/>
      <c r="S18" s="86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6"/>
      <c r="AD18" s="4"/>
      <c r="AE18" s="4"/>
      <c r="AF18" s="5"/>
      <c r="AG18" s="59"/>
      <c r="AN18" s="240">
        <v>25</v>
      </c>
      <c r="AO18" s="240" cm="1">
        <f t="array" ref="AO18">pareto($C15:$C20,$D15:$D20,4,"rate",$AQ$1,$AN16,$AN18)</f>
        <v>101.6296</v>
      </c>
      <c r="AP18" s="240" cm="1">
        <f t="array" ref="AP18">pareto($C15:$C20,$D15:$D20,4,"dist",$AQ$1,$AN16,$AN18)</f>
        <v>33.238268099999999</v>
      </c>
      <c r="AQ18" s="240" cm="1">
        <f t="array" ref="AQ18">pareto($L15:$L20,$M15:$M20,4,"rate",$AQ$1,$AN16,$AN18)</f>
        <v>101.6296</v>
      </c>
      <c r="AR18" s="240" cm="1">
        <f t="array" ref="AR18">pareto($L15:$L20,$M15:$M20,4,"dist",$AQ$1,$AN16,$AN18)</f>
        <v>33.160487400000001</v>
      </c>
      <c r="AS18" s="240"/>
      <c r="AT18" s="240"/>
      <c r="AU18" s="240"/>
      <c r="AV18" s="240"/>
      <c r="AW18" s="240"/>
      <c r="AX18" s="240"/>
    </row>
    <row r="19" spans="1:50" ht="12" customHeight="1" x14ac:dyDescent="0.25">
      <c r="A19" s="58"/>
      <c r="B19" s="107" t="s">
        <v>254</v>
      </c>
      <c r="C19" s="267">
        <v>54.671999999999997</v>
      </c>
      <c r="D19" s="267">
        <v>24.630541900000001</v>
      </c>
      <c r="E19" s="86"/>
      <c r="F19" s="86"/>
      <c r="G19" s="86"/>
      <c r="H19" s="86"/>
      <c r="I19" s="86"/>
      <c r="J19" s="86"/>
      <c r="K19" s="110"/>
      <c r="L19" s="267">
        <v>54.671999999999997</v>
      </c>
      <c r="M19" s="267">
        <v>24.708322500000001</v>
      </c>
      <c r="N19" s="86"/>
      <c r="O19" s="86"/>
      <c r="P19" s="86"/>
      <c r="Q19" s="222"/>
      <c r="R19" s="86"/>
      <c r="S19" s="86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6"/>
      <c r="AD19" s="4"/>
      <c r="AE19" s="4"/>
      <c r="AF19" s="5"/>
      <c r="AG19" s="59"/>
      <c r="AN19" s="240"/>
      <c r="AO19" s="240" cm="1">
        <f t="array" ref="AO19">pareto($C15:$C20,$D15:$D20,5,"rate",$AQ$1,$AN16,$AN18)</f>
        <v>54.671999999999997</v>
      </c>
      <c r="AP19" s="240" cm="1">
        <f t="array" ref="AP19">pareto($C15:$C20,$D15:$D20,5,"dist",$AQ$1,$AN16,$AN18)</f>
        <v>24.630541900000001</v>
      </c>
      <c r="AQ19" s="240" cm="1">
        <f t="array" ref="AQ19">pareto($L15:$L20,$M15:$M20,5,"rate",$AQ$1,$AN16,$AN18)</f>
        <v>54.671999999999997</v>
      </c>
      <c r="AR19" s="240" cm="1">
        <f t="array" ref="AR19">pareto($L15:$L20,$M15:$M20,5,"dist",$AQ$1,$AN16,$AN18)</f>
        <v>24.708322500000001</v>
      </c>
      <c r="AS19" s="240"/>
      <c r="AT19" s="240"/>
      <c r="AU19" s="240"/>
      <c r="AV19" s="240"/>
      <c r="AW19" s="240"/>
      <c r="AX19" s="240"/>
    </row>
    <row r="20" spans="1:50" ht="12" customHeight="1" thickBot="1" x14ac:dyDescent="0.3">
      <c r="A20" s="45"/>
      <c r="B20" s="108" t="s">
        <v>255</v>
      </c>
      <c r="C20" s="267">
        <v>30.1983999999999</v>
      </c>
      <c r="D20" s="267">
        <v>15.996888800000001</v>
      </c>
      <c r="E20" s="94"/>
      <c r="F20" s="94"/>
      <c r="G20" s="94"/>
      <c r="H20" s="94"/>
      <c r="I20" s="94"/>
      <c r="J20" s="94"/>
      <c r="K20" s="110"/>
      <c r="L20" s="267">
        <v>30.1983999999999</v>
      </c>
      <c r="M20" s="267">
        <v>15.426497299999999</v>
      </c>
      <c r="N20" s="94"/>
      <c r="O20" s="94"/>
      <c r="P20" s="94"/>
      <c r="Q20" s="223"/>
      <c r="R20" s="94"/>
      <c r="S20" s="94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7"/>
      <c r="AD20" s="6"/>
      <c r="AE20" s="6"/>
      <c r="AF20" s="7"/>
      <c r="AG20" s="63"/>
      <c r="AN20" s="240"/>
      <c r="AO20" s="240" cm="1">
        <f t="array" ref="AO20">pareto($C15:$C20,$D15:$D20,6,"rate",$AQ$1,$AN16,$AN18)</f>
        <v>30.1983999999999</v>
      </c>
      <c r="AP20" s="240" cm="1">
        <f t="array" ref="AP20">pareto($C15:$C20,$D15:$D20,6,"dist",$AQ$1,$AN16,$AN18)</f>
        <v>15.996888800000001</v>
      </c>
      <c r="AQ20" s="240" cm="1">
        <f t="array" ref="AQ20">pareto($L15:$L20,$M15:$M20,6,"rate",$AQ$1,$AN16,$AN18)</f>
        <v>30.1983999999999</v>
      </c>
      <c r="AR20" s="240" cm="1">
        <f t="array" ref="AR20">pareto($L15:$L20,$M15:$M20,6,"dist",$AQ$1,$AN16,$AN18)</f>
        <v>15.426497299999999</v>
      </c>
      <c r="AS20" s="240"/>
      <c r="AT20" s="240"/>
      <c r="AU20" s="240"/>
      <c r="AV20" s="240"/>
      <c r="AW20" s="240"/>
      <c r="AX20" s="240"/>
    </row>
    <row r="21" spans="1:50" ht="12" customHeight="1" x14ac:dyDescent="0.25">
      <c r="A21" s="141" t="s">
        <v>232</v>
      </c>
      <c r="B21" s="106" t="s">
        <v>250</v>
      </c>
      <c r="C21" s="267">
        <v>248.82830188679199</v>
      </c>
      <c r="D21" s="267">
        <v>53.814713900000001</v>
      </c>
      <c r="E21" s="83"/>
      <c r="F21" s="83"/>
      <c r="G21" s="83"/>
      <c r="H21" s="83"/>
      <c r="I21" s="83"/>
      <c r="J21" s="83"/>
      <c r="K21" s="110"/>
      <c r="L21" s="267">
        <v>248.82830188679199</v>
      </c>
      <c r="M21" s="267">
        <v>53.542234299999997</v>
      </c>
      <c r="N21" s="83"/>
      <c r="O21" s="83"/>
      <c r="P21" s="83"/>
      <c r="Q21" s="222"/>
      <c r="R21" s="83"/>
      <c r="S21" s="83"/>
      <c r="T21" s="37" t="e">
        <f t="shared" si="0"/>
        <v>#DIV/0!</v>
      </c>
      <c r="U21" s="38" t="e">
        <f t="shared" si="0"/>
        <v>#DIV/0!</v>
      </c>
      <c r="V21" s="55"/>
      <c r="W21" s="14">
        <f>bdRateExtend($C21:$C26,D21:D26,$L21:$L26,$M21:$M26)</f>
        <v>2.2564963665739901E-2</v>
      </c>
      <c r="X21" s="14">
        <f>bdRateExtend($C21:$C25,$D21:$D25,$L21:$L25,$M21:$M25)</f>
        <v>3.0868869610797711E-2</v>
      </c>
      <c r="Y21" s="14">
        <f>bdRateExtend($C22:$C26,$D22:$D26,$L22:$L26,$M22:$M26)</f>
        <v>2.5651132919573438E-2</v>
      </c>
      <c r="Z21" s="14">
        <f>bdRateExtend($C21:$C24,$D21:$D24,$L21:$L24,$M21:$M24)</f>
        <v>3.0033978370211045E-2</v>
      </c>
      <c r="AA21" s="14">
        <f>bdRateExtend($C22:$C25,$D22:$D25,$L22:$L25,$M22:$M25)</f>
        <v>3.4691848458951124E-2</v>
      </c>
      <c r="AB21" s="14">
        <f>bdRateExtend($C23:$C26,$D23:$D26,$L23:$L26,$M23:$M26)</f>
        <v>2.8882756683232369E-2</v>
      </c>
      <c r="AC21" s="145" cm="1">
        <f t="array" ref="AC21">bdRatePareto(AO21:AO26,AP21:AP26,AQ21:AQ26,AR21:AR26)</f>
        <v>2.2564963665739901E-2</v>
      </c>
      <c r="AD21" s="14" t="e">
        <f>bdRateExtend($C21:$C26,E21:E26,$L21:$L26,N21:N26)</f>
        <v>#VALUE!</v>
      </c>
      <c r="AE21" s="14" t="e">
        <f>bdRateExtend($C21:$C26,F21:F26,$L21:$L26,O21:O26)</f>
        <v>#VALUE!</v>
      </c>
      <c r="AF21" s="15" t="e">
        <f>bdRateExtend($C21:$C26,G21:G26,$L21:$L26,P21:P26)</f>
        <v>#VALUE!</v>
      </c>
      <c r="AG21" s="72">
        <f>bdPSNRExtend($C21:$C26,$D21:$D26,$L21:$L26,$M21:$M26)</f>
        <v>-0.19663203170130134</v>
      </c>
      <c r="AN21" s="240" t="s">
        <v>213</v>
      </c>
      <c r="AO21" s="240" cm="1">
        <f t="array" ref="AO21">pareto($C21:$C26,$D21:$D26,1,"rate",$AQ$1,$AN22,$AN24)</f>
        <v>248.82830188679199</v>
      </c>
      <c r="AP21" s="240" cm="1">
        <f t="array" ref="AP21">pareto($C21:$C26,$D21:$D26,1,"dist",$AQ$1,$AN22,$AN24)</f>
        <v>53.814713900000001</v>
      </c>
      <c r="AQ21" s="240" cm="1">
        <f t="array" ref="AQ21">pareto($L21:$L26,$M21:$M26,1,"rate",$AQ$1,$AN22,$AN24)</f>
        <v>248.82830188679199</v>
      </c>
      <c r="AR21" s="240" cm="1">
        <f t="array" ref="AR21">pareto($L21:$L26,$M21:$M26,1,"dist",$AQ$1,$AN22,$AN24)</f>
        <v>53.542234299999997</v>
      </c>
      <c r="AS21" s="240"/>
      <c r="AT21" s="240"/>
      <c r="AU21" s="240"/>
      <c r="AV21" s="240"/>
      <c r="AW21" s="240"/>
      <c r="AX21" s="240"/>
    </row>
    <row r="22" spans="1:50" ht="12" customHeight="1" x14ac:dyDescent="0.25">
      <c r="A22" s="58"/>
      <c r="B22" s="107" t="s">
        <v>251</v>
      </c>
      <c r="C22" s="267">
        <v>148.31194968553399</v>
      </c>
      <c r="D22" s="267">
        <v>52.951861899999997</v>
      </c>
      <c r="E22" s="86"/>
      <c r="F22" s="86"/>
      <c r="G22" s="86"/>
      <c r="H22" s="86"/>
      <c r="I22" s="86"/>
      <c r="J22" s="86"/>
      <c r="K22" s="110"/>
      <c r="L22" s="267">
        <v>148.31194968553399</v>
      </c>
      <c r="M22" s="267">
        <v>52.906448699999999</v>
      </c>
      <c r="N22" s="86"/>
      <c r="O22" s="86"/>
      <c r="P22" s="86"/>
      <c r="Q22" s="222"/>
      <c r="R22" s="86"/>
      <c r="S22" s="86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0">
        <v>55.4</v>
      </c>
      <c r="AO22" s="240" cm="1">
        <f t="array" ref="AO22">pareto($C21:$C26,$D21:$D26,2,"rate",$AQ$1,$AN22,$AN24)</f>
        <v>148.31194968553399</v>
      </c>
      <c r="AP22" s="240" cm="1">
        <f t="array" ref="AP22">pareto($C21:$C26,$D21:$D26,2,"dist",$AQ$1,$AN22,$AN24)</f>
        <v>52.951861899999997</v>
      </c>
      <c r="AQ22" s="240" cm="1">
        <f t="array" ref="AQ22">pareto($L21:$L26,$M21:$M26,2,"rate",$AQ$1,$AN22,$AN24)</f>
        <v>148.31194968553399</v>
      </c>
      <c r="AR22" s="240" cm="1">
        <f t="array" ref="AR22">pareto($L21:$L26,$M21:$M26,2,"dist",$AQ$1,$AN22,$AN24)</f>
        <v>52.906448699999999</v>
      </c>
      <c r="AS22" s="240"/>
      <c r="AT22" s="240"/>
      <c r="AU22" s="240"/>
      <c r="AV22" s="240"/>
      <c r="AW22" s="240"/>
      <c r="AX22" s="240"/>
    </row>
    <row r="23" spans="1:50" ht="12" customHeight="1" x14ac:dyDescent="0.25">
      <c r="A23" s="58"/>
      <c r="B23" s="107" t="s">
        <v>252</v>
      </c>
      <c r="C23" s="267">
        <v>81.367924528301799</v>
      </c>
      <c r="D23" s="267">
        <v>45.186194399999998</v>
      </c>
      <c r="E23" s="86"/>
      <c r="F23" s="86"/>
      <c r="G23" s="86"/>
      <c r="H23" s="86"/>
      <c r="I23" s="86"/>
      <c r="J23" s="86"/>
      <c r="K23" s="110"/>
      <c r="L23" s="267">
        <v>81.367924528301799</v>
      </c>
      <c r="M23" s="267">
        <v>44.822888300000002</v>
      </c>
      <c r="N23" s="86"/>
      <c r="O23" s="86"/>
      <c r="P23" s="86"/>
      <c r="Q23" s="222"/>
      <c r="R23" s="86"/>
      <c r="S23" s="86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0" t="s">
        <v>44</v>
      </c>
      <c r="AO23" s="240" cm="1">
        <f t="array" ref="AO23">pareto($C21:$C26,$D21:$D26,3,"rate",$AQ$1,$AN22,$AN24)</f>
        <v>81.367924528301799</v>
      </c>
      <c r="AP23" s="240" cm="1">
        <f t="array" ref="AP23">pareto($C21:$C26,$D21:$D26,3,"dist",$AQ$1,$AN22,$AN24)</f>
        <v>45.186194399999998</v>
      </c>
      <c r="AQ23" s="240" cm="1">
        <f t="array" ref="AQ23">pareto($L21:$L26,$M21:$M26,3,"rate",$AQ$1,$AN22,$AN24)</f>
        <v>81.367924528301799</v>
      </c>
      <c r="AR23" s="240" cm="1">
        <f t="array" ref="AR23">pareto($L21:$L26,$M21:$M26,3,"dist",$AQ$1,$AN22,$AN24)</f>
        <v>44.822888300000002</v>
      </c>
      <c r="AS23" s="240"/>
      <c r="AT23" s="240"/>
      <c r="AU23" s="240"/>
      <c r="AV23" s="240"/>
      <c r="AW23" s="240"/>
      <c r="AX23" s="240"/>
    </row>
    <row r="24" spans="1:50" ht="12" customHeight="1" x14ac:dyDescent="0.25">
      <c r="A24" s="58"/>
      <c r="B24" s="107" t="s">
        <v>253</v>
      </c>
      <c r="C24" s="267">
        <v>45.584905660377302</v>
      </c>
      <c r="D24" s="267">
        <v>42.733878300000001</v>
      </c>
      <c r="E24" s="86"/>
      <c r="F24" s="86"/>
      <c r="G24" s="86"/>
      <c r="H24" s="86"/>
      <c r="I24" s="86"/>
      <c r="J24" s="86"/>
      <c r="K24" s="110"/>
      <c r="L24" s="267">
        <v>45.584905660377302</v>
      </c>
      <c r="M24" s="267">
        <v>42.279745699999999</v>
      </c>
      <c r="N24" s="86"/>
      <c r="O24" s="86"/>
      <c r="P24" s="86"/>
      <c r="Q24" s="222"/>
      <c r="R24" s="86"/>
      <c r="S24" s="86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0">
        <v>25</v>
      </c>
      <c r="AO24" s="240" cm="1">
        <f t="array" ref="AO24">pareto($C21:$C26,$D21:$D26,4,"rate",$AQ$1,$AN22,$AN24)</f>
        <v>45.584905660377302</v>
      </c>
      <c r="AP24" s="240" cm="1">
        <f t="array" ref="AP24">pareto($C21:$C26,$D21:$D26,4,"dist",$AQ$1,$AN22,$AN24)</f>
        <v>42.733878300000001</v>
      </c>
      <c r="AQ24" s="240" cm="1">
        <f t="array" ref="AQ24">pareto($L21:$L26,$M21:$M26,4,"rate",$AQ$1,$AN22,$AN24)</f>
        <v>45.584905660377302</v>
      </c>
      <c r="AR24" s="240" cm="1">
        <f t="array" ref="AR24">pareto($L21:$L26,$M21:$M26,4,"dist",$AQ$1,$AN22,$AN24)</f>
        <v>42.279745699999999</v>
      </c>
      <c r="AS24" s="240"/>
      <c r="AT24" s="240"/>
      <c r="AU24" s="240"/>
      <c r="AV24" s="240"/>
      <c r="AW24" s="240"/>
      <c r="AX24" s="240"/>
    </row>
    <row r="25" spans="1:50" ht="12" customHeight="1" x14ac:dyDescent="0.25">
      <c r="A25" s="58"/>
      <c r="B25" s="107" t="s">
        <v>254</v>
      </c>
      <c r="C25" s="267">
        <v>25.535849056603698</v>
      </c>
      <c r="D25" s="267">
        <v>36.1489555</v>
      </c>
      <c r="E25" s="86"/>
      <c r="F25" s="86"/>
      <c r="G25" s="86"/>
      <c r="H25" s="86"/>
      <c r="I25" s="86"/>
      <c r="J25" s="86"/>
      <c r="K25" s="110"/>
      <c r="L25" s="267">
        <v>25.535849056603698</v>
      </c>
      <c r="M25" s="267">
        <v>36.285195299999998</v>
      </c>
      <c r="N25" s="86"/>
      <c r="O25" s="86"/>
      <c r="P25" s="86"/>
      <c r="Q25" s="222"/>
      <c r="R25" s="86"/>
      <c r="S25" s="86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0"/>
      <c r="AO25" s="240" cm="1">
        <f t="array" ref="AO25">pareto($C21:$C26,$D21:$D26,5,"rate",$AQ$1,$AN22,$AN24)</f>
        <v>25.535849056603698</v>
      </c>
      <c r="AP25" s="240" cm="1">
        <f t="array" ref="AP25">pareto($C21:$C26,$D21:$D26,5,"dist",$AQ$1,$AN22,$AN24)</f>
        <v>36.1489555</v>
      </c>
      <c r="AQ25" s="240" cm="1">
        <f t="array" ref="AQ25">pareto($L21:$L26,$M21:$M26,5,"rate",$AQ$1,$AN22,$AN24)</f>
        <v>25.535849056603698</v>
      </c>
      <c r="AR25" s="240" cm="1">
        <f t="array" ref="AR25">pareto($L21:$L26,$M21:$M26,5,"dist",$AQ$1,$AN22,$AN24)</f>
        <v>36.285195299999998</v>
      </c>
      <c r="AS25" s="240"/>
      <c r="AT25" s="240"/>
      <c r="AU25" s="240"/>
      <c r="AV25" s="240"/>
      <c r="AW25" s="240"/>
      <c r="AX25" s="240"/>
    </row>
    <row r="26" spans="1:50" ht="12" customHeight="1" thickBot="1" x14ac:dyDescent="0.3">
      <c r="A26" s="45"/>
      <c r="B26" s="108" t="s">
        <v>255</v>
      </c>
      <c r="C26" s="267">
        <v>17.803773584905599</v>
      </c>
      <c r="D26" s="267">
        <v>34.196185300000003</v>
      </c>
      <c r="E26" s="94"/>
      <c r="F26" s="94"/>
      <c r="G26" s="94"/>
      <c r="H26" s="94"/>
      <c r="I26" s="94"/>
      <c r="J26" s="94"/>
      <c r="K26" s="110"/>
      <c r="L26" s="267">
        <v>17.803773584905599</v>
      </c>
      <c r="M26" s="267">
        <v>33.923705699999999</v>
      </c>
      <c r="N26" s="94"/>
      <c r="O26" s="94"/>
      <c r="P26" s="94"/>
      <c r="Q26" s="223"/>
      <c r="R26" s="94"/>
      <c r="S26" s="94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0"/>
      <c r="AO26" s="240" cm="1">
        <f t="array" ref="AO26">pareto($C21:$C26,$D21:$D26,6,"rate",$AQ$1,$AN22,$AN24)</f>
        <v>17.803773584905599</v>
      </c>
      <c r="AP26" s="240" cm="1">
        <f t="array" ref="AP26">pareto($C21:$C26,$D21:$D26,6,"dist",$AQ$1,$AN22,$AN24)</f>
        <v>34.196185300000003</v>
      </c>
      <c r="AQ26" s="240" cm="1">
        <f t="array" ref="AQ26">pareto($L21:$L26,$M21:$M26,6,"rate",$AQ$1,$AN22,$AN24)</f>
        <v>17.803773584905599</v>
      </c>
      <c r="AR26" s="240" cm="1">
        <f t="array" ref="AR26">pareto($L21:$L26,$M21:$M26,6,"dist",$AQ$1,$AN22,$AN24)</f>
        <v>33.923705699999999</v>
      </c>
      <c r="AS26" s="240"/>
      <c r="AT26" s="240"/>
      <c r="AU26" s="240"/>
      <c r="AV26" s="240"/>
      <c r="AW26" s="240"/>
      <c r="AX26" s="240"/>
    </row>
    <row r="27" spans="1:50" ht="12" customHeight="1" x14ac:dyDescent="0.25">
      <c r="A27" s="141" t="s">
        <v>233</v>
      </c>
      <c r="B27" s="106" t="s">
        <v>250</v>
      </c>
      <c r="C27" s="267">
        <v>314.82799999999997</v>
      </c>
      <c r="D27" s="267">
        <v>72.763835299999997</v>
      </c>
      <c r="E27" s="83"/>
      <c r="F27" s="83"/>
      <c r="G27" s="83"/>
      <c r="H27" s="83"/>
      <c r="I27" s="83"/>
      <c r="J27" s="83"/>
      <c r="K27" s="110"/>
      <c r="L27" s="267">
        <v>314.82799999999997</v>
      </c>
      <c r="M27" s="267">
        <v>72.763835299999997</v>
      </c>
      <c r="N27" s="83"/>
      <c r="O27" s="83"/>
      <c r="P27" s="83"/>
      <c r="Q27" s="222"/>
      <c r="R27" s="83"/>
      <c r="S27" s="83"/>
      <c r="T27" s="37" t="e">
        <f t="shared" ref="T27:U42" si="1">R27/I27</f>
        <v>#DIV/0!</v>
      </c>
      <c r="U27" s="38" t="e">
        <f t="shared" si="1"/>
        <v>#DIV/0!</v>
      </c>
      <c r="V27" s="55"/>
      <c r="W27" s="14">
        <f>bdRateExtend($C27:$C32,D27:D32,$L27:$L32,$M27:$M32)</f>
        <v>0</v>
      </c>
      <c r="X27" s="14">
        <f>bdRateExtend($C27:$C31,$D27:$D31,$L27:$L31,$M27:$M31)</f>
        <v>0</v>
      </c>
      <c r="Y27" s="14">
        <f>bdRateExtend($C28:$C32,$D28:$D32,$L28:$L32,$M28:$M32)</f>
        <v>0</v>
      </c>
      <c r="Z27" s="14">
        <f>bdRateExtend($C27:$C30,$D27:$D30,$L27:$L30,$M27:$M30)</f>
        <v>0</v>
      </c>
      <c r="AA27" s="14">
        <f>bdRateExtend($C28:$C31,$D28:$D31,$L28:$L31,$M28:$M31)</f>
        <v>0</v>
      </c>
      <c r="AB27" s="14">
        <f>bdRateExtend($C29:$C32,$D29:$D32,$L29:$L32,$M29:$M32)</f>
        <v>0</v>
      </c>
      <c r="AC27" s="145" cm="1">
        <f t="array" ref="AC27">bdRatePareto(AO27:AO32,AP27:AP32,AQ27:AQ32,AR27:AR32)</f>
        <v>0</v>
      </c>
      <c r="AD27" s="14" t="e">
        <f>bdRateExtend($C27:$C32,E27:E32,$L27:$L32,N27:N32)</f>
        <v>#VALUE!</v>
      </c>
      <c r="AE27" s="14" t="e">
        <f>bdRateExtend($C27:$C32,F27:F32,$L27:$L32,O27:O32)</f>
        <v>#VALUE!</v>
      </c>
      <c r="AF27" s="15" t="e">
        <f>bdRateExtend($C27:$C32,G27:G32,$L27:$L32,P27:P32)</f>
        <v>#VALUE!</v>
      </c>
      <c r="AG27" s="72">
        <f>bdPSNRExtend($C27:$C32,$D27:$D32,$L27:$L32,$M27:$M32)</f>
        <v>0</v>
      </c>
      <c r="AN27" s="240" t="s">
        <v>213</v>
      </c>
      <c r="AO27" s="240" cm="1">
        <f t="array" ref="AO27">pareto($C27:$C32,$D27:$D32,1,"rate",$AQ$1,$AN28,$AN30)</f>
        <v>314.82799999999997</v>
      </c>
      <c r="AP27" s="240" cm="1">
        <f t="array" ref="AP27">pareto($C27:$C32,$D27:$D32,1,"dist",$AQ$1,$AN28,$AN30)</f>
        <v>72.763835299999997</v>
      </c>
      <c r="AQ27" s="240" cm="1">
        <f t="array" ref="AQ27">pareto($L27:$L32,$M27:$M32,1,"rate",$AQ$1,$AN28,$AN30)</f>
        <v>314.82799999999997</v>
      </c>
      <c r="AR27" s="240" cm="1">
        <f t="array" ref="AR27">pareto($L27:$L32,$M27:$M32,1,"dist",$AQ$1,$AN28,$AN30)</f>
        <v>72.763835299999997</v>
      </c>
      <c r="AS27" s="240"/>
      <c r="AT27" s="240"/>
      <c r="AU27" s="240"/>
      <c r="AV27" s="240"/>
      <c r="AW27" s="240"/>
      <c r="AX27" s="240"/>
    </row>
    <row r="28" spans="1:50" ht="12" customHeight="1" x14ac:dyDescent="0.25">
      <c r="A28" s="58"/>
      <c r="B28" s="107" t="s">
        <v>251</v>
      </c>
      <c r="C28" s="267">
        <v>153.9984</v>
      </c>
      <c r="D28" s="267">
        <v>66.312741299999999</v>
      </c>
      <c r="E28" s="86"/>
      <c r="F28" s="86"/>
      <c r="G28" s="86"/>
      <c r="H28" s="86"/>
      <c r="I28" s="86"/>
      <c r="J28" s="86"/>
      <c r="K28" s="110"/>
      <c r="L28" s="267">
        <v>153.9984</v>
      </c>
      <c r="M28" s="267">
        <v>66.312741299999999</v>
      </c>
      <c r="N28" s="86"/>
      <c r="O28" s="86"/>
      <c r="P28" s="86"/>
      <c r="Q28" s="222"/>
      <c r="R28" s="86"/>
      <c r="S28" s="86"/>
      <c r="T28" s="37" t="e">
        <f t="shared" si="1"/>
        <v>#DIV/0!</v>
      </c>
      <c r="U28" s="38" t="e">
        <f t="shared" si="1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0">
        <v>69.7</v>
      </c>
      <c r="AO28" s="240" cm="1">
        <f t="array" ref="AO28">pareto($C27:$C32,$D27:$D32,2,"rate",$AQ$1,$AN28,$AN30)</f>
        <v>153.9984</v>
      </c>
      <c r="AP28" s="240" cm="1">
        <f t="array" ref="AP28">pareto($C27:$C32,$D27:$D32,2,"dist",$AQ$1,$AN28,$AN30)</f>
        <v>66.312741299999999</v>
      </c>
      <c r="AQ28" s="240" cm="1">
        <f t="array" ref="AQ28">pareto($L27:$L32,$M27:$M32,2,"rate",$AQ$1,$AN28,$AN30)</f>
        <v>153.9984</v>
      </c>
      <c r="AR28" s="240" cm="1">
        <f t="array" ref="AR28">pareto($L27:$L32,$M27:$M32,2,"dist",$AQ$1,$AN28,$AN30)</f>
        <v>66.312741299999999</v>
      </c>
      <c r="AS28" s="240"/>
      <c r="AT28" s="240"/>
      <c r="AU28" s="240"/>
      <c r="AV28" s="240"/>
      <c r="AW28" s="240"/>
      <c r="AX28" s="240"/>
    </row>
    <row r="29" spans="1:50" ht="12" customHeight="1" x14ac:dyDescent="0.25">
      <c r="A29" s="58"/>
      <c r="B29" s="107" t="s">
        <v>252</v>
      </c>
      <c r="C29" s="267">
        <v>98.967200000000005</v>
      </c>
      <c r="D29" s="267">
        <v>63.658301199999997</v>
      </c>
      <c r="E29" s="86"/>
      <c r="F29" s="86"/>
      <c r="G29" s="86"/>
      <c r="H29" s="86"/>
      <c r="I29" s="86"/>
      <c r="J29" s="86"/>
      <c r="K29" s="110"/>
      <c r="L29" s="267">
        <v>98.967200000000005</v>
      </c>
      <c r="M29" s="267">
        <v>63.658301199999997</v>
      </c>
      <c r="N29" s="86"/>
      <c r="O29" s="86"/>
      <c r="P29" s="86"/>
      <c r="Q29" s="222"/>
      <c r="R29" s="86"/>
      <c r="S29" s="86"/>
      <c r="T29" s="37" t="e">
        <f t="shared" si="1"/>
        <v>#DIV/0!</v>
      </c>
      <c r="U29" s="38" t="e">
        <f t="shared" si="1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0" t="s">
        <v>44</v>
      </c>
      <c r="AO29" s="240" cm="1">
        <f t="array" ref="AO29">pareto($C27:$C32,$D27:$D32,3,"rate",$AQ$1,$AN28,$AN30)</f>
        <v>98.967200000000005</v>
      </c>
      <c r="AP29" s="240" cm="1">
        <f t="array" ref="AP29">pareto($C27:$C32,$D27:$D32,3,"dist",$AQ$1,$AN28,$AN30)</f>
        <v>63.658301199999997</v>
      </c>
      <c r="AQ29" s="240" cm="1">
        <f t="array" ref="AQ29">pareto($L27:$L32,$M27:$M32,3,"rate",$AQ$1,$AN28,$AN30)</f>
        <v>98.967200000000005</v>
      </c>
      <c r="AR29" s="240" cm="1">
        <f t="array" ref="AR29">pareto($L27:$L32,$M27:$M32,3,"dist",$AQ$1,$AN28,$AN30)</f>
        <v>63.658301199999997</v>
      </c>
      <c r="AS29" s="240"/>
      <c r="AT29" s="240"/>
      <c r="AU29" s="240"/>
      <c r="AV29" s="240"/>
      <c r="AW29" s="240"/>
      <c r="AX29" s="240"/>
    </row>
    <row r="30" spans="1:50" ht="12" customHeight="1" x14ac:dyDescent="0.25">
      <c r="A30" s="58"/>
      <c r="B30" s="107" t="s">
        <v>253</v>
      </c>
      <c r="C30" s="267">
        <v>53.357599999999998</v>
      </c>
      <c r="D30" s="267">
        <v>52.686615199999999</v>
      </c>
      <c r="E30" s="86"/>
      <c r="F30" s="86"/>
      <c r="G30" s="86"/>
      <c r="H30" s="86"/>
      <c r="I30" s="86"/>
      <c r="J30" s="86"/>
      <c r="K30" s="110"/>
      <c r="L30" s="267">
        <v>53.357599999999998</v>
      </c>
      <c r="M30" s="267">
        <v>52.686615199999999</v>
      </c>
      <c r="N30" s="86"/>
      <c r="O30" s="86"/>
      <c r="P30" s="86"/>
      <c r="Q30" s="222"/>
      <c r="R30" s="86"/>
      <c r="S30" s="86"/>
      <c r="T30" s="37" t="e">
        <f t="shared" si="1"/>
        <v>#DIV/0!</v>
      </c>
      <c r="U30" s="38" t="e">
        <f t="shared" si="1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0">
        <v>25</v>
      </c>
      <c r="AO30" s="240" cm="1">
        <f t="array" ref="AO30">pareto($C27:$C32,$D27:$D32,4,"rate",$AQ$1,$AN28,$AN30)</f>
        <v>53.357599999999998</v>
      </c>
      <c r="AP30" s="240" cm="1">
        <f t="array" ref="AP30">pareto($C27:$C32,$D27:$D32,4,"dist",$AQ$1,$AN28,$AN30)</f>
        <v>52.686615199999999</v>
      </c>
      <c r="AQ30" s="240" cm="1">
        <f t="array" ref="AQ30">pareto($L27:$L32,$M27:$M32,4,"rate",$AQ$1,$AN28,$AN30)</f>
        <v>53.357599999999998</v>
      </c>
      <c r="AR30" s="240" cm="1">
        <f t="array" ref="AR30">pareto($L27:$L32,$M27:$M32,4,"dist",$AQ$1,$AN28,$AN30)</f>
        <v>52.686615199999999</v>
      </c>
      <c r="AS30" s="240"/>
      <c r="AT30" s="240"/>
      <c r="AU30" s="240"/>
      <c r="AV30" s="240"/>
      <c r="AW30" s="240"/>
      <c r="AX30" s="240"/>
    </row>
    <row r="31" spans="1:50" ht="12" customHeight="1" x14ac:dyDescent="0.25">
      <c r="A31" s="58"/>
      <c r="B31" s="107" t="s">
        <v>254</v>
      </c>
      <c r="C31" s="267">
        <v>28.5456</v>
      </c>
      <c r="D31" s="267">
        <v>35.328185300000001</v>
      </c>
      <c r="E31" s="86"/>
      <c r="F31" s="86"/>
      <c r="G31" s="86"/>
      <c r="H31" s="86"/>
      <c r="I31" s="86"/>
      <c r="J31" s="86"/>
      <c r="K31" s="110"/>
      <c r="L31" s="267">
        <v>28.5456</v>
      </c>
      <c r="M31" s="267">
        <v>35.328185300000001</v>
      </c>
      <c r="N31" s="86"/>
      <c r="O31" s="86"/>
      <c r="P31" s="86"/>
      <c r="Q31" s="222"/>
      <c r="R31" s="86"/>
      <c r="S31" s="86"/>
      <c r="T31" s="37" t="e">
        <f t="shared" si="1"/>
        <v>#DIV/0!</v>
      </c>
      <c r="U31" s="38" t="e">
        <f t="shared" si="1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0"/>
      <c r="AO31" s="240" cm="1">
        <f t="array" ref="AO31">pareto($C27:$C32,$D27:$D32,5,"rate",$AQ$1,$AN28,$AN30)</f>
        <v>28.5456</v>
      </c>
      <c r="AP31" s="240" cm="1">
        <f t="array" ref="AP31">pareto($C27:$C32,$D27:$D32,5,"dist",$AQ$1,$AN28,$AN30)</f>
        <v>35.328185300000001</v>
      </c>
      <c r="AQ31" s="240" cm="1">
        <f t="array" ref="AQ31">pareto($L27:$L32,$M27:$M32,5,"rate",$AQ$1,$AN28,$AN30)</f>
        <v>28.5456</v>
      </c>
      <c r="AR31" s="240" cm="1">
        <f t="array" ref="AR31">pareto($L27:$L32,$M27:$M32,5,"dist",$AQ$1,$AN28,$AN30)</f>
        <v>35.328185300000001</v>
      </c>
      <c r="AS31" s="240"/>
      <c r="AT31" s="240"/>
      <c r="AU31" s="240"/>
      <c r="AV31" s="240"/>
      <c r="AW31" s="240"/>
      <c r="AX31" s="240"/>
    </row>
    <row r="32" spans="1:50" ht="12" customHeight="1" thickBot="1" x14ac:dyDescent="0.3">
      <c r="A32" s="45"/>
      <c r="B32" s="108" t="s">
        <v>255</v>
      </c>
      <c r="C32" s="267">
        <v>15.0887999999999</v>
      </c>
      <c r="D32" s="267">
        <v>7.545045</v>
      </c>
      <c r="E32" s="94"/>
      <c r="F32" s="94"/>
      <c r="G32" s="94"/>
      <c r="H32" s="94"/>
      <c r="I32" s="94"/>
      <c r="J32" s="94"/>
      <c r="K32" s="110"/>
      <c r="L32" s="267">
        <v>15.0887999999999</v>
      </c>
      <c r="M32" s="267">
        <v>7.545045</v>
      </c>
      <c r="N32" s="94"/>
      <c r="O32" s="94"/>
      <c r="P32" s="94"/>
      <c r="Q32" s="223"/>
      <c r="R32" s="94"/>
      <c r="S32" s="94"/>
      <c r="T32" s="3" t="e">
        <f t="shared" si="1"/>
        <v>#DIV/0!</v>
      </c>
      <c r="U32" s="39" t="e">
        <f t="shared" si="1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0"/>
      <c r="AO32" s="240" cm="1">
        <f t="array" ref="AO32">pareto($C27:$C32,$D27:$D32,6,"rate",$AQ$1,$AN28,$AN30)</f>
        <v>15.0887999999999</v>
      </c>
      <c r="AP32" s="240" cm="1">
        <f t="array" ref="AP32">pareto($C27:$C32,$D27:$D32,6,"dist",$AQ$1,$AN28,$AN30)</f>
        <v>7.545045</v>
      </c>
      <c r="AQ32" s="240" cm="1">
        <f t="array" ref="AQ32">pareto($L27:$L32,$M27:$M32,6,"rate",$AQ$1,$AN28,$AN30)</f>
        <v>15.0887999999999</v>
      </c>
      <c r="AR32" s="240" cm="1">
        <f t="array" ref="AR32">pareto($L27:$L32,$M27:$M32,6,"dist",$AQ$1,$AN28,$AN30)</f>
        <v>7.545045</v>
      </c>
      <c r="AS32" s="240"/>
      <c r="AT32" s="240"/>
      <c r="AU32" s="240"/>
      <c r="AV32" s="240"/>
      <c r="AW32" s="240"/>
      <c r="AX32" s="240"/>
    </row>
    <row r="33" spans="1:50" ht="12" customHeight="1" x14ac:dyDescent="0.25">
      <c r="A33" s="141" t="s">
        <v>234</v>
      </c>
      <c r="B33" s="106" t="s">
        <v>250</v>
      </c>
      <c r="C33" s="267">
        <v>863.37279999999998</v>
      </c>
      <c r="D33" s="267">
        <v>75.723156099999997</v>
      </c>
      <c r="E33" s="83"/>
      <c r="F33" s="83"/>
      <c r="G33" s="83"/>
      <c r="H33" s="83"/>
      <c r="I33" s="83"/>
      <c r="J33" s="83"/>
      <c r="K33" s="110"/>
      <c r="L33" s="267">
        <v>863.37279999999998</v>
      </c>
      <c r="M33" s="267">
        <v>75.723156099999997</v>
      </c>
      <c r="N33" s="83"/>
      <c r="O33" s="83"/>
      <c r="P33" s="83"/>
      <c r="Q33" s="222"/>
      <c r="R33" s="83"/>
      <c r="S33" s="83"/>
      <c r="T33" s="37" t="e">
        <f t="shared" si="1"/>
        <v>#DIV/0!</v>
      </c>
      <c r="U33" s="38" t="e">
        <f t="shared" si="1"/>
        <v>#DIV/0!</v>
      </c>
      <c r="V33" s="55"/>
      <c r="W33" s="14">
        <f>bdRateExtend($C33:$C38,D33:D38,$L33:$L38,$M33:$M38)</f>
        <v>0</v>
      </c>
      <c r="X33" s="14">
        <f>bdRateExtend($C33:$C37,$D33:$D37,$L33:$L37,$M33:$M37)</f>
        <v>0</v>
      </c>
      <c r="Y33" s="14">
        <f>bdRateExtend($C34:$C38,$D34:$D38,$L34:$L38,$M34:$M38)</f>
        <v>0</v>
      </c>
      <c r="Z33" s="14">
        <f>bdRateExtend($C33:$C36,$D33:$D36,$L33:$L36,$M33:$M36)</f>
        <v>0</v>
      </c>
      <c r="AA33" s="14">
        <f>bdRateExtend($C34:$C37,$D34:$D37,$L34:$L37,$M34:$M37)</f>
        <v>0</v>
      </c>
      <c r="AB33" s="14">
        <f>bdRateExtend($C35:$C38,$D35:$D38,$L35:$L38,$M35:$M38)</f>
        <v>0</v>
      </c>
      <c r="AC33" s="145" cm="1">
        <f t="array" ref="AC33">bdRatePareto(AO33:AO38,AP33:AP38,AQ33:AQ38,AR33:AR38)</f>
        <v>0</v>
      </c>
      <c r="AD33" s="14" t="e">
        <f>bdRateExtend($C33:$C38,E33:E38,$L33:$L38,N33:N38)</f>
        <v>#VALUE!</v>
      </c>
      <c r="AE33" s="14" t="e">
        <f>bdRateExtend($C33:$C38,F33:F38,$L33:$L38,O33:O38)</f>
        <v>#VALUE!</v>
      </c>
      <c r="AF33" s="15" t="e">
        <f>bdRateExtend($C33:$C38,G33:G38,$L33:$L38,P33:P38)</f>
        <v>#VALUE!</v>
      </c>
      <c r="AG33" s="72">
        <f>bdPSNRExtend($C33:$C38,$D33:$D38,$L33:$L38,$M33:$M38)</f>
        <v>0</v>
      </c>
      <c r="AN33" s="240" t="s">
        <v>213</v>
      </c>
      <c r="AO33" s="240" cm="1">
        <f t="array" ref="AO33">pareto($C33:$C38,$D33:$D38,1,"rate",$AQ$1,$AN34,$AN36)</f>
        <v>863.37279999999998</v>
      </c>
      <c r="AP33" s="240" cm="1">
        <f t="array" ref="AP33">pareto($C33:$C38,$D33:$D38,1,"dist",$AQ$1,$AN34,$AN36)</f>
        <v>75.723156099999997</v>
      </c>
      <c r="AQ33" s="240" cm="1">
        <f t="array" ref="AQ33">pareto($L33:$L38,$M33:$M38,1,"rate",$AQ$1,$AN34,$AN36)</f>
        <v>863.37279999999998</v>
      </c>
      <c r="AR33" s="240" cm="1">
        <f t="array" ref="AR33">pareto($L33:$L38,$M33:$M38,1,"dist",$AQ$1,$AN34,$AN36)</f>
        <v>75.723156099999997</v>
      </c>
      <c r="AS33" s="240"/>
      <c r="AT33" s="240"/>
      <c r="AU33" s="240"/>
      <c r="AV33" s="240"/>
      <c r="AW33" s="240"/>
      <c r="AX33" s="240"/>
    </row>
    <row r="34" spans="1:50" ht="12" customHeight="1" x14ac:dyDescent="0.25">
      <c r="A34" s="58"/>
      <c r="B34" s="107" t="s">
        <v>251</v>
      </c>
      <c r="C34" s="267">
        <v>454.00559999999899</v>
      </c>
      <c r="D34" s="267">
        <v>74.587308800000002</v>
      </c>
      <c r="E34" s="86"/>
      <c r="F34" s="86"/>
      <c r="G34" s="86"/>
      <c r="H34" s="86"/>
      <c r="I34" s="86"/>
      <c r="J34" s="86"/>
      <c r="K34" s="110"/>
      <c r="L34" s="267">
        <v>454.00559999999899</v>
      </c>
      <c r="M34" s="267">
        <v>74.587308800000002</v>
      </c>
      <c r="N34" s="86"/>
      <c r="O34" s="86"/>
      <c r="P34" s="86"/>
      <c r="Q34" s="222"/>
      <c r="R34" s="86"/>
      <c r="S34" s="86"/>
      <c r="T34" s="37" t="e">
        <f t="shared" si="1"/>
        <v>#DIV/0!</v>
      </c>
      <c r="U34" s="38" t="e">
        <f t="shared" si="1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0">
        <v>73</v>
      </c>
      <c r="AO34" s="240" cm="1">
        <f t="array" ref="AO34">pareto($C33:$C38,$D33:$D38,2,"rate",$AQ$1,$AN34,$AN36)</f>
        <v>454.00559999999899</v>
      </c>
      <c r="AP34" s="240" cm="1">
        <f t="array" ref="AP34">pareto($C33:$C38,$D33:$D38,2,"dist",$AQ$1,$AN34,$AN36)</f>
        <v>74.587308800000002</v>
      </c>
      <c r="AQ34" s="240" cm="1">
        <f t="array" ref="AQ34">pareto($L33:$L38,$M33:$M38,2,"rate",$AQ$1,$AN34,$AN36)</f>
        <v>454.00559999999899</v>
      </c>
      <c r="AR34" s="240" cm="1">
        <f t="array" ref="AR34">pareto($L33:$L38,$M33:$M38,2,"dist",$AQ$1,$AN34,$AN36)</f>
        <v>74.587308800000002</v>
      </c>
      <c r="AS34" s="240"/>
      <c r="AT34" s="240"/>
      <c r="AU34" s="240"/>
      <c r="AV34" s="240"/>
      <c r="AW34" s="240"/>
      <c r="AX34" s="240"/>
    </row>
    <row r="35" spans="1:50" ht="12" customHeight="1" x14ac:dyDescent="0.25">
      <c r="A35" s="58"/>
      <c r="B35" s="107" t="s">
        <v>252</v>
      </c>
      <c r="C35" s="267">
        <v>249.75839999999999</v>
      </c>
      <c r="D35" s="267">
        <v>71.649250300000006</v>
      </c>
      <c r="E35" s="86"/>
      <c r="F35" s="86"/>
      <c r="G35" s="86"/>
      <c r="H35" s="86"/>
      <c r="I35" s="86"/>
      <c r="J35" s="86"/>
      <c r="K35" s="110"/>
      <c r="L35" s="267">
        <v>249.75839999999999</v>
      </c>
      <c r="M35" s="267">
        <v>71.649250300000006</v>
      </c>
      <c r="N35" s="86"/>
      <c r="O35" s="86"/>
      <c r="P35" s="86"/>
      <c r="Q35" s="222"/>
      <c r="R35" s="86"/>
      <c r="S35" s="86"/>
      <c r="T35" s="37" t="e">
        <f t="shared" si="1"/>
        <v>#DIV/0!</v>
      </c>
      <c r="U35" s="38" t="e">
        <f t="shared" si="1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0" t="s">
        <v>44</v>
      </c>
      <c r="AO35" s="240" cm="1">
        <f t="array" ref="AO35">pareto($C33:$C38,$D33:$D38,3,"rate",$AQ$1,$AN34,$AN36)</f>
        <v>249.75839999999999</v>
      </c>
      <c r="AP35" s="240" cm="1">
        <f t="array" ref="AP35">pareto($C33:$C38,$D33:$D38,3,"dist",$AQ$1,$AN34,$AN36)</f>
        <v>71.649250300000006</v>
      </c>
      <c r="AQ35" s="240" cm="1">
        <f t="array" ref="AQ35">pareto($L33:$L38,$M33:$M38,3,"rate",$AQ$1,$AN34,$AN36)</f>
        <v>249.75839999999999</v>
      </c>
      <c r="AR35" s="240" cm="1">
        <f t="array" ref="AR35">pareto($L33:$L38,$M33:$M38,3,"dist",$AQ$1,$AN34,$AN36)</f>
        <v>71.649250300000006</v>
      </c>
      <c r="AS35" s="240"/>
      <c r="AT35" s="240"/>
      <c r="AU35" s="240"/>
      <c r="AV35" s="240"/>
      <c r="AW35" s="240"/>
      <c r="AX35" s="240"/>
    </row>
    <row r="36" spans="1:50" ht="12" customHeight="1" x14ac:dyDescent="0.25">
      <c r="A36" s="58"/>
      <c r="B36" s="107" t="s">
        <v>253</v>
      </c>
      <c r="C36" s="267">
        <v>134.86240000000001</v>
      </c>
      <c r="D36" s="267">
        <v>67.529910599999994</v>
      </c>
      <c r="E36" s="86"/>
      <c r="F36" s="86"/>
      <c r="G36" s="86"/>
      <c r="H36" s="86"/>
      <c r="I36" s="86"/>
      <c r="J36" s="86"/>
      <c r="K36" s="110"/>
      <c r="L36" s="267">
        <v>134.86240000000001</v>
      </c>
      <c r="M36" s="267">
        <v>67.529910599999994</v>
      </c>
      <c r="N36" s="86"/>
      <c r="O36" s="86"/>
      <c r="P36" s="86"/>
      <c r="Q36" s="222"/>
      <c r="R36" s="86"/>
      <c r="S36" s="86"/>
      <c r="T36" s="37" t="e">
        <f t="shared" si="1"/>
        <v>#DIV/0!</v>
      </c>
      <c r="U36" s="38" t="e">
        <f t="shared" si="1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0">
        <v>25</v>
      </c>
      <c r="AO36" s="240" cm="1">
        <f t="array" ref="AO36">pareto($C33:$C38,$D33:$D38,4,"rate",$AQ$1,$AN34,$AN36)</f>
        <v>134.86240000000001</v>
      </c>
      <c r="AP36" s="240" cm="1">
        <f t="array" ref="AP36">pareto($C33:$C38,$D33:$D38,4,"dist",$AQ$1,$AN34,$AN36)</f>
        <v>67.529910599999994</v>
      </c>
      <c r="AQ36" s="240" cm="1">
        <f t="array" ref="AQ36">pareto($L33:$L38,$M33:$M38,4,"rate",$AQ$1,$AN34,$AN36)</f>
        <v>134.86240000000001</v>
      </c>
      <c r="AR36" s="240" cm="1">
        <f t="array" ref="AR36">pareto($L33:$L38,$M33:$M38,4,"dist",$AQ$1,$AN34,$AN36)</f>
        <v>67.529910599999994</v>
      </c>
      <c r="AS36" s="240"/>
      <c r="AT36" s="240"/>
      <c r="AU36" s="240"/>
      <c r="AV36" s="240"/>
      <c r="AW36" s="240"/>
      <c r="AX36" s="240"/>
    </row>
    <row r="37" spans="1:50" ht="12" customHeight="1" x14ac:dyDescent="0.25">
      <c r="A37" s="58"/>
      <c r="B37" s="107" t="s">
        <v>254</v>
      </c>
      <c r="C37" s="267">
        <v>59.7104</v>
      </c>
      <c r="D37" s="267">
        <v>56.353172800000003</v>
      </c>
      <c r="E37" s="86"/>
      <c r="F37" s="86"/>
      <c r="G37" s="86"/>
      <c r="H37" s="86"/>
      <c r="I37" s="86"/>
      <c r="J37" s="86"/>
      <c r="K37" s="110"/>
      <c r="L37" s="267">
        <v>59.7104</v>
      </c>
      <c r="M37" s="267">
        <v>56.353172800000003</v>
      </c>
      <c r="N37" s="86"/>
      <c r="O37" s="86"/>
      <c r="P37" s="86"/>
      <c r="Q37" s="222"/>
      <c r="R37" s="86"/>
      <c r="S37" s="86"/>
      <c r="T37" s="37" t="e">
        <f t="shared" si="1"/>
        <v>#DIV/0!</v>
      </c>
      <c r="U37" s="38" t="e">
        <f t="shared" si="1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0"/>
      <c r="AO37" s="240" cm="1">
        <f t="array" ref="AO37">pareto($C33:$C38,$D33:$D38,5,"rate",$AQ$1,$AN34,$AN36)</f>
        <v>59.7104</v>
      </c>
      <c r="AP37" s="240" cm="1">
        <f t="array" ref="AP37">pareto($C33:$C38,$D33:$D38,5,"dist",$AQ$1,$AN34,$AN36)</f>
        <v>56.353172800000003</v>
      </c>
      <c r="AQ37" s="240" cm="1">
        <f t="array" ref="AQ37">pareto($L33:$L38,$M33:$M38,5,"rate",$AQ$1,$AN34,$AN36)</f>
        <v>59.7104</v>
      </c>
      <c r="AR37" s="240" cm="1">
        <f t="array" ref="AR37">pareto($L33:$L38,$M33:$M38,5,"dist",$AQ$1,$AN34,$AN36)</f>
        <v>56.353172800000003</v>
      </c>
      <c r="AS37" s="240"/>
      <c r="AT37" s="240"/>
      <c r="AU37" s="240"/>
      <c r="AV37" s="240"/>
      <c r="AW37" s="240"/>
      <c r="AX37" s="240"/>
    </row>
    <row r="38" spans="1:50" ht="12" customHeight="1" thickBot="1" x14ac:dyDescent="0.3">
      <c r="A38" s="45"/>
      <c r="B38" s="108" t="s">
        <v>255</v>
      </c>
      <c r="C38" s="267">
        <v>30.374400000000001</v>
      </c>
      <c r="D38" s="267">
        <v>29.229138299999999</v>
      </c>
      <c r="E38" s="94"/>
      <c r="F38" s="94"/>
      <c r="G38" s="94"/>
      <c r="H38" s="94"/>
      <c r="I38" s="94"/>
      <c r="J38" s="94"/>
      <c r="K38" s="110"/>
      <c r="L38" s="267">
        <v>30.374400000000001</v>
      </c>
      <c r="M38" s="267">
        <v>29.229138299999999</v>
      </c>
      <c r="N38" s="94"/>
      <c r="O38" s="94"/>
      <c r="P38" s="94"/>
      <c r="Q38" s="223"/>
      <c r="R38" s="94"/>
      <c r="S38" s="94"/>
      <c r="T38" s="3" t="e">
        <f t="shared" si="1"/>
        <v>#DIV/0!</v>
      </c>
      <c r="U38" s="39" t="e">
        <f t="shared" si="1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0"/>
      <c r="AO38" s="240" cm="1">
        <f t="array" ref="AO38">pareto($C33:$C38,$D33:$D38,6,"rate",$AQ$1,$AN34,$AN36)</f>
        <v>30.374400000000001</v>
      </c>
      <c r="AP38" s="240" cm="1">
        <f t="array" ref="AP38">pareto($C33:$C38,$D33:$D38,6,"dist",$AQ$1,$AN34,$AN36)</f>
        <v>29.229138299999999</v>
      </c>
      <c r="AQ38" s="240" cm="1">
        <f t="array" ref="AQ38">pareto($L33:$L38,$M33:$M38,6,"rate",$AQ$1,$AN34,$AN36)</f>
        <v>30.374400000000001</v>
      </c>
      <c r="AR38" s="240" cm="1">
        <f t="array" ref="AR38">pareto($L33:$L38,$M33:$M38,6,"dist",$AQ$1,$AN34,$AN36)</f>
        <v>29.229138299999999</v>
      </c>
      <c r="AS38" s="240"/>
      <c r="AT38" s="240"/>
      <c r="AU38" s="240"/>
      <c r="AV38" s="240"/>
      <c r="AW38" s="240"/>
      <c r="AX38" s="240"/>
    </row>
    <row r="39" spans="1:50" ht="12" customHeight="1" x14ac:dyDescent="0.25">
      <c r="A39" s="141" t="s">
        <v>235</v>
      </c>
      <c r="B39" s="106" t="s">
        <v>250</v>
      </c>
      <c r="C39" s="267">
        <v>966.61199999999997</v>
      </c>
      <c r="D39" s="267">
        <v>72.944819800000005</v>
      </c>
      <c r="E39" s="83"/>
      <c r="F39" s="83"/>
      <c r="G39" s="83"/>
      <c r="H39" s="83"/>
      <c r="I39" s="83"/>
      <c r="J39" s="83"/>
      <c r="K39" s="110"/>
      <c r="L39" s="267">
        <v>966.61199999999997</v>
      </c>
      <c r="M39" s="267">
        <v>72.944819800000005</v>
      </c>
      <c r="N39" s="83"/>
      <c r="O39" s="83"/>
      <c r="P39" s="83"/>
      <c r="Q39" s="222"/>
      <c r="R39" s="83"/>
      <c r="S39" s="83"/>
      <c r="T39" s="37" t="e">
        <f t="shared" si="1"/>
        <v>#DIV/0!</v>
      </c>
      <c r="U39" s="38" t="e">
        <f t="shared" si="1"/>
        <v>#DIV/0!</v>
      </c>
      <c r="V39" s="55"/>
      <c r="W39" s="14">
        <f>bdRateExtend($C39:$C44,D39:D44,$L39:$L44,$M39:$M44)</f>
        <v>1.5644654409099346E-3</v>
      </c>
      <c r="X39" s="14">
        <f>bdRateExtend($C39:$C43,$D39:$D43,$L39:$L43,$M39:$M43)</f>
        <v>3.4378042559419786E-3</v>
      </c>
      <c r="Y39" s="14">
        <f>bdRateExtend($C40:$C44,$D40:$D44,$L40:$L44,$M40:$M44)</f>
        <v>6.6274681421063519E-5</v>
      </c>
      <c r="Z39" s="14">
        <f>bdRateExtend($C39:$C42,$D39:$D42,$L39:$L42,$M39:$M42)</f>
        <v>5.6281545157361723E-3</v>
      </c>
      <c r="AA39" s="14">
        <f>bdRateExtend($C40:$C43,$D40:$D43,$L40:$L43,$M40:$M43)</f>
        <v>1.1814939614318565E-3</v>
      </c>
      <c r="AB39" s="14">
        <f>bdRateExtend($C41:$C44,$D41:$D44,$L41:$L44,$M41:$M44)</f>
        <v>-8.2900983335210121E-4</v>
      </c>
      <c r="AC39" s="145" cm="1">
        <f t="array" ref="AC39">bdRatePareto(AO39:AO44,AP39:AP44,AQ39:AQ44,AR39:AR44)</f>
        <v>1.5644654409099346E-3</v>
      </c>
      <c r="AD39" s="14" t="e">
        <f>bdRateExtend($C39:$C44,E39:E44,$L39:$L44,N39:N44)</f>
        <v>#VALUE!</v>
      </c>
      <c r="AE39" s="14" t="e">
        <f>bdRateExtend($C39:$C44,F39:F44,$L39:$L44,O39:O44)</f>
        <v>#VALUE!</v>
      </c>
      <c r="AF39" s="15" t="e">
        <f>bdRateExtend($C39:$C44,G39:G44,$L39:$L44,P39:P44)</f>
        <v>#VALUE!</v>
      </c>
      <c r="AG39" s="72">
        <f>bdPSNRExtend($C39:$C44,$D39:$D44,$L39:$L44,$M39:$M44)</f>
        <v>-1.1253608627112477E-2</v>
      </c>
      <c r="AN39" s="240" t="s">
        <v>213</v>
      </c>
      <c r="AO39" s="240" cm="1">
        <f t="array" ref="AO39">pareto($C39:$C44,$D39:$D44,1,"rate",$AQ$1,$AN40,$AN42)</f>
        <v>966.61199999999997</v>
      </c>
      <c r="AP39" s="240" cm="1">
        <f t="array" ref="AP39">pareto($C39:$C44,$D39:$D44,1,"dist",$AQ$1,$AN40,$AN42)</f>
        <v>72.944819800000005</v>
      </c>
      <c r="AQ39" s="240" cm="1">
        <f t="array" ref="AQ39">pareto($L39:$L44,$M39:$M44,1,"rate",$AQ$1,$AN40,$AN42)</f>
        <v>966.61199999999997</v>
      </c>
      <c r="AR39" s="240" cm="1">
        <f t="array" ref="AR39">pareto($L39:$L44,$M39:$M44,1,"dist",$AQ$1,$AN40,$AN42)</f>
        <v>72.944819800000005</v>
      </c>
      <c r="AS39" s="240"/>
      <c r="AT39" s="240"/>
      <c r="AU39" s="240"/>
      <c r="AV39" s="240"/>
      <c r="AW39" s="240"/>
      <c r="AX39" s="240"/>
    </row>
    <row r="40" spans="1:50" ht="12" customHeight="1" x14ac:dyDescent="0.25">
      <c r="A40" s="58"/>
      <c r="B40" s="107" t="s">
        <v>251</v>
      </c>
      <c r="C40" s="267">
        <v>602.709599999999</v>
      </c>
      <c r="D40" s="267">
        <v>70.805180199999995</v>
      </c>
      <c r="E40" s="86"/>
      <c r="F40" s="86"/>
      <c r="G40" s="86"/>
      <c r="H40" s="86"/>
      <c r="I40" s="86"/>
      <c r="J40" s="86"/>
      <c r="K40" s="110"/>
      <c r="L40" s="267">
        <v>602.709599999999</v>
      </c>
      <c r="M40" s="267">
        <v>70.692567600000004</v>
      </c>
      <c r="N40" s="86"/>
      <c r="O40" s="86"/>
      <c r="P40" s="86"/>
      <c r="Q40" s="222"/>
      <c r="R40" s="86"/>
      <c r="S40" s="86"/>
      <c r="T40" s="37" t="e">
        <f t="shared" si="1"/>
        <v>#DIV/0!</v>
      </c>
      <c r="U40" s="38" t="e">
        <f t="shared" si="1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0">
        <v>70</v>
      </c>
      <c r="AO40" s="240" cm="1">
        <f t="array" ref="AO40">pareto($C39:$C44,$D39:$D44,2,"rate",$AQ$1,$AN40,$AN42)</f>
        <v>602.709599999999</v>
      </c>
      <c r="AP40" s="240" cm="1">
        <f t="array" ref="AP40">pareto($C39:$C44,$D39:$D44,2,"dist",$AQ$1,$AN40,$AN42)</f>
        <v>70.805180199999995</v>
      </c>
      <c r="AQ40" s="240" cm="1">
        <f t="array" ref="AQ40">pareto($L39:$L44,$M39:$M44,2,"rate",$AQ$1,$AN40,$AN42)</f>
        <v>602.709599999999</v>
      </c>
      <c r="AR40" s="240" cm="1">
        <f t="array" ref="AR40">pareto($L39:$L44,$M39:$M44,2,"dist",$AQ$1,$AN40,$AN42)</f>
        <v>70.692567600000004</v>
      </c>
      <c r="AS40" s="240"/>
      <c r="AT40" s="240"/>
      <c r="AU40" s="240"/>
      <c r="AV40" s="240"/>
      <c r="AW40" s="240"/>
      <c r="AX40" s="240"/>
    </row>
    <row r="41" spans="1:50" ht="12" customHeight="1" x14ac:dyDescent="0.25">
      <c r="A41" s="58"/>
      <c r="B41" s="107" t="s">
        <v>252</v>
      </c>
      <c r="C41" s="267">
        <v>278.46159999999998</v>
      </c>
      <c r="D41" s="267">
        <v>62.9786036</v>
      </c>
      <c r="E41" s="86"/>
      <c r="F41" s="86"/>
      <c r="G41" s="86"/>
      <c r="H41" s="86"/>
      <c r="I41" s="86"/>
      <c r="J41" s="86"/>
      <c r="K41" s="110"/>
      <c r="L41" s="267">
        <v>278.46159999999998</v>
      </c>
      <c r="M41" s="267">
        <v>62.9786036</v>
      </c>
      <c r="N41" s="86"/>
      <c r="O41" s="86"/>
      <c r="P41" s="86"/>
      <c r="Q41" s="222"/>
      <c r="R41" s="86"/>
      <c r="S41" s="86"/>
      <c r="T41" s="37" t="e">
        <f t="shared" si="1"/>
        <v>#DIV/0!</v>
      </c>
      <c r="U41" s="38" t="e">
        <f t="shared" si="1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0" t="s">
        <v>44</v>
      </c>
      <c r="AO41" s="240" cm="1">
        <f t="array" ref="AO41">pareto($C39:$C44,$D39:$D44,3,"rate",$AQ$1,$AN40,$AN42)</f>
        <v>278.46159999999998</v>
      </c>
      <c r="AP41" s="240" cm="1">
        <f t="array" ref="AP41">pareto($C39:$C44,$D39:$D44,3,"dist",$AQ$1,$AN40,$AN42)</f>
        <v>62.9786036</v>
      </c>
      <c r="AQ41" s="240" cm="1">
        <f t="array" ref="AQ41">pareto($L39:$L44,$M39:$M44,3,"rate",$AQ$1,$AN40,$AN42)</f>
        <v>278.46159999999998</v>
      </c>
      <c r="AR41" s="240" cm="1">
        <f t="array" ref="AR41">pareto($L39:$L44,$M39:$M44,3,"dist",$AQ$1,$AN40,$AN42)</f>
        <v>62.9786036</v>
      </c>
      <c r="AS41" s="240"/>
      <c r="AT41" s="240"/>
      <c r="AU41" s="240"/>
      <c r="AV41" s="240"/>
      <c r="AW41" s="240"/>
      <c r="AX41" s="240"/>
    </row>
    <row r="42" spans="1:50" ht="12" customHeight="1" x14ac:dyDescent="0.25">
      <c r="A42" s="58"/>
      <c r="B42" s="107" t="s">
        <v>253</v>
      </c>
      <c r="C42" s="267">
        <v>132.29040000000001</v>
      </c>
      <c r="D42" s="267">
        <v>57.488738699999999</v>
      </c>
      <c r="E42" s="86"/>
      <c r="F42" s="86"/>
      <c r="G42" s="86"/>
      <c r="H42" s="86"/>
      <c r="I42" s="86"/>
      <c r="J42" s="86"/>
      <c r="K42" s="110"/>
      <c r="L42" s="267">
        <v>132.29040000000001</v>
      </c>
      <c r="M42" s="267">
        <v>57.488738699999999</v>
      </c>
      <c r="N42" s="86"/>
      <c r="O42" s="86"/>
      <c r="P42" s="86"/>
      <c r="Q42" s="222"/>
      <c r="R42" s="86"/>
      <c r="S42" s="86"/>
      <c r="T42" s="37" t="e">
        <f t="shared" si="1"/>
        <v>#DIV/0!</v>
      </c>
      <c r="U42" s="38" t="e">
        <f t="shared" si="1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0">
        <v>25</v>
      </c>
      <c r="AO42" s="240" cm="1">
        <f t="array" ref="AO42">pareto($C39:$C44,$D39:$D44,4,"rate",$AQ$1,$AN40,$AN42)</f>
        <v>132.29040000000001</v>
      </c>
      <c r="AP42" s="240" cm="1">
        <f t="array" ref="AP42">pareto($C39:$C44,$D39:$D44,4,"dist",$AQ$1,$AN40,$AN42)</f>
        <v>57.488738699999999</v>
      </c>
      <c r="AQ42" s="240" cm="1">
        <f t="array" ref="AQ42">pareto($L39:$L44,$M39:$M44,4,"rate",$AQ$1,$AN40,$AN42)</f>
        <v>132.29040000000001</v>
      </c>
      <c r="AR42" s="240" cm="1">
        <f t="array" ref="AR42">pareto($L39:$L44,$M39:$M44,4,"dist",$AQ$1,$AN40,$AN42)</f>
        <v>57.488738699999999</v>
      </c>
      <c r="AS42" s="240"/>
      <c r="AT42" s="240"/>
      <c r="AU42" s="240"/>
      <c r="AV42" s="240"/>
      <c r="AW42" s="240"/>
      <c r="AX42" s="240"/>
    </row>
    <row r="43" spans="1:50" ht="12" customHeight="1" x14ac:dyDescent="0.25">
      <c r="A43" s="58"/>
      <c r="B43" s="107" t="s">
        <v>254</v>
      </c>
      <c r="C43" s="267">
        <v>49.477600000000002</v>
      </c>
      <c r="D43" s="267">
        <v>47.325450500000002</v>
      </c>
      <c r="E43" s="86"/>
      <c r="F43" s="86"/>
      <c r="G43" s="86"/>
      <c r="H43" s="86"/>
      <c r="I43" s="86"/>
      <c r="J43" s="86"/>
      <c r="K43" s="110"/>
      <c r="L43" s="267">
        <v>49.477600000000002</v>
      </c>
      <c r="M43" s="267">
        <v>47.325450500000002</v>
      </c>
      <c r="N43" s="86"/>
      <c r="O43" s="86"/>
      <c r="P43" s="86"/>
      <c r="Q43" s="222"/>
      <c r="R43" s="86"/>
      <c r="S43" s="86"/>
      <c r="T43" s="37" t="e">
        <f t="shared" ref="T43:U44" si="2">R43/I43</f>
        <v>#DIV/0!</v>
      </c>
      <c r="U43" s="38" t="e">
        <f t="shared" si="2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0"/>
      <c r="AO43" s="240" cm="1">
        <f t="array" ref="AO43">pareto($C39:$C44,$D39:$D44,5,"rate",$AQ$1,$AN40,$AN42)</f>
        <v>49.477600000000002</v>
      </c>
      <c r="AP43" s="240" cm="1">
        <f t="array" ref="AP43">pareto($C39:$C44,$D39:$D44,5,"dist",$AQ$1,$AN40,$AN42)</f>
        <v>47.325450500000002</v>
      </c>
      <c r="AQ43" s="240" cm="1">
        <f t="array" ref="AQ43">pareto($L39:$L44,$M39:$M44,5,"rate",$AQ$1,$AN40,$AN42)</f>
        <v>49.477600000000002</v>
      </c>
      <c r="AR43" s="240" cm="1">
        <f t="array" ref="AR43">pareto($L39:$L44,$M39:$M44,5,"dist",$AQ$1,$AN40,$AN42)</f>
        <v>47.325450500000002</v>
      </c>
      <c r="AS43" s="240"/>
      <c r="AT43" s="240"/>
      <c r="AU43" s="240"/>
      <c r="AV43" s="240"/>
      <c r="AW43" s="240"/>
      <c r="AX43" s="240"/>
    </row>
    <row r="44" spans="1:50" ht="12" customHeight="1" thickBot="1" x14ac:dyDescent="0.3">
      <c r="A44" s="45"/>
      <c r="B44" s="108" t="s">
        <v>255</v>
      </c>
      <c r="C44" s="267">
        <v>24.730399999999999</v>
      </c>
      <c r="D44" s="267">
        <v>32.5731982</v>
      </c>
      <c r="E44" s="94"/>
      <c r="F44" s="94"/>
      <c r="G44" s="94"/>
      <c r="H44" s="94"/>
      <c r="I44" s="94"/>
      <c r="J44" s="94"/>
      <c r="K44" s="111"/>
      <c r="L44" s="267">
        <v>24.730399999999999</v>
      </c>
      <c r="M44" s="267">
        <v>32.742117100000002</v>
      </c>
      <c r="N44" s="94"/>
      <c r="O44" s="94"/>
      <c r="P44" s="94"/>
      <c r="Q44" s="223"/>
      <c r="R44" s="94"/>
      <c r="S44" s="94"/>
      <c r="T44" s="3" t="e">
        <f t="shared" si="2"/>
        <v>#DIV/0!</v>
      </c>
      <c r="U44" s="39" t="e">
        <f t="shared" si="2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0"/>
      <c r="AO44" s="240" cm="1">
        <f t="array" ref="AO44">pareto($C39:$C44,$D39:$D44,6,"rate",$AQ$1,$AN40,$AN42)</f>
        <v>24.730399999999999</v>
      </c>
      <c r="AP44" s="240" cm="1">
        <f t="array" ref="AP44">pareto($C39:$C44,$D39:$D44,6,"dist",$AQ$1,$AN40,$AN42)</f>
        <v>32.5731982</v>
      </c>
      <c r="AQ44" s="240" cm="1">
        <f t="array" ref="AQ44">pareto($L39:$L44,$M39:$M44,6,"rate",$AQ$1,$AN40,$AN42)</f>
        <v>24.730399999999999</v>
      </c>
      <c r="AR44" s="240" cm="1">
        <f t="array" ref="AR44">pareto($L39:$L44,$M39:$M44,6,"dist",$AQ$1,$AN40,$AN42)</f>
        <v>32.742117100000002</v>
      </c>
      <c r="AS44" s="240"/>
      <c r="AT44" s="240"/>
      <c r="AU44" s="240"/>
      <c r="AV44" s="240"/>
      <c r="AW44" s="240"/>
      <c r="AX44" s="240"/>
    </row>
    <row r="45" spans="1:50" x14ac:dyDescent="0.25">
      <c r="A45" s="46" t="s">
        <v>210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</row>
    <row r="46" spans="1:50" x14ac:dyDescent="0.25">
      <c r="A46" s="46" t="s">
        <v>211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212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202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207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200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201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35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 t="e">
        <f t="shared" ref="W52:AG52" si="3">AVERAGE(W3:W44)</f>
        <v>#NUM!</v>
      </c>
      <c r="X52" s="4" t="e">
        <f t="shared" si="3"/>
        <v>#NUM!</v>
      </c>
      <c r="Y52" s="4">
        <f t="shared" si="3"/>
        <v>2.2371696737874614E-3</v>
      </c>
      <c r="Z52" s="4" t="e">
        <f t="shared" si="3"/>
        <v>#NUM!</v>
      </c>
      <c r="AA52" s="4">
        <f t="shared" si="3"/>
        <v>2.6250341281874867E-4</v>
      </c>
      <c r="AB52" s="4">
        <f t="shared" si="3"/>
        <v>2.8907210873810874E-3</v>
      </c>
      <c r="AC52" s="4">
        <f t="shared" si="3"/>
        <v>1.1834096989955681E-3</v>
      </c>
      <c r="AD52" s="4" t="e">
        <f t="shared" si="3"/>
        <v>#VALUE!</v>
      </c>
      <c r="AE52" s="4" t="e">
        <f t="shared" si="3"/>
        <v>#VALUE!</v>
      </c>
      <c r="AF52" s="4" t="e">
        <f t="shared" si="3"/>
        <v>#VALUE!</v>
      </c>
      <c r="AG52" s="4">
        <f t="shared" si="3"/>
        <v>1.1026253710332791E-2</v>
      </c>
    </row>
    <row r="53" spans="1:33" x14ac:dyDescent="0.25">
      <c r="A53" s="46" t="s">
        <v>36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37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7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8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135" priority="73" operator="greaterThan">
      <formula>0.03</formula>
    </cfRule>
    <cfRule type="cellIs" dxfId="134" priority="74" stopIfTrue="1" operator="lessThan">
      <formula>-0.03</formula>
    </cfRule>
  </conditionalFormatting>
  <conditionalFormatting sqref="W8 W16:W19 W14">
    <cfRule type="cellIs" dxfId="133" priority="71" operator="greaterThan">
      <formula>0.03</formula>
    </cfRule>
    <cfRule type="cellIs" dxfId="132" priority="72" stopIfTrue="1" operator="lessThan">
      <formula>-0.03</formula>
    </cfRule>
  </conditionalFormatting>
  <conditionalFormatting sqref="W26:AB26 W32:AB32 W38:AB38 W44:AB44">
    <cfRule type="cellIs" dxfId="131" priority="69" operator="greaterThan">
      <formula>0.03</formula>
    </cfRule>
    <cfRule type="cellIs" dxfId="130" priority="70" stopIfTrue="1" operator="lessThan">
      <formula>-0.03</formula>
    </cfRule>
  </conditionalFormatting>
  <conditionalFormatting sqref="AD4:AF7 AD22:AF25">
    <cfRule type="cellIs" dxfId="129" priority="67" operator="greaterThan">
      <formula>0.03</formula>
    </cfRule>
    <cfRule type="cellIs" dxfId="128" priority="68" stopIfTrue="1" operator="lessThan">
      <formula>-0.03</formula>
    </cfRule>
  </conditionalFormatting>
  <conditionalFormatting sqref="AD8:AF8 AD16:AF19 AD14:AF14">
    <cfRule type="cellIs" dxfId="127" priority="65" operator="greaterThan">
      <formula>0.03</formula>
    </cfRule>
    <cfRule type="cellIs" dxfId="126" priority="66" stopIfTrue="1" operator="lessThan">
      <formula>-0.03</formula>
    </cfRule>
  </conditionalFormatting>
  <conditionalFormatting sqref="AD26:AF26 AD32:AF32 AD38:AF38 AD44:AF44">
    <cfRule type="cellIs" dxfId="125" priority="63" operator="greaterThan">
      <formula>0.03</formula>
    </cfRule>
    <cfRule type="cellIs" dxfId="124" priority="64" stopIfTrue="1" operator="lessThan">
      <formula>-0.03</formula>
    </cfRule>
  </conditionalFormatting>
  <conditionalFormatting sqref="AC4:AC7 AC22:AC25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C8 AC16:AC19 AC14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C26 AC32 AC38 AC44">
    <cfRule type="cellIs" dxfId="119" priority="57" operator="greaterThan">
      <formula>0.03</formula>
    </cfRule>
    <cfRule type="cellIs" dxfId="118" priority="58" stopIfTrue="1" operator="lessThan">
      <formula>-0.03</formula>
    </cfRule>
  </conditionalFormatting>
  <conditionalFormatting sqref="AG4:AG8 AG16:AG19 AG10:AG14">
    <cfRule type="cellIs" dxfId="117" priority="55" operator="greaterThan">
      <formula>0.03</formula>
    </cfRule>
    <cfRule type="cellIs" dxfId="116" priority="56" stopIfTrue="1" operator="lessThan">
      <formula>-0.03</formula>
    </cfRule>
  </conditionalFormatting>
  <conditionalFormatting sqref="AG22:AG26 AG28:AG32 AG34:AG38 AG40:AG44">
    <cfRule type="cellIs" dxfId="115" priority="53" operator="greaterThan">
      <formula>0.03</formula>
    </cfRule>
    <cfRule type="cellIs" dxfId="114" priority="54" stopIfTrue="1" operator="lessThan">
      <formula>-0.03</formula>
    </cfRule>
  </conditionalFormatting>
  <conditionalFormatting sqref="W20">
    <cfRule type="cellIs" dxfId="113" priority="51" operator="greaterThan">
      <formula>0.03</formula>
    </cfRule>
    <cfRule type="cellIs" dxfId="112" priority="52" stopIfTrue="1" operator="lessThan">
      <formula>-0.03</formula>
    </cfRule>
  </conditionalFormatting>
  <conditionalFormatting sqref="AD20:AF20">
    <cfRule type="cellIs" dxfId="111" priority="49" operator="greaterThan">
      <formula>0.03</formula>
    </cfRule>
    <cfRule type="cellIs" dxfId="110" priority="50" stopIfTrue="1" operator="lessThan">
      <formula>-0.03</formula>
    </cfRule>
  </conditionalFormatting>
  <conditionalFormatting sqref="AC20">
    <cfRule type="cellIs" dxfId="109" priority="47" operator="greaterThan">
      <formula>0.03</formula>
    </cfRule>
    <cfRule type="cellIs" dxfId="108" priority="48" stopIfTrue="1" operator="lessThan">
      <formula>-0.03</formula>
    </cfRule>
  </conditionalFormatting>
  <conditionalFormatting sqref="AG20">
    <cfRule type="cellIs" dxfId="107" priority="45" operator="greaterThan">
      <formula>0.03</formula>
    </cfRule>
    <cfRule type="cellIs" dxfId="106" priority="46" stopIfTrue="1" operator="lessThan">
      <formula>-0.03</formula>
    </cfRule>
  </conditionalFormatting>
  <conditionalFormatting sqref="X4:AB8 X10:AB14">
    <cfRule type="cellIs" dxfId="105" priority="43" operator="greaterThan">
      <formula>0.03</formula>
    </cfRule>
    <cfRule type="cellIs" dxfId="104" priority="44" stopIfTrue="1" operator="lessThan">
      <formula>-0.03</formula>
    </cfRule>
  </conditionalFormatting>
  <conditionalFormatting sqref="X16:AB20">
    <cfRule type="cellIs" dxfId="103" priority="41" operator="greaterThan">
      <formula>0.03</formula>
    </cfRule>
    <cfRule type="cellIs" dxfId="102" priority="42" stopIfTrue="1" operator="lessThan">
      <formula>-0.03</formula>
    </cfRule>
  </conditionalFormatting>
  <conditionalFormatting sqref="W10:W13">
    <cfRule type="cellIs" dxfId="101" priority="39" operator="greaterThan">
      <formula>0.03</formula>
    </cfRule>
    <cfRule type="cellIs" dxfId="100" priority="40" stopIfTrue="1" operator="lessThan">
      <formula>-0.03</formula>
    </cfRule>
  </conditionalFormatting>
  <conditionalFormatting sqref="AD10:AF13">
    <cfRule type="cellIs" dxfId="99" priority="37" operator="greaterThan">
      <formula>0.03</formula>
    </cfRule>
    <cfRule type="cellIs" dxfId="98" priority="38" stopIfTrue="1" operator="lessThan">
      <formula>-0.03</formula>
    </cfRule>
  </conditionalFormatting>
  <conditionalFormatting sqref="AC10:AC13">
    <cfRule type="cellIs" dxfId="97" priority="35" operator="greaterThan">
      <formula>0.03</formula>
    </cfRule>
    <cfRule type="cellIs" dxfId="96" priority="36" stopIfTrue="1" operator="lessThan">
      <formula>-0.03</formula>
    </cfRule>
  </conditionalFormatting>
  <conditionalFormatting sqref="W28:AB31">
    <cfRule type="cellIs" dxfId="95" priority="17" operator="greaterThan">
      <formula>0.03</formula>
    </cfRule>
    <cfRule type="cellIs" dxfId="94" priority="18" stopIfTrue="1" operator="lessThan">
      <formula>-0.03</formula>
    </cfRule>
  </conditionalFormatting>
  <conditionalFormatting sqref="AD28:AF31">
    <cfRule type="cellIs" dxfId="93" priority="15" operator="greaterThan">
      <formula>0.03</formula>
    </cfRule>
    <cfRule type="cellIs" dxfId="92" priority="16" stopIfTrue="1" operator="lessThan">
      <formula>-0.03</formula>
    </cfRule>
  </conditionalFormatting>
  <conditionalFormatting sqref="AC28:AC31">
    <cfRule type="cellIs" dxfId="91" priority="13" operator="greaterThan">
      <formula>0.03</formula>
    </cfRule>
    <cfRule type="cellIs" dxfId="90" priority="14" stopIfTrue="1" operator="lessThan">
      <formula>-0.03</formula>
    </cfRule>
  </conditionalFormatting>
  <conditionalFormatting sqref="W34:AB37">
    <cfRule type="cellIs" dxfId="89" priority="11" operator="greaterThan">
      <formula>0.03</formula>
    </cfRule>
    <cfRule type="cellIs" dxfId="88" priority="12" stopIfTrue="1" operator="lessThan">
      <formula>-0.03</formula>
    </cfRule>
  </conditionalFormatting>
  <conditionalFormatting sqref="AD34:AF37">
    <cfRule type="cellIs" dxfId="87" priority="9" operator="greaterThan">
      <formula>0.03</formula>
    </cfRule>
    <cfRule type="cellIs" dxfId="86" priority="10" stopIfTrue="1" operator="lessThan">
      <formula>-0.03</formula>
    </cfRule>
  </conditionalFormatting>
  <conditionalFormatting sqref="AC34:AC37">
    <cfRule type="cellIs" dxfId="85" priority="7" operator="greaterThan">
      <formula>0.03</formula>
    </cfRule>
    <cfRule type="cellIs" dxfId="84" priority="8" stopIfTrue="1" operator="lessThan">
      <formula>-0.03</formula>
    </cfRule>
  </conditionalFormatting>
  <conditionalFormatting sqref="W40:AB43">
    <cfRule type="cellIs" dxfId="83" priority="5" operator="greaterThan">
      <formula>0.03</formula>
    </cfRule>
    <cfRule type="cellIs" dxfId="82" priority="6" stopIfTrue="1" operator="lessThan">
      <formula>-0.03</formula>
    </cfRule>
  </conditionalFormatting>
  <conditionalFormatting sqref="AD40:AF43">
    <cfRule type="cellIs" dxfId="81" priority="3" operator="greaterThan">
      <formula>0.03</formula>
    </cfRule>
    <cfRule type="cellIs" dxfId="80" priority="4" stopIfTrue="1" operator="lessThan">
      <formula>-0.03</formula>
    </cfRule>
  </conditionalFormatting>
  <conditionalFormatting sqref="AC40:AC43">
    <cfRule type="cellIs" dxfId="79" priority="1" operator="greaterThan">
      <formula>0.03</formula>
    </cfRule>
    <cfRule type="cellIs" dxfId="78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5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X56"/>
  <sheetViews>
    <sheetView tabSelected="1" zoomScale="80" zoomScaleNormal="80" workbookViewId="0">
      <selection activeCell="L3" sqref="L3:M44"/>
    </sheetView>
  </sheetViews>
  <sheetFormatPr defaultColWidth="10.625" defaultRowHeight="16.5" x14ac:dyDescent="0.25"/>
  <cols>
    <col min="1" max="1" width="17.625" style="1" customWidth="1"/>
    <col min="2" max="2" width="7.625" style="1" customWidth="1"/>
    <col min="3" max="3" width="11" style="1" customWidth="1"/>
    <col min="4" max="4" width="8.125" style="1" customWidth="1"/>
    <col min="5" max="5" width="7" style="1" customWidth="1"/>
    <col min="6" max="8" width="6.625" style="1" customWidth="1"/>
    <col min="9" max="9" width="8.625" style="1" customWidth="1"/>
    <col min="10" max="10" width="7.625" style="1" customWidth="1"/>
    <col min="11" max="11" width="2.625" style="1" customWidth="1"/>
    <col min="12" max="13" width="9.625" style="1" customWidth="1"/>
    <col min="14" max="17" width="6.625" style="1" customWidth="1"/>
    <col min="18" max="19" width="8.625" style="1" customWidth="1"/>
    <col min="20" max="20" width="9.125" style="1" customWidth="1"/>
    <col min="21" max="22" width="7" style="1" customWidth="1"/>
    <col min="23" max="23" width="12.375" style="1" customWidth="1"/>
    <col min="24" max="24" width="11.125" style="1" customWidth="1"/>
    <col min="25" max="25" width="10" style="1" customWidth="1"/>
    <col min="26" max="26" width="10.875" style="1" customWidth="1"/>
    <col min="27" max="27" width="12.375" style="1" customWidth="1"/>
    <col min="28" max="28" width="10.125" style="1" customWidth="1"/>
    <col min="29" max="29" width="11.125" style="1" customWidth="1"/>
    <col min="30" max="33" width="8.625" style="1" customWidth="1"/>
    <col min="34" max="38" width="10.625" style="1"/>
    <col min="40" max="41" width="11.5" style="1" customWidth="1"/>
    <col min="42" max="16384" width="10.625" style="1"/>
  </cols>
  <sheetData>
    <row r="1" spans="1:50" ht="32.25" customHeight="1" thickBot="1" x14ac:dyDescent="0.3">
      <c r="C1" s="297" t="str">
        <f>"Reference: "&amp;Summary!O4</f>
        <v>Reference: Anchor (v0.6.1 VTM inner)</v>
      </c>
      <c r="D1" s="298"/>
      <c r="E1" s="298"/>
      <c r="F1" s="298"/>
      <c r="G1" s="298"/>
      <c r="H1" s="298"/>
      <c r="I1" s="298"/>
      <c r="J1" s="303"/>
      <c r="L1" s="297" t="str">
        <f>_xlfn.CONCAT("Test: ",Summary!O5)</f>
        <v>Test: Test</v>
      </c>
      <c r="M1" s="298"/>
      <c r="N1" s="298"/>
      <c r="O1" s="298"/>
      <c r="P1" s="298"/>
      <c r="Q1" s="298"/>
      <c r="R1" s="298"/>
      <c r="S1" s="299"/>
      <c r="T1" s="304"/>
      <c r="U1" s="305"/>
      <c r="V1" s="16"/>
      <c r="W1" s="306" t="s">
        <v>11</v>
      </c>
      <c r="X1" s="307"/>
      <c r="Y1" s="307"/>
      <c r="Z1" s="307"/>
      <c r="AA1" s="307"/>
      <c r="AB1" s="307"/>
      <c r="AC1" s="307"/>
      <c r="AD1" s="307"/>
      <c r="AE1" s="307"/>
      <c r="AF1" s="308"/>
      <c r="AG1" s="70" t="s">
        <v>49</v>
      </c>
      <c r="AN1" s="245" t="s">
        <v>214</v>
      </c>
      <c r="AP1" s="241" t="s">
        <v>216</v>
      </c>
      <c r="AQ1" s="242" t="s">
        <v>22</v>
      </c>
      <c r="AR1" s="240"/>
      <c r="AS1" s="240"/>
      <c r="AT1" s="240"/>
      <c r="AU1" s="240"/>
      <c r="AV1" s="240"/>
      <c r="AW1" s="240"/>
      <c r="AX1" s="240"/>
    </row>
    <row r="2" spans="1:50" ht="12" customHeight="1" thickBot="1" x14ac:dyDescent="0.3">
      <c r="A2" s="44" t="s">
        <v>106</v>
      </c>
      <c r="B2" s="44" t="s">
        <v>30</v>
      </c>
      <c r="C2" s="61" t="s">
        <v>39</v>
      </c>
      <c r="D2" s="48" t="s">
        <v>31</v>
      </c>
      <c r="E2" s="48" t="s">
        <v>0</v>
      </c>
      <c r="F2" s="48" t="s">
        <v>1</v>
      </c>
      <c r="G2" s="48" t="s">
        <v>2</v>
      </c>
      <c r="H2" s="48" t="s">
        <v>113</v>
      </c>
      <c r="I2" s="48" t="s">
        <v>220</v>
      </c>
      <c r="J2" s="51" t="s">
        <v>221</v>
      </c>
      <c r="K2" s="53"/>
      <c r="L2" s="61" t="s">
        <v>39</v>
      </c>
      <c r="M2" s="48" t="s">
        <v>31</v>
      </c>
      <c r="N2" s="48" t="s">
        <v>0</v>
      </c>
      <c r="O2" s="48" t="s">
        <v>1</v>
      </c>
      <c r="P2" s="48" t="s">
        <v>2</v>
      </c>
      <c r="Q2" s="48" t="s">
        <v>113</v>
      </c>
      <c r="R2" s="48" t="s">
        <v>220</v>
      </c>
      <c r="S2" s="51" t="s">
        <v>221</v>
      </c>
      <c r="T2" s="61" t="s">
        <v>3</v>
      </c>
      <c r="U2" s="51" t="s">
        <v>4</v>
      </c>
      <c r="V2" s="60"/>
      <c r="W2" s="54" t="s">
        <v>190</v>
      </c>
      <c r="X2" s="54" t="s">
        <v>191</v>
      </c>
      <c r="Y2" s="54" t="s">
        <v>192</v>
      </c>
      <c r="Z2" s="54" t="s">
        <v>193</v>
      </c>
      <c r="AA2" s="54" t="s">
        <v>194</v>
      </c>
      <c r="AB2" s="54" t="s">
        <v>195</v>
      </c>
      <c r="AC2" s="54" t="s">
        <v>43</v>
      </c>
      <c r="AD2" s="54" t="s">
        <v>32</v>
      </c>
      <c r="AE2" s="54" t="s">
        <v>33</v>
      </c>
      <c r="AF2" s="57" t="s">
        <v>34</v>
      </c>
      <c r="AG2" s="64"/>
      <c r="AO2" s="242" t="s">
        <v>217</v>
      </c>
      <c r="AP2" s="242"/>
      <c r="AQ2" s="242" t="s">
        <v>218</v>
      </c>
      <c r="AR2" s="240"/>
      <c r="AS2" s="240"/>
      <c r="AT2" s="240"/>
      <c r="AU2" s="240"/>
      <c r="AV2" s="240"/>
      <c r="AW2" s="240"/>
      <c r="AX2" s="240"/>
    </row>
    <row r="3" spans="1:50" ht="12" customHeight="1" x14ac:dyDescent="0.25">
      <c r="A3" s="141" t="s">
        <v>229</v>
      </c>
      <c r="B3" s="106" t="s">
        <v>250</v>
      </c>
      <c r="C3" s="267">
        <v>4785.5223999999998</v>
      </c>
      <c r="D3" s="267">
        <v>52.1065507</v>
      </c>
      <c r="E3" s="83"/>
      <c r="F3" s="83"/>
      <c r="G3" s="83"/>
      <c r="H3" s="143"/>
      <c r="I3" s="83"/>
      <c r="J3" s="83"/>
      <c r="K3" s="52"/>
      <c r="L3" s="267">
        <v>4785.5223999999998</v>
      </c>
      <c r="M3" s="267">
        <v>52.1065507</v>
      </c>
      <c r="N3" s="83"/>
      <c r="O3" s="83"/>
      <c r="P3" s="83"/>
      <c r="Q3" s="222"/>
      <c r="R3" s="49"/>
      <c r="S3" s="49"/>
      <c r="T3" s="37" t="e">
        <f t="shared" ref="T3:U26" si="0">R3/I3</f>
        <v>#DIV/0!</v>
      </c>
      <c r="U3" s="38" t="e">
        <f t="shared" si="0"/>
        <v>#DIV/0!</v>
      </c>
      <c r="V3" s="55"/>
      <c r="W3" s="14">
        <f>bdRateExtend($C3:$C8,D3:D8,$L3:$L8,$M3:$M8)</f>
        <v>-2.4858861123691844E-2</v>
      </c>
      <c r="X3" s="14">
        <f>bdRateExtend($C3:$C7,$D3:$D7,$L3:$L7,$M3:$M7)</f>
        <v>-2.7196131605910168E-2</v>
      </c>
      <c r="Y3" s="14">
        <f>bdRateExtend($C4:$C8,$D4:$D8,$L4:$L8,$M4:$M8)</f>
        <v>-1.796804947920283E-2</v>
      </c>
      <c r="Z3" s="14">
        <f>bdRateExtend($C3:$C6,$D3:$D6,$L3:$L6,$M3:$M6)</f>
        <v>-3.6636588706761231E-2</v>
      </c>
      <c r="AA3" s="14">
        <f>bdRateExtend($C4:$C7,$D4:$D7,$L4:$L7,$M4:$M7)</f>
        <v>-1.7952869790742398E-2</v>
      </c>
      <c r="AB3" s="14">
        <f>bdRateExtend($C5:$C8,$D5:$D8,$L5:$L8,$M5:$M8)</f>
        <v>-1.7988381027970846E-2</v>
      </c>
      <c r="AC3" s="145" cm="1">
        <f t="array" ref="AC3">bdRatePareto(AO3:AO8,AP3:AP8,AQ3:AQ8,AR3:AR8)</f>
        <v>-2.4858861123691844E-2</v>
      </c>
      <c r="AD3" s="14" t="e">
        <f>bdRateExtend($C3:$C8,E3:E8,$L3:$L8,N3:N8)</f>
        <v>#VALUE!</v>
      </c>
      <c r="AE3" s="14" t="e">
        <f>bdRateExtend($C3:$C8,F3:F8,$L3:$L8,O3:O8)</f>
        <v>#VALUE!</v>
      </c>
      <c r="AF3" s="15" t="e">
        <f>bdRateExtend($C3:$C8,G3:G8,$L3:$L8,P3:P8)</f>
        <v>#VALUE!</v>
      </c>
      <c r="AG3" s="72">
        <f>bdPSNRExtend($C3:$C8,$D3:$D8,$L3:$L8,$M3:$M8)</f>
        <v>0.2287142620149899</v>
      </c>
      <c r="AN3" s="240" t="s">
        <v>213</v>
      </c>
      <c r="AO3" s="240" cm="1">
        <f t="array" ref="AO3">pareto($C3:$C8,$D3:$D8,1,"rate",$AQ$1,$AN4,$AN6)</f>
        <v>4785.5223999999998</v>
      </c>
      <c r="AP3" s="240" cm="1">
        <f t="array" ref="AP3">pareto($C3:$C8,$D3:$D8,1,"dist",$AQ$1,$AN4,$AN6)</f>
        <v>52.1065507</v>
      </c>
      <c r="AQ3" s="240" cm="1">
        <f t="array" ref="AQ3">pareto($L3:$L8,$M3:$M8,1,"rate",$AQ$1,$AN4,$AN6)</f>
        <v>4785.5223999999998</v>
      </c>
      <c r="AR3" s="240" cm="1">
        <f t="array" ref="AR3">pareto($L3:$L8,$M3:$M8,1,"dist",$AQ$1,$AN4,$AN6)</f>
        <v>52.1065507</v>
      </c>
      <c r="AS3" s="240"/>
      <c r="AU3" s="243" t="s">
        <v>19</v>
      </c>
      <c r="AW3" s="240"/>
      <c r="AX3" s="240"/>
    </row>
    <row r="4" spans="1:50" ht="12" customHeight="1" x14ac:dyDescent="0.25">
      <c r="A4" s="58"/>
      <c r="B4" s="107" t="s">
        <v>251</v>
      </c>
      <c r="C4" s="267">
        <v>3393.0607999999902</v>
      </c>
      <c r="D4" s="267">
        <v>51.562924700000003</v>
      </c>
      <c r="E4" s="86"/>
      <c r="F4" s="86"/>
      <c r="G4" s="86"/>
      <c r="H4" s="143"/>
      <c r="I4" s="86"/>
      <c r="J4" s="86"/>
      <c r="K4" s="52"/>
      <c r="L4" s="267">
        <v>3393.0607999999902</v>
      </c>
      <c r="M4" s="267">
        <v>51.9434629</v>
      </c>
      <c r="N4" s="86"/>
      <c r="O4" s="86"/>
      <c r="P4" s="86"/>
      <c r="Q4" s="222"/>
      <c r="R4" s="49"/>
      <c r="S4" s="49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0">
        <v>48.5</v>
      </c>
      <c r="AO4" s="240" cm="1">
        <f t="array" ref="AO4">pareto($C3:$C8,$D3:$D8,2,"rate",$AQ$1,$AN4,$AN6)</f>
        <v>3393.0607999999902</v>
      </c>
      <c r="AP4" s="240" cm="1">
        <f t="array" ref="AP4">pareto($C3:$C8,$D3:$D8,2,"dist",$AQ$1,$AN4,$AN6)</f>
        <v>51.562924700000003</v>
      </c>
      <c r="AQ4" s="240" cm="1">
        <f t="array" ref="AQ4">pareto($L3:$L8,$M3:$M8,2,"rate",$AQ$1,$AN4,$AN6)</f>
        <v>3393.0607999999902</v>
      </c>
      <c r="AR4" s="240" cm="1">
        <f t="array" ref="AR4">pareto($L3:$L8,$M3:$M8,2,"dist",$AQ$1,$AN4,$AN6)</f>
        <v>51.9434629</v>
      </c>
      <c r="AS4" s="240"/>
      <c r="AU4" s="243" t="s">
        <v>20</v>
      </c>
      <c r="AW4" s="240"/>
      <c r="AX4" s="240"/>
    </row>
    <row r="5" spans="1:50" ht="12" customHeight="1" x14ac:dyDescent="0.25">
      <c r="A5" s="135"/>
      <c r="B5" s="107" t="s">
        <v>252</v>
      </c>
      <c r="C5" s="267">
        <v>2333.3407999999999</v>
      </c>
      <c r="D5" s="267">
        <v>47.1323729</v>
      </c>
      <c r="E5" s="86"/>
      <c r="F5" s="86"/>
      <c r="G5" s="86"/>
      <c r="H5" s="143"/>
      <c r="I5" s="86"/>
      <c r="J5" s="86"/>
      <c r="K5" s="52"/>
      <c r="L5" s="267">
        <v>2333.3407999999999</v>
      </c>
      <c r="M5" s="267">
        <v>47.2954607</v>
      </c>
      <c r="N5" s="86"/>
      <c r="O5" s="86"/>
      <c r="P5" s="86"/>
      <c r="Q5" s="222"/>
      <c r="R5" s="49"/>
      <c r="S5" s="49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0" t="s">
        <v>44</v>
      </c>
      <c r="AO5" s="240" cm="1">
        <f t="array" ref="AO5">pareto($C3:$C8,$D3:$D8,3,"rate",$AQ$1,$AN4,$AN6)</f>
        <v>2333.3407999999999</v>
      </c>
      <c r="AP5" s="240" cm="1">
        <f t="array" ref="AP5">pareto($C3:$C8,$D3:$D8,3,"dist",$AQ$1,$AN4,$AN6)</f>
        <v>47.1323729</v>
      </c>
      <c r="AQ5" s="240" cm="1">
        <f t="array" ref="AQ5">pareto($L3:$L8,$M3:$M8,3,"rate",$AQ$1,$AN4,$AN6)</f>
        <v>2333.3407999999999</v>
      </c>
      <c r="AR5" s="240" cm="1">
        <f t="array" ref="AR5">pareto($L3:$L8,$M3:$M8,3,"dist",$AQ$1,$AN4,$AN6)</f>
        <v>47.2954607</v>
      </c>
      <c r="AS5" s="240"/>
      <c r="AU5" s="244" t="s">
        <v>21</v>
      </c>
      <c r="AW5" s="240"/>
      <c r="AX5" s="240"/>
    </row>
    <row r="6" spans="1:50" ht="12" customHeight="1" x14ac:dyDescent="0.25">
      <c r="A6" s="135"/>
      <c r="B6" s="107" t="s">
        <v>253</v>
      </c>
      <c r="C6" s="267">
        <v>1565.9808</v>
      </c>
      <c r="D6" s="267">
        <v>43.789073100000003</v>
      </c>
      <c r="E6" s="86"/>
      <c r="F6" s="86"/>
      <c r="G6" s="86"/>
      <c r="H6" s="143"/>
      <c r="I6" s="86"/>
      <c r="J6" s="86"/>
      <c r="K6" s="52"/>
      <c r="L6" s="267">
        <v>1565.9808</v>
      </c>
      <c r="M6" s="267">
        <v>44.0065235</v>
      </c>
      <c r="N6" s="86"/>
      <c r="O6" s="86"/>
      <c r="P6" s="86"/>
      <c r="Q6" s="222"/>
      <c r="R6" s="49"/>
      <c r="S6" s="49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0">
        <v>25</v>
      </c>
      <c r="AO6" s="240" cm="1">
        <f t="array" ref="AO6">pareto($C3:$C8,$D3:$D8,4,"rate",$AQ$1,$AN4,$AN6)</f>
        <v>1565.9808</v>
      </c>
      <c r="AP6" s="240" cm="1">
        <f t="array" ref="AP6">pareto($C3:$C8,$D3:$D8,4,"dist",$AQ$1,$AN4,$AN6)</f>
        <v>43.789073100000003</v>
      </c>
      <c r="AQ6" s="240" cm="1">
        <f t="array" ref="AQ6">pareto($L3:$L8,$M3:$M8,4,"rate",$AQ$1,$AN4,$AN6)</f>
        <v>1565.9808</v>
      </c>
      <c r="AR6" s="240" cm="1">
        <f t="array" ref="AR6">pareto($L3:$L8,$M3:$M8,4,"dist",$AQ$1,$AN4,$AN6)</f>
        <v>44.0065235</v>
      </c>
      <c r="AS6" s="240"/>
      <c r="AU6" s="244" t="s">
        <v>22</v>
      </c>
      <c r="AW6" s="240"/>
      <c r="AX6" s="240"/>
    </row>
    <row r="7" spans="1:50" ht="12" customHeight="1" x14ac:dyDescent="0.25">
      <c r="A7" s="58"/>
      <c r="B7" s="107" t="s">
        <v>254</v>
      </c>
      <c r="C7" s="267">
        <v>1022.56319999999</v>
      </c>
      <c r="D7" s="267">
        <v>36.640391399999999</v>
      </c>
      <c r="E7" s="86"/>
      <c r="F7" s="86"/>
      <c r="G7" s="86"/>
      <c r="H7" s="143"/>
      <c r="I7" s="86"/>
      <c r="J7" s="86"/>
      <c r="K7" s="52"/>
      <c r="L7" s="267">
        <v>1022.56319999999</v>
      </c>
      <c r="M7" s="267">
        <v>36.966566999999998</v>
      </c>
      <c r="N7" s="86"/>
      <c r="O7" s="86"/>
      <c r="P7" s="86"/>
      <c r="Q7" s="222"/>
      <c r="R7" s="49"/>
      <c r="S7" s="49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0"/>
      <c r="AO7" s="240" cm="1">
        <f t="array" ref="AO7">pareto($C3:$C8,$D3:$D8,5,"rate",$AQ$1,$AN4,$AN6)</f>
        <v>1022.56319999999</v>
      </c>
      <c r="AP7" s="240" cm="1">
        <f t="array" ref="AP7">pareto($C3:$C8,$D3:$D8,5,"dist",$AQ$1,$AN4,$AN6)</f>
        <v>36.640391399999999</v>
      </c>
      <c r="AQ7" s="240" cm="1">
        <f t="array" ref="AQ7">pareto($L3:$L8,$M3:$M8,5,"rate",$AQ$1,$AN4,$AN6)</f>
        <v>1022.56319999999</v>
      </c>
      <c r="AR7" s="240" cm="1">
        <f t="array" ref="AR7">pareto($L3:$L8,$M3:$M8,5,"dist",$AQ$1,$AN4,$AN6)</f>
        <v>36.966566999999998</v>
      </c>
      <c r="AS7" s="240"/>
      <c r="AU7" s="244" t="s">
        <v>45</v>
      </c>
      <c r="AW7" s="240"/>
      <c r="AX7" s="240"/>
    </row>
    <row r="8" spans="1:50" ht="12" customHeight="1" thickBot="1" x14ac:dyDescent="0.3">
      <c r="A8" s="45"/>
      <c r="B8" s="108" t="s">
        <v>255</v>
      </c>
      <c r="C8" s="267">
        <v>652.51120000000003</v>
      </c>
      <c r="D8" s="267">
        <v>31.774938800000001</v>
      </c>
      <c r="E8" s="94"/>
      <c r="F8" s="94"/>
      <c r="G8" s="94"/>
      <c r="H8" s="144"/>
      <c r="I8" s="94"/>
      <c r="J8" s="94"/>
      <c r="K8" s="55"/>
      <c r="L8" s="267">
        <v>652.51120000000003</v>
      </c>
      <c r="M8" s="267">
        <v>31.774938800000001</v>
      </c>
      <c r="N8" s="94"/>
      <c r="O8" s="94"/>
      <c r="P8" s="94"/>
      <c r="Q8" s="223"/>
      <c r="R8" s="50"/>
      <c r="S8" s="50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0"/>
      <c r="AO8" s="240" cm="1">
        <f t="array" ref="AO8">pareto($C3:$C8,$D3:$D8,6,"rate",$AQ$1,$AN4,$AN6)</f>
        <v>652.51120000000003</v>
      </c>
      <c r="AP8" s="240" cm="1">
        <f t="array" ref="AP8">pareto($C3:$C8,$D3:$D8,6,"dist",$AQ$1,$AN4,$AN6)</f>
        <v>31.774938800000001</v>
      </c>
      <c r="AQ8" s="240" cm="1">
        <f t="array" ref="AQ8">pareto($L3:$L8,$M3:$M8,6,"rate",$AQ$1,$AN4,$AN6)</f>
        <v>652.51120000000003</v>
      </c>
      <c r="AR8" s="240" cm="1">
        <f t="array" ref="AR8">pareto($L3:$L8,$M3:$M8,6,"dist",$AQ$1,$AN4,$AN6)</f>
        <v>31.774938800000001</v>
      </c>
      <c r="AS8" s="240"/>
      <c r="AT8" s="240"/>
      <c r="AU8" s="240"/>
      <c r="AV8" s="240"/>
      <c r="AW8" s="240"/>
      <c r="AX8" s="240"/>
    </row>
    <row r="9" spans="1:50" ht="12" customHeight="1" x14ac:dyDescent="0.25">
      <c r="A9" s="141" t="s">
        <v>230</v>
      </c>
      <c r="B9" s="106" t="s">
        <v>250</v>
      </c>
      <c r="C9" s="267">
        <v>4607.4416000000001</v>
      </c>
      <c r="D9" s="267">
        <v>54.317487999999997</v>
      </c>
      <c r="E9" s="83"/>
      <c r="F9" s="83"/>
      <c r="G9" s="83"/>
      <c r="H9" s="83"/>
      <c r="I9" s="83"/>
      <c r="J9" s="83"/>
      <c r="K9" s="110"/>
      <c r="L9" s="267">
        <v>4607.4416000000001</v>
      </c>
      <c r="M9" s="267">
        <v>54.143044000000003</v>
      </c>
      <c r="N9" s="83"/>
      <c r="O9" s="83"/>
      <c r="P9" s="83"/>
      <c r="Q9" s="222"/>
      <c r="R9" s="49"/>
      <c r="S9" s="49"/>
      <c r="T9" s="37" t="e">
        <f t="shared" si="0"/>
        <v>#DIV/0!</v>
      </c>
      <c r="U9" s="38" t="e">
        <f t="shared" si="0"/>
        <v>#DIV/0!</v>
      </c>
      <c r="V9" s="55"/>
      <c r="W9" s="14">
        <f>bdRateExtend($C9:$C14,D9:D14,$L9:$L14,$M9:$M14)</f>
        <v>3.2616537948281898E-2</v>
      </c>
      <c r="X9" s="14">
        <f>bdRateExtend($C9:$C13,$D9:$D13,$L9:$L13,$M9:$M13)</f>
        <v>3.7265091260044958E-2</v>
      </c>
      <c r="Y9" s="14">
        <f>bdRateExtend($C10:$C14,$D10:$D14,$L10:$L14,$M10:$M14)</f>
        <v>2.0254754271876951E-2</v>
      </c>
      <c r="Z9" s="14">
        <f>bdRateExtend($C9:$C12,$D9:$D12,$L9:$L12,$M9:$M12)</f>
        <v>8.7064017331167864E-2</v>
      </c>
      <c r="AA9" s="14">
        <f>bdRateExtend($C10:$C13,$D10:$D13,$L10:$L13,$M10:$M13)</f>
        <v>1.5943709148742879E-2</v>
      </c>
      <c r="AB9" s="14">
        <f>bdRateExtend($C11:$C14,$D11:$D14,$L11:$L14,$M11:$M14)</f>
        <v>1.6665898424397918E-2</v>
      </c>
      <c r="AC9" s="145" cm="1">
        <f t="array" ref="AC9">bdRatePareto(AO9:AO14,AP9:AP14,AQ9:AQ14,AR9:AR14)</f>
        <v>3.2616537948281898E-2</v>
      </c>
      <c r="AD9" s="14" t="e">
        <f>bdRateExtend($C9:$C14,E9:E14,$L9:$L14,N9:N14)</f>
        <v>#VALUE!</v>
      </c>
      <c r="AE9" s="14" t="e">
        <f>bdRateExtend($C9:$C14,F9:F14,$L9:$L14,O9:O14)</f>
        <v>#VALUE!</v>
      </c>
      <c r="AF9" s="15" t="e">
        <f>bdRateExtend($C9:$C14,G9:G14,$L9:$L14,P9:P14)</f>
        <v>#VALUE!</v>
      </c>
      <c r="AG9" s="72">
        <f>bdPSNRExtend($C9:$C14,$D9:$D14,$L9:$L14,$M9:$M14)</f>
        <v>-0.18913510717576587</v>
      </c>
      <c r="AN9" s="240" t="s">
        <v>213</v>
      </c>
      <c r="AO9" s="240" cm="1">
        <f t="array" ref="AO9">pareto($C9:$C14,$D9:$D14,1,"rate",$AQ$1,$AN10,$AN12)</f>
        <v>4607.4416000000001</v>
      </c>
      <c r="AP9" s="240" cm="1">
        <f t="array" ref="AP9">pareto($C9:$C14,$D9:$D14,1,"dist",$AQ$1,$AN10,$AN12)</f>
        <v>54.317487999999997</v>
      </c>
      <c r="AQ9" s="240" cm="1">
        <f t="array" ref="AQ9">pareto($L9:$L14,$M9:$M14,1,"rate",$AQ$1,$AN10,$AN12)</f>
        <v>4607.4416000000001</v>
      </c>
      <c r="AR9" s="240" cm="1">
        <f t="array" ref="AR9">pareto($L9:$L14,$M9:$M14,1,"dist",$AQ$1,$AN10,$AN12)</f>
        <v>54.143044000000003</v>
      </c>
      <c r="AS9" s="240"/>
      <c r="AT9" s="240"/>
      <c r="AU9" s="240"/>
      <c r="AV9" s="240"/>
      <c r="AW9" s="240"/>
      <c r="AX9" s="240"/>
    </row>
    <row r="10" spans="1:50" ht="12" customHeight="1" x14ac:dyDescent="0.25">
      <c r="A10" s="58"/>
      <c r="B10" s="107" t="s">
        <v>251</v>
      </c>
      <c r="C10" s="267">
        <v>3206.0416</v>
      </c>
      <c r="D10" s="267">
        <v>53.706934099999998</v>
      </c>
      <c r="E10" s="86"/>
      <c r="F10" s="86"/>
      <c r="G10" s="86"/>
      <c r="H10" s="86"/>
      <c r="I10" s="86"/>
      <c r="J10" s="86"/>
      <c r="K10" s="110"/>
      <c r="L10" s="267">
        <v>3206.0416</v>
      </c>
      <c r="M10" s="267">
        <v>53.249018800000002</v>
      </c>
      <c r="N10" s="86"/>
      <c r="O10" s="86"/>
      <c r="P10" s="86"/>
      <c r="Q10" s="222"/>
      <c r="R10" s="49"/>
      <c r="S10" s="49"/>
      <c r="T10" s="37" t="e">
        <f t="shared" si="0"/>
        <v>#DIV/0!</v>
      </c>
      <c r="U10" s="38" t="e">
        <f t="shared" si="0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0">
        <v>55.9</v>
      </c>
      <c r="AO10" s="240" cm="1">
        <f t="array" ref="AO10">pareto($C9:$C14,$D9:$D14,2,"rate",$AQ$1,$AN10,$AN12)</f>
        <v>3206.0416</v>
      </c>
      <c r="AP10" s="240" cm="1">
        <f t="array" ref="AP10">pareto($C9:$C14,$D9:$D14,2,"dist",$AQ$1,$AN10,$AN12)</f>
        <v>53.706934099999998</v>
      </c>
      <c r="AQ10" s="240" cm="1">
        <f t="array" ref="AQ10">pareto($L9:$L14,$M9:$M14,2,"rate",$AQ$1,$AN10,$AN12)</f>
        <v>3206.0416</v>
      </c>
      <c r="AR10" s="240" cm="1">
        <f t="array" ref="AR10">pareto($L9:$L14,$M9:$M14,2,"dist",$AQ$1,$AN10,$AN12)</f>
        <v>53.249018800000002</v>
      </c>
      <c r="AS10" s="240"/>
      <c r="AT10" s="240"/>
      <c r="AU10" s="240"/>
      <c r="AV10" s="240"/>
      <c r="AW10" s="240"/>
      <c r="AX10" s="240"/>
    </row>
    <row r="11" spans="1:50" ht="12" customHeight="1" x14ac:dyDescent="0.25">
      <c r="A11" s="135"/>
      <c r="B11" s="107" t="s">
        <v>252</v>
      </c>
      <c r="C11" s="267">
        <v>2161.3208</v>
      </c>
      <c r="D11" s="267">
        <v>52.529437399999999</v>
      </c>
      <c r="E11" s="86"/>
      <c r="F11" s="86"/>
      <c r="G11" s="86"/>
      <c r="H11" s="86"/>
      <c r="I11" s="86"/>
      <c r="J11" s="86"/>
      <c r="K11" s="110"/>
      <c r="L11" s="267">
        <v>2161.3208</v>
      </c>
      <c r="M11" s="267">
        <v>52.464020900000001</v>
      </c>
      <c r="N11" s="86"/>
      <c r="O11" s="86"/>
      <c r="P11" s="86"/>
      <c r="Q11" s="222"/>
      <c r="R11" s="49"/>
      <c r="S11" s="49"/>
      <c r="T11" s="37" t="e">
        <f t="shared" si="0"/>
        <v>#DIV/0!</v>
      </c>
      <c r="U11" s="38" t="e">
        <f t="shared" si="0"/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0" t="s">
        <v>44</v>
      </c>
      <c r="AO11" s="240" cm="1">
        <f t="array" ref="AO11">pareto($C9:$C14,$D9:$D14,3,"rate",$AQ$1,$AN10,$AN12)</f>
        <v>2161.3208</v>
      </c>
      <c r="AP11" s="240" cm="1">
        <f t="array" ref="AP11">pareto($C9:$C14,$D9:$D14,3,"dist",$AQ$1,$AN10,$AN12)</f>
        <v>52.529437399999999</v>
      </c>
      <c r="AQ11" s="240" cm="1">
        <f t="array" ref="AQ11">pareto($L9:$L14,$M9:$M14,3,"rate",$AQ$1,$AN10,$AN12)</f>
        <v>2161.3208</v>
      </c>
      <c r="AR11" s="240" cm="1">
        <f t="array" ref="AR11">pareto($L9:$L14,$M9:$M14,3,"dist",$AQ$1,$AN10,$AN12)</f>
        <v>52.464020900000001</v>
      </c>
      <c r="AS11" s="240"/>
      <c r="AT11" s="240"/>
      <c r="AU11" s="240"/>
      <c r="AV11" s="240"/>
      <c r="AW11" s="240"/>
      <c r="AX11" s="240"/>
    </row>
    <row r="12" spans="1:50" ht="12" customHeight="1" x14ac:dyDescent="0.25">
      <c r="A12" s="135"/>
      <c r="B12" s="107" t="s">
        <v>253</v>
      </c>
      <c r="C12" s="267">
        <v>1426.5455999999999</v>
      </c>
      <c r="D12" s="267">
        <v>51.395551699999999</v>
      </c>
      <c r="E12" s="86"/>
      <c r="F12" s="86"/>
      <c r="G12" s="86"/>
      <c r="H12" s="86"/>
      <c r="I12" s="86"/>
      <c r="J12" s="86"/>
      <c r="K12" s="110"/>
      <c r="L12" s="267">
        <v>1426.5455999999999</v>
      </c>
      <c r="M12" s="267">
        <v>51.417357199999998</v>
      </c>
      <c r="N12" s="86"/>
      <c r="O12" s="86"/>
      <c r="P12" s="86"/>
      <c r="Q12" s="222"/>
      <c r="R12" s="49"/>
      <c r="S12" s="49"/>
      <c r="T12" s="37" t="e">
        <f t="shared" si="0"/>
        <v>#DIV/0!</v>
      </c>
      <c r="U12" s="38" t="e">
        <f t="shared" si="0"/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0">
        <v>25</v>
      </c>
      <c r="AO12" s="240" cm="1">
        <f t="array" ref="AO12">pareto($C9:$C14,$D9:$D14,4,"rate",$AQ$1,$AN10,$AN12)</f>
        <v>1426.5455999999999</v>
      </c>
      <c r="AP12" s="240" cm="1">
        <f t="array" ref="AP12">pareto($C9:$C14,$D9:$D14,4,"dist",$AQ$1,$AN10,$AN12)</f>
        <v>51.395551699999999</v>
      </c>
      <c r="AQ12" s="240" cm="1">
        <f t="array" ref="AQ12">pareto($L9:$L14,$M9:$M14,4,"rate",$AQ$1,$AN10,$AN12)</f>
        <v>1426.5455999999999</v>
      </c>
      <c r="AR12" s="240" cm="1">
        <f t="array" ref="AR12">pareto($L9:$L14,$M9:$M14,4,"dist",$AQ$1,$AN10,$AN12)</f>
        <v>51.417357199999998</v>
      </c>
      <c r="AS12" s="240"/>
      <c r="AT12" s="240"/>
      <c r="AU12" s="240"/>
      <c r="AV12" s="240"/>
      <c r="AW12" s="240"/>
      <c r="AX12" s="240"/>
    </row>
    <row r="13" spans="1:50" ht="12" customHeight="1" x14ac:dyDescent="0.25">
      <c r="A13" s="58"/>
      <c r="B13" s="107" t="s">
        <v>254</v>
      </c>
      <c r="C13" s="267">
        <v>674.36239999999998</v>
      </c>
      <c r="D13" s="267">
        <v>46.576537299999998</v>
      </c>
      <c r="E13" s="86"/>
      <c r="F13" s="86"/>
      <c r="G13" s="86"/>
      <c r="H13" s="86"/>
      <c r="I13" s="86"/>
      <c r="J13" s="86"/>
      <c r="K13" s="110"/>
      <c r="L13" s="267">
        <v>674.36239999999998</v>
      </c>
      <c r="M13" s="267">
        <v>46.271260400000003</v>
      </c>
      <c r="N13" s="86"/>
      <c r="O13" s="86"/>
      <c r="P13" s="86"/>
      <c r="Q13" s="222"/>
      <c r="R13" s="49"/>
      <c r="S13" s="49"/>
      <c r="T13" s="37" t="e">
        <f t="shared" si="0"/>
        <v>#DIV/0!</v>
      </c>
      <c r="U13" s="38" t="e">
        <f t="shared" si="0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0"/>
      <c r="AO13" s="240" cm="1">
        <f t="array" ref="AO13">pareto($C9:$C14,$D9:$D14,5,"rate",$AQ$1,$AN10,$AN12)</f>
        <v>674.36239999999998</v>
      </c>
      <c r="AP13" s="240" cm="1">
        <f t="array" ref="AP13">pareto($C9:$C14,$D9:$D14,5,"dist",$AQ$1,$AN10,$AN12)</f>
        <v>46.576537299999998</v>
      </c>
      <c r="AQ13" s="240" cm="1">
        <f t="array" ref="AQ13">pareto($L9:$L14,$M9:$M14,5,"rate",$AQ$1,$AN10,$AN12)</f>
        <v>674.36239999999998</v>
      </c>
      <c r="AR13" s="240" cm="1">
        <f t="array" ref="AR13">pareto($L9:$L14,$M9:$M14,5,"dist",$AQ$1,$AN10,$AN12)</f>
        <v>46.271260400000003</v>
      </c>
      <c r="AS13" s="240"/>
      <c r="AT13" s="240"/>
      <c r="AU13" s="240"/>
      <c r="AV13" s="240"/>
      <c r="AW13" s="240"/>
      <c r="AX13" s="240"/>
    </row>
    <row r="14" spans="1:50" ht="12" customHeight="1" thickBot="1" x14ac:dyDescent="0.3">
      <c r="A14" s="45"/>
      <c r="B14" s="108" t="s">
        <v>255</v>
      </c>
      <c r="C14" s="267">
        <v>493.7704</v>
      </c>
      <c r="D14" s="267">
        <v>41.408634999999997</v>
      </c>
      <c r="E14" s="94"/>
      <c r="F14" s="94"/>
      <c r="G14" s="94"/>
      <c r="H14" s="94"/>
      <c r="I14" s="94"/>
      <c r="J14" s="94"/>
      <c r="K14" s="110"/>
      <c r="L14" s="267">
        <v>493.7704</v>
      </c>
      <c r="M14" s="267">
        <v>41.125163499999999</v>
      </c>
      <c r="N14" s="94"/>
      <c r="O14" s="94"/>
      <c r="P14" s="94"/>
      <c r="Q14" s="223"/>
      <c r="R14" s="50"/>
      <c r="S14" s="50"/>
      <c r="T14" s="3" t="e">
        <f t="shared" si="0"/>
        <v>#DIV/0!</v>
      </c>
      <c r="U14" s="39" t="e">
        <f t="shared" si="0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0"/>
      <c r="AO14" s="240" cm="1">
        <f t="array" ref="AO14">pareto($C9:$C14,$D9:$D14,6,"rate",$AQ$1,$AN10,$AN12)</f>
        <v>493.7704</v>
      </c>
      <c r="AP14" s="240" cm="1">
        <f t="array" ref="AP14">pareto($C9:$C14,$D9:$D14,6,"dist",$AQ$1,$AN10,$AN12)</f>
        <v>41.408634999999997</v>
      </c>
      <c r="AQ14" s="240" cm="1">
        <f t="array" ref="AQ14">pareto($L9:$L14,$M9:$M14,6,"rate",$AQ$1,$AN10,$AN12)</f>
        <v>493.7704</v>
      </c>
      <c r="AR14" s="240" cm="1">
        <f t="array" ref="AR14">pareto($L9:$L14,$M9:$M14,6,"dist",$AQ$1,$AN10,$AN12)</f>
        <v>41.125163499999999</v>
      </c>
      <c r="AS14" s="240"/>
      <c r="AT14" s="240"/>
      <c r="AU14" s="240"/>
      <c r="AV14" s="240"/>
      <c r="AW14" s="240"/>
      <c r="AX14" s="240"/>
    </row>
    <row r="15" spans="1:50" ht="12" customHeight="1" x14ac:dyDescent="0.25">
      <c r="A15" s="141" t="s">
        <v>231</v>
      </c>
      <c r="B15" s="106" t="s">
        <v>250</v>
      </c>
      <c r="C15" s="267">
        <v>8039.5240000000003</v>
      </c>
      <c r="D15" s="267">
        <v>48.898107299999999</v>
      </c>
      <c r="E15" s="83"/>
      <c r="F15" s="83"/>
      <c r="G15" s="83"/>
      <c r="H15" s="83"/>
      <c r="I15" s="83"/>
      <c r="J15" s="83"/>
      <c r="K15" s="110"/>
      <c r="L15" s="267">
        <v>8039.5240000000003</v>
      </c>
      <c r="M15" s="267">
        <v>48.820326700000003</v>
      </c>
      <c r="N15" s="83"/>
      <c r="O15" s="83"/>
      <c r="P15" s="83"/>
      <c r="Q15" s="222"/>
      <c r="R15" s="49"/>
      <c r="S15" s="49"/>
      <c r="T15" s="37" t="e">
        <f t="shared" si="0"/>
        <v>#DIV/0!</v>
      </c>
      <c r="U15" s="38" t="e">
        <f t="shared" si="0"/>
        <v>#DIV/0!</v>
      </c>
      <c r="V15" s="55"/>
      <c r="W15" s="14">
        <f>bdRateExtend($C15:$C20,D15:D20,$L15:$L20,$M15:$M20)</f>
        <v>-8.9158894453744697E-3</v>
      </c>
      <c r="X15" s="14">
        <f>bdRateExtend($C15:$C19,$D15:$D19,$L15:$L19,$M15:$M19)</f>
        <v>-6.6859231645393091E-3</v>
      </c>
      <c r="Y15" s="14">
        <f>bdRateExtend($C16:$C20,$D16:$D20,$L16:$L20,$M16:$M20)</f>
        <v>-5.5252107454296651E-3</v>
      </c>
      <c r="Z15" s="14">
        <f>bdRateExtend($C15:$C18,$D15:$D18,$L15:$L18,$M15:$M18)</f>
        <v>-1.6063821352359287E-2</v>
      </c>
      <c r="AA15" s="14">
        <f>bdRateExtend($C16:$C19,$D16:$D19,$L16:$L19,$M16:$M19)</f>
        <v>-9.3704527058247056E-4</v>
      </c>
      <c r="AB15" s="14">
        <f>bdRateExtend($C17:$C20,$D17:$D20,$L17:$L20,$M17:$M20)</f>
        <v>2.4009783407055174E-3</v>
      </c>
      <c r="AC15" s="145" cm="1">
        <f t="array" ref="AC15">bdRatePareto(AO15:AO20,AP15:AP20,AQ15:AQ20,AR15:AR20)</f>
        <v>-8.9158894453744697E-3</v>
      </c>
      <c r="AD15" s="14" t="e">
        <f>bdRateExtend($C15:$C20,E15:E20,$L15:$L20,N15:N20)</f>
        <v>#VALUE!</v>
      </c>
      <c r="AE15" s="14" t="e">
        <f>bdRateExtend($C15:$C20,F15:F20,$L15:$L20,O15:O20)</f>
        <v>#VALUE!</v>
      </c>
      <c r="AF15" s="15" t="e">
        <f>bdRateExtend($C15:$C20,G15:G20,$L15:$L20,P15:P20)</f>
        <v>#VALUE!</v>
      </c>
      <c r="AG15" s="72">
        <f>bdPSNRExtend($C15:$C20,$D15:$D20,$L15:$L20,$M15:$M20)</f>
        <v>-1.5203813137596294E-2</v>
      </c>
      <c r="AN15" s="240" t="s">
        <v>213</v>
      </c>
      <c r="AO15" s="240" cm="1">
        <f t="array" ref="AO15">pareto($C15:$C20,$D15:$D20,1,"rate",$AQ$1,$AN16,$AN18)</f>
        <v>8039.5240000000003</v>
      </c>
      <c r="AP15" s="240" cm="1">
        <f t="array" ref="AP15">pareto($C15:$C20,$D15:$D20,1,"dist",$AQ$1,$AN16,$AN18)</f>
        <v>48.898107299999999</v>
      </c>
      <c r="AQ15" s="240" cm="1">
        <f t="array" ref="AQ15">pareto($L15:$L20,$M15:$M20,1,"rate",$AQ$1,$AN16,$AN18)</f>
        <v>8039.5240000000003</v>
      </c>
      <c r="AR15" s="240" cm="1">
        <f t="array" ref="AR15">pareto($L15:$L20,$M15:$M20,1,"dist",$AQ$1,$AN16,$AN18)</f>
        <v>48.820326700000003</v>
      </c>
      <c r="AS15" s="240"/>
      <c r="AT15" s="240"/>
      <c r="AU15" s="240"/>
      <c r="AV15" s="240"/>
      <c r="AW15" s="240"/>
      <c r="AX15" s="240"/>
    </row>
    <row r="16" spans="1:50" ht="12" customHeight="1" x14ac:dyDescent="0.25">
      <c r="A16" s="58"/>
      <c r="B16" s="107" t="s">
        <v>251</v>
      </c>
      <c r="C16" s="267">
        <v>6190.3624</v>
      </c>
      <c r="D16" s="267">
        <v>47.342494199999997</v>
      </c>
      <c r="E16" s="86"/>
      <c r="F16" s="86"/>
      <c r="G16" s="86"/>
      <c r="H16" s="86"/>
      <c r="I16" s="86"/>
      <c r="J16" s="86"/>
      <c r="K16" s="110"/>
      <c r="L16" s="267">
        <v>6190.3624</v>
      </c>
      <c r="M16" s="267">
        <v>47.912885699999997</v>
      </c>
      <c r="N16" s="86"/>
      <c r="O16" s="86"/>
      <c r="P16" s="86"/>
      <c r="Q16" s="222"/>
      <c r="R16" s="49"/>
      <c r="S16" s="49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6"/>
      <c r="AD16" s="4"/>
      <c r="AE16" s="4"/>
      <c r="AF16" s="5"/>
      <c r="AG16" s="59"/>
      <c r="AN16" s="240">
        <v>46.2</v>
      </c>
      <c r="AO16" s="240" cm="1">
        <f t="array" ref="AO16">pareto($C15:$C20,$D15:$D20,2,"rate",$AQ$1,$AN16,$AN18)</f>
        <v>6190.3624</v>
      </c>
      <c r="AP16" s="240" cm="1">
        <f t="array" ref="AP16">pareto($C15:$C20,$D15:$D20,2,"dist",$AQ$1,$AN16,$AN18)</f>
        <v>47.342494199999997</v>
      </c>
      <c r="AQ16" s="240" cm="1">
        <f t="array" ref="AQ16">pareto($L15:$L20,$M15:$M20,2,"rate",$AQ$1,$AN16,$AN18)</f>
        <v>6190.3624</v>
      </c>
      <c r="AR16" s="240" cm="1">
        <f t="array" ref="AR16">pareto($L15:$L20,$M15:$M20,2,"dist",$AQ$1,$AN16,$AN18)</f>
        <v>47.912885699999997</v>
      </c>
      <c r="AS16" s="240"/>
      <c r="AT16" s="240"/>
      <c r="AU16" s="240"/>
      <c r="AV16" s="240"/>
      <c r="AW16" s="240"/>
      <c r="AX16" s="240"/>
    </row>
    <row r="17" spans="1:50" ht="12" customHeight="1" x14ac:dyDescent="0.25">
      <c r="A17" s="58"/>
      <c r="B17" s="107" t="s">
        <v>252</v>
      </c>
      <c r="C17" s="267">
        <v>4695.0815999999904</v>
      </c>
      <c r="D17" s="267">
        <v>44.438682900000003</v>
      </c>
      <c r="E17" s="86"/>
      <c r="F17" s="86"/>
      <c r="G17" s="86"/>
      <c r="H17" s="86"/>
      <c r="I17" s="86"/>
      <c r="J17" s="86"/>
      <c r="K17" s="110"/>
      <c r="L17" s="267">
        <v>4695.0815999999904</v>
      </c>
      <c r="M17" s="267">
        <v>44.749805500000001</v>
      </c>
      <c r="N17" s="86"/>
      <c r="O17" s="86"/>
      <c r="P17" s="86"/>
      <c r="Q17" s="222"/>
      <c r="R17" s="49"/>
      <c r="S17" s="49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6"/>
      <c r="AD17" s="4"/>
      <c r="AE17" s="4"/>
      <c r="AF17" s="5"/>
      <c r="AG17" s="59"/>
      <c r="AN17" s="240" t="s">
        <v>44</v>
      </c>
      <c r="AO17" s="240" cm="1">
        <f t="array" ref="AO17">pareto($C15:$C20,$D15:$D20,3,"rate",$AQ$1,$AN16,$AN18)</f>
        <v>4695.0815999999904</v>
      </c>
      <c r="AP17" s="240" cm="1">
        <f t="array" ref="AP17">pareto($C15:$C20,$D15:$D20,3,"dist",$AQ$1,$AN16,$AN18)</f>
        <v>44.438682900000003</v>
      </c>
      <c r="AQ17" s="240" cm="1">
        <f t="array" ref="AQ17">pareto($L15:$L20,$M15:$M20,3,"rate",$AQ$1,$AN16,$AN18)</f>
        <v>4695.0815999999904</v>
      </c>
      <c r="AR17" s="240" cm="1">
        <f t="array" ref="AR17">pareto($L15:$L20,$M15:$M20,3,"dist",$AQ$1,$AN16,$AN18)</f>
        <v>44.749805500000001</v>
      </c>
      <c r="AS17" s="240"/>
      <c r="AT17" s="240"/>
      <c r="AU17" s="240"/>
      <c r="AV17" s="240"/>
      <c r="AW17" s="240"/>
      <c r="AX17" s="240"/>
    </row>
    <row r="18" spans="1:50" ht="12" customHeight="1" x14ac:dyDescent="0.25">
      <c r="A18" s="58"/>
      <c r="B18" s="107" t="s">
        <v>253</v>
      </c>
      <c r="C18" s="267">
        <v>1868.1815999999999</v>
      </c>
      <c r="D18" s="267">
        <v>35.467980300000001</v>
      </c>
      <c r="E18" s="86"/>
      <c r="F18" s="86"/>
      <c r="G18" s="86"/>
      <c r="H18" s="86"/>
      <c r="I18" s="86"/>
      <c r="J18" s="86"/>
      <c r="K18" s="110"/>
      <c r="L18" s="267">
        <v>1868.1815999999999</v>
      </c>
      <c r="M18" s="267">
        <v>35.208711399999999</v>
      </c>
      <c r="N18" s="86"/>
      <c r="O18" s="86"/>
      <c r="P18" s="86"/>
      <c r="Q18" s="222"/>
      <c r="R18" s="49"/>
      <c r="S18" s="49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6"/>
      <c r="AD18" s="4"/>
      <c r="AE18" s="4"/>
      <c r="AF18" s="5"/>
      <c r="AG18" s="59"/>
      <c r="AN18" s="240">
        <v>25</v>
      </c>
      <c r="AO18" s="240" cm="1">
        <f t="array" ref="AO18">pareto($C15:$C20,$D15:$D20,4,"rate",$AQ$1,$AN16,$AN18)</f>
        <v>1868.1815999999999</v>
      </c>
      <c r="AP18" s="240" cm="1">
        <f t="array" ref="AP18">pareto($C15:$C20,$D15:$D20,4,"dist",$AQ$1,$AN16,$AN18)</f>
        <v>35.467980300000001</v>
      </c>
      <c r="AQ18" s="240" cm="1">
        <f t="array" ref="AQ18">pareto($L15:$L20,$M15:$M20,4,"rate",$AQ$1,$AN16,$AN18)</f>
        <v>1868.1815999999999</v>
      </c>
      <c r="AR18" s="240" cm="1">
        <f t="array" ref="AR18">pareto($L15:$L20,$M15:$M20,4,"dist",$AQ$1,$AN16,$AN18)</f>
        <v>35.208711399999999</v>
      </c>
      <c r="AS18" s="240"/>
      <c r="AT18" s="240"/>
      <c r="AU18" s="240"/>
      <c r="AV18" s="240"/>
      <c r="AW18" s="240"/>
      <c r="AX18" s="240"/>
    </row>
    <row r="19" spans="1:50" ht="12" customHeight="1" x14ac:dyDescent="0.25">
      <c r="A19" s="58"/>
      <c r="B19" s="107" t="s">
        <v>254</v>
      </c>
      <c r="C19" s="267">
        <v>934.805599999999</v>
      </c>
      <c r="D19" s="267">
        <v>29.997407299999999</v>
      </c>
      <c r="E19" s="86"/>
      <c r="F19" s="86"/>
      <c r="G19" s="86"/>
      <c r="H19" s="86"/>
      <c r="I19" s="86"/>
      <c r="J19" s="86"/>
      <c r="K19" s="110"/>
      <c r="L19" s="267">
        <v>934.805599999999</v>
      </c>
      <c r="M19" s="267">
        <v>30.256676200000001</v>
      </c>
      <c r="N19" s="86"/>
      <c r="O19" s="86"/>
      <c r="P19" s="86"/>
      <c r="Q19" s="222"/>
      <c r="R19" s="49"/>
      <c r="S19" s="49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6"/>
      <c r="AD19" s="4"/>
      <c r="AE19" s="4"/>
      <c r="AF19" s="5"/>
      <c r="AG19" s="59"/>
      <c r="AN19" s="240"/>
      <c r="AO19" s="240" cm="1">
        <f t="array" ref="AO19">pareto($C15:$C20,$D15:$D20,5,"rate",$AQ$1,$AN16,$AN18)</f>
        <v>934.805599999999</v>
      </c>
      <c r="AP19" s="240" cm="1">
        <f t="array" ref="AP19">pareto($C15:$C20,$D15:$D20,5,"dist",$AQ$1,$AN16,$AN18)</f>
        <v>29.997407299999999</v>
      </c>
      <c r="AQ19" s="240" cm="1">
        <f t="array" ref="AQ19">pareto($L15:$L20,$M15:$M20,5,"rate",$AQ$1,$AN16,$AN18)</f>
        <v>934.805599999999</v>
      </c>
      <c r="AR19" s="240" cm="1">
        <f t="array" ref="AR19">pareto($L15:$L20,$M15:$M20,5,"dist",$AQ$1,$AN16,$AN18)</f>
        <v>30.256676200000001</v>
      </c>
      <c r="AS19" s="240"/>
      <c r="AT19" s="240"/>
      <c r="AU19" s="240"/>
      <c r="AV19" s="240"/>
      <c r="AW19" s="240"/>
      <c r="AX19" s="240"/>
    </row>
    <row r="20" spans="1:50" ht="12" customHeight="1" thickBot="1" x14ac:dyDescent="0.3">
      <c r="A20" s="45"/>
      <c r="B20" s="108" t="s">
        <v>255</v>
      </c>
      <c r="C20" s="267">
        <v>452.000799999999</v>
      </c>
      <c r="D20" s="267">
        <v>19.445164599999998</v>
      </c>
      <c r="E20" s="94"/>
      <c r="F20" s="94"/>
      <c r="G20" s="94"/>
      <c r="H20" s="94"/>
      <c r="I20" s="94"/>
      <c r="J20" s="94"/>
      <c r="K20" s="110"/>
      <c r="L20" s="267">
        <v>452.000799999999</v>
      </c>
      <c r="M20" s="267">
        <v>18.148820300000001</v>
      </c>
      <c r="N20" s="94"/>
      <c r="O20" s="94"/>
      <c r="P20" s="94"/>
      <c r="Q20" s="223"/>
      <c r="R20" s="50"/>
      <c r="S20" s="50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7"/>
      <c r="AD20" s="6"/>
      <c r="AE20" s="6"/>
      <c r="AF20" s="7"/>
      <c r="AG20" s="63"/>
      <c r="AN20" s="240"/>
      <c r="AO20" s="240" cm="1">
        <f t="array" ref="AO20">pareto($C15:$C20,$D15:$D20,6,"rate",$AQ$1,$AN16,$AN18)</f>
        <v>452.000799999999</v>
      </c>
      <c r="AP20" s="240" cm="1">
        <f t="array" ref="AP20">pareto($C15:$C20,$D15:$D20,6,"dist",$AQ$1,$AN16,$AN18)</f>
        <v>19.445164599999998</v>
      </c>
      <c r="AQ20" s="240" cm="1">
        <f t="array" ref="AQ20">pareto($L15:$L20,$M15:$M20,6,"rate",$AQ$1,$AN16,$AN18)</f>
        <v>452.000799999999</v>
      </c>
      <c r="AR20" s="240" cm="1">
        <f t="array" ref="AR20">pareto($L15:$L20,$M15:$M20,6,"dist",$AQ$1,$AN16,$AN18)</f>
        <v>18.148820300000001</v>
      </c>
      <c r="AS20" s="240"/>
      <c r="AT20" s="240"/>
      <c r="AU20" s="240"/>
      <c r="AV20" s="240"/>
      <c r="AW20" s="240"/>
      <c r="AX20" s="240"/>
    </row>
    <row r="21" spans="1:50" ht="12" customHeight="1" x14ac:dyDescent="0.25">
      <c r="A21" s="141" t="s">
        <v>232</v>
      </c>
      <c r="B21" s="106" t="s">
        <v>250</v>
      </c>
      <c r="C21" s="267">
        <v>2069.8163522012501</v>
      </c>
      <c r="D21" s="267">
        <v>55.177111699999998</v>
      </c>
      <c r="E21" s="83"/>
      <c r="F21" s="83"/>
      <c r="G21" s="83"/>
      <c r="H21" s="83"/>
      <c r="I21" s="83"/>
      <c r="J21" s="83"/>
      <c r="K21" s="110"/>
      <c r="L21" s="267">
        <v>2069.8163522012501</v>
      </c>
      <c r="M21" s="267">
        <v>54.632152599999998</v>
      </c>
      <c r="N21" s="83"/>
      <c r="O21" s="83"/>
      <c r="P21" s="83"/>
      <c r="Q21" s="222"/>
      <c r="R21" s="49"/>
      <c r="S21" s="49"/>
      <c r="T21" s="37" t="e">
        <f t="shared" si="0"/>
        <v>#DIV/0!</v>
      </c>
      <c r="U21" s="38" t="e">
        <f t="shared" si="0"/>
        <v>#DIV/0!</v>
      </c>
      <c r="V21" s="55"/>
      <c r="W21" s="14">
        <f>bdRateExtend($C21:$C26,D21:D26,$L21:$L26,$M21:$M26)</f>
        <v>1.1442974636894032E-2</v>
      </c>
      <c r="X21" s="14">
        <f>bdRateExtend($C21:$C25,$D21:$D25,$L21:$L25,$M21:$M25)</f>
        <v>1.381004802098551E-2</v>
      </c>
      <c r="Y21" s="14">
        <f>bdRateExtend($C22:$C26,$D22:$D26,$L22:$L26,$M22:$M26)</f>
        <v>3.5851588622926034E-3</v>
      </c>
      <c r="Z21" s="14">
        <f>bdRateExtend($C21:$C24,$D21:$D24,$L21:$L24,$M21:$M24)</f>
        <v>1.6444051709540997E-2</v>
      </c>
      <c r="AA21" s="14">
        <f>bdRateExtend($C22:$C25,$D22:$D25,$L22:$L25,$M22:$M25)</f>
        <v>4.3804096978679041E-3</v>
      </c>
      <c r="AB21" s="14">
        <f>bdRateExtend($C23:$C26,$D23:$D26,$L23:$L26,$M23:$M26)</f>
        <v>0</v>
      </c>
      <c r="AC21" s="145" cm="1">
        <f t="array" ref="AC21">bdRatePareto(AO21:AO26,AP21:AP26,AQ21:AQ26,AR21:AR26)</f>
        <v>1.1442974636894032E-2</v>
      </c>
      <c r="AD21" s="14" t="e">
        <f>bdRateExtend($C21:$C26,E21:E26,$L21:$L26,N21:N26)</f>
        <v>#VALUE!</v>
      </c>
      <c r="AE21" s="14" t="e">
        <f>bdRateExtend($C21:$C26,F21:F26,$L21:$L26,O21:O26)</f>
        <v>#VALUE!</v>
      </c>
      <c r="AF21" s="15" t="e">
        <f>bdRateExtend($C21:$C26,G21:G26,$L21:$L26,P21:P26)</f>
        <v>#VALUE!</v>
      </c>
      <c r="AG21" s="72">
        <f>bdPSNRExtend($C21:$C26,$D21:$D26,$L21:$L26,$M21:$M26)</f>
        <v>-0.12262362423466695</v>
      </c>
      <c r="AN21" s="240" t="s">
        <v>213</v>
      </c>
      <c r="AO21" s="240" cm="1">
        <f t="array" ref="AO21">pareto($C21:$C26,$D21:$D26,1,"rate",$AQ$1,$AN22,$AN24)</f>
        <v>2069.8163522012501</v>
      </c>
      <c r="AP21" s="240" cm="1">
        <f t="array" ref="AP21">pareto($C21:$C26,$D21:$D26,1,"dist",$AQ$1,$AN22,$AN24)</f>
        <v>55.177111699999998</v>
      </c>
      <c r="AQ21" s="240" cm="1">
        <f t="array" ref="AQ21">pareto($L21:$L26,$M21:$M26,1,"rate",$AQ$1,$AN22,$AN24)</f>
        <v>2069.8163522012501</v>
      </c>
      <c r="AR21" s="240" cm="1">
        <f t="array" ref="AR21">pareto($L21:$L26,$M21:$M26,1,"dist",$AQ$1,$AN22,$AN24)</f>
        <v>54.632152599999998</v>
      </c>
      <c r="AS21" s="240"/>
      <c r="AT21" s="240"/>
      <c r="AU21" s="240"/>
      <c r="AV21" s="240"/>
      <c r="AW21" s="240"/>
      <c r="AX21" s="240"/>
    </row>
    <row r="22" spans="1:50" ht="12" customHeight="1" x14ac:dyDescent="0.25">
      <c r="A22" s="58"/>
      <c r="B22" s="107" t="s">
        <v>251</v>
      </c>
      <c r="C22" s="267">
        <v>1295.42830188679</v>
      </c>
      <c r="D22" s="267">
        <v>53.678474100000003</v>
      </c>
      <c r="E22" s="86"/>
      <c r="F22" s="86"/>
      <c r="G22" s="86"/>
      <c r="H22" s="86"/>
      <c r="I22" s="86"/>
      <c r="J22" s="86"/>
      <c r="K22" s="110"/>
      <c r="L22" s="267">
        <v>1295.42830188679</v>
      </c>
      <c r="M22" s="267">
        <v>53.315168</v>
      </c>
      <c r="N22" s="86"/>
      <c r="O22" s="86"/>
      <c r="P22" s="86"/>
      <c r="Q22" s="222"/>
      <c r="R22" s="49"/>
      <c r="S22" s="49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0">
        <v>55.4</v>
      </c>
      <c r="AO22" s="240" cm="1">
        <f t="array" ref="AO22">pareto($C21:$C26,$D21:$D26,2,"rate",$AQ$1,$AN22,$AN24)</f>
        <v>1295.42830188679</v>
      </c>
      <c r="AP22" s="240" cm="1">
        <f t="array" ref="AP22">pareto($C21:$C26,$D21:$D26,2,"dist",$AQ$1,$AN22,$AN24)</f>
        <v>53.678474100000003</v>
      </c>
      <c r="AQ22" s="240" cm="1">
        <f t="array" ref="AQ22">pareto($L21:$L26,$M21:$M26,2,"rate",$AQ$1,$AN22,$AN24)</f>
        <v>1295.42830188679</v>
      </c>
      <c r="AR22" s="240" cm="1">
        <f t="array" ref="AR22">pareto($L21:$L26,$M21:$M26,2,"dist",$AQ$1,$AN22,$AN24)</f>
        <v>53.315168</v>
      </c>
      <c r="AS22" s="240"/>
      <c r="AT22" s="240"/>
      <c r="AU22" s="240"/>
      <c r="AV22" s="240"/>
      <c r="AW22" s="240"/>
      <c r="AX22" s="240"/>
    </row>
    <row r="23" spans="1:50" ht="12" customHeight="1" x14ac:dyDescent="0.25">
      <c r="A23" s="58"/>
      <c r="B23" s="107" t="s">
        <v>252</v>
      </c>
      <c r="C23" s="267">
        <v>717.27232704402502</v>
      </c>
      <c r="D23" s="267">
        <v>50.0454133</v>
      </c>
      <c r="E23" s="86"/>
      <c r="F23" s="86"/>
      <c r="G23" s="86"/>
      <c r="H23" s="86"/>
      <c r="I23" s="86"/>
      <c r="J23" s="86"/>
      <c r="K23" s="110"/>
      <c r="L23" s="267">
        <v>717.27232704402502</v>
      </c>
      <c r="M23" s="267">
        <v>50.0454133</v>
      </c>
      <c r="N23" s="86"/>
      <c r="O23" s="86"/>
      <c r="P23" s="86"/>
      <c r="Q23" s="222"/>
      <c r="R23" s="49"/>
      <c r="S23" s="49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0" t="s">
        <v>44</v>
      </c>
      <c r="AO23" s="240" cm="1">
        <f t="array" ref="AO23">pareto($C21:$C26,$D21:$D26,3,"rate",$AQ$1,$AN22,$AN24)</f>
        <v>717.27232704402502</v>
      </c>
      <c r="AP23" s="240" cm="1">
        <f t="array" ref="AP23">pareto($C21:$C26,$D21:$D26,3,"dist",$AQ$1,$AN22,$AN24)</f>
        <v>50.0454133</v>
      </c>
      <c r="AQ23" s="240" cm="1">
        <f t="array" ref="AQ23">pareto($L21:$L26,$M21:$M26,3,"rate",$AQ$1,$AN22,$AN24)</f>
        <v>717.27232704402502</v>
      </c>
      <c r="AR23" s="240" cm="1">
        <f t="array" ref="AR23">pareto($L21:$L26,$M21:$M26,3,"dist",$AQ$1,$AN22,$AN24)</f>
        <v>50.0454133</v>
      </c>
      <c r="AS23" s="240"/>
      <c r="AT23" s="240"/>
      <c r="AU23" s="240"/>
      <c r="AV23" s="240"/>
      <c r="AW23" s="240"/>
      <c r="AX23" s="240"/>
    </row>
    <row r="24" spans="1:50" ht="12" customHeight="1" x14ac:dyDescent="0.25">
      <c r="A24" s="58"/>
      <c r="B24" s="107" t="s">
        <v>253</v>
      </c>
      <c r="C24" s="267">
        <v>403.138364779874</v>
      </c>
      <c r="D24" s="267">
        <v>42.915531299999998</v>
      </c>
      <c r="E24" s="86"/>
      <c r="F24" s="86"/>
      <c r="G24" s="86"/>
      <c r="H24" s="86"/>
      <c r="I24" s="86"/>
      <c r="J24" s="86"/>
      <c r="K24" s="110"/>
      <c r="L24" s="267">
        <v>403.138364779874</v>
      </c>
      <c r="M24" s="267">
        <v>42.915531299999998</v>
      </c>
      <c r="N24" s="86"/>
      <c r="O24" s="86"/>
      <c r="P24" s="86"/>
      <c r="Q24" s="222"/>
      <c r="R24" s="49"/>
      <c r="S24" s="49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0">
        <v>25</v>
      </c>
      <c r="AO24" s="240" cm="1">
        <f t="array" ref="AO24">pareto($C21:$C26,$D21:$D26,4,"rate",$AQ$1,$AN22,$AN24)</f>
        <v>403.138364779874</v>
      </c>
      <c r="AP24" s="240" cm="1">
        <f t="array" ref="AP24">pareto($C21:$C26,$D21:$D26,4,"dist",$AQ$1,$AN22,$AN24)</f>
        <v>42.915531299999998</v>
      </c>
      <c r="AQ24" s="240" cm="1">
        <f t="array" ref="AQ24">pareto($L21:$L26,$M21:$M26,4,"rate",$AQ$1,$AN22,$AN24)</f>
        <v>403.138364779874</v>
      </c>
      <c r="AR24" s="240" cm="1">
        <f t="array" ref="AR24">pareto($L21:$L26,$M21:$M26,4,"dist",$AQ$1,$AN22,$AN24)</f>
        <v>42.915531299999998</v>
      </c>
      <c r="AS24" s="240"/>
      <c r="AT24" s="240"/>
      <c r="AU24" s="240"/>
      <c r="AV24" s="240"/>
      <c r="AW24" s="240"/>
      <c r="AX24" s="240"/>
    </row>
    <row r="25" spans="1:50" ht="12" customHeight="1" x14ac:dyDescent="0.25">
      <c r="A25" s="58"/>
      <c r="B25" s="107" t="s">
        <v>254</v>
      </c>
      <c r="C25" s="267">
        <v>230.312578616352</v>
      </c>
      <c r="D25" s="267">
        <v>36.285195299999998</v>
      </c>
      <c r="E25" s="86"/>
      <c r="F25" s="86"/>
      <c r="G25" s="86"/>
      <c r="H25" s="86"/>
      <c r="I25" s="86"/>
      <c r="J25" s="86"/>
      <c r="K25" s="110"/>
      <c r="L25" s="267">
        <v>230.312578616352</v>
      </c>
      <c r="M25" s="267">
        <v>36.285195299999998</v>
      </c>
      <c r="N25" s="86"/>
      <c r="O25" s="86"/>
      <c r="P25" s="86"/>
      <c r="Q25" s="222"/>
      <c r="R25" s="49"/>
      <c r="S25" s="49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0"/>
      <c r="AO25" s="240" cm="1">
        <f t="array" ref="AO25">pareto($C21:$C26,$D21:$D26,5,"rate",$AQ$1,$AN22,$AN24)</f>
        <v>230.312578616352</v>
      </c>
      <c r="AP25" s="240" cm="1">
        <f t="array" ref="AP25">pareto($C21:$C26,$D21:$D26,5,"dist",$AQ$1,$AN22,$AN24)</f>
        <v>36.285195299999998</v>
      </c>
      <c r="AQ25" s="240" cm="1">
        <f t="array" ref="AQ25">pareto($L21:$L26,$M21:$M26,5,"rate",$AQ$1,$AN22,$AN24)</f>
        <v>230.312578616352</v>
      </c>
      <c r="AR25" s="240" cm="1">
        <f t="array" ref="AR25">pareto($L21:$L26,$M21:$M26,5,"dist",$AQ$1,$AN22,$AN24)</f>
        <v>36.285195299999998</v>
      </c>
      <c r="AS25" s="240"/>
      <c r="AT25" s="240"/>
      <c r="AU25" s="240"/>
      <c r="AV25" s="240"/>
      <c r="AW25" s="240"/>
      <c r="AX25" s="240"/>
    </row>
    <row r="26" spans="1:50" ht="12" customHeight="1" thickBot="1" x14ac:dyDescent="0.3">
      <c r="A26" s="45"/>
      <c r="B26" s="108" t="s">
        <v>255</v>
      </c>
      <c r="C26" s="267">
        <v>164.367295597484</v>
      </c>
      <c r="D26" s="267">
        <v>32.515894600000003</v>
      </c>
      <c r="E26" s="94"/>
      <c r="F26" s="94"/>
      <c r="G26" s="94"/>
      <c r="H26" s="94"/>
      <c r="I26" s="94"/>
      <c r="J26" s="94"/>
      <c r="K26" s="110"/>
      <c r="L26" s="267">
        <v>164.367295597484</v>
      </c>
      <c r="M26" s="267">
        <v>32.515894600000003</v>
      </c>
      <c r="N26" s="94"/>
      <c r="O26" s="94"/>
      <c r="P26" s="94"/>
      <c r="Q26" s="223"/>
      <c r="R26" s="50"/>
      <c r="S26" s="50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0"/>
      <c r="AO26" s="240" cm="1">
        <f t="array" ref="AO26">pareto($C21:$C26,$D21:$D26,6,"rate",$AQ$1,$AN22,$AN24)</f>
        <v>164.367295597484</v>
      </c>
      <c r="AP26" s="240" cm="1">
        <f t="array" ref="AP26">pareto($C21:$C26,$D21:$D26,6,"dist",$AQ$1,$AN22,$AN24)</f>
        <v>32.515894600000003</v>
      </c>
      <c r="AQ26" s="240" cm="1">
        <f t="array" ref="AQ26">pareto($L21:$L26,$M21:$M26,6,"rate",$AQ$1,$AN22,$AN24)</f>
        <v>164.367295597484</v>
      </c>
      <c r="AR26" s="240" cm="1">
        <f t="array" ref="AR26">pareto($L21:$L26,$M21:$M26,6,"dist",$AQ$1,$AN22,$AN24)</f>
        <v>32.515894600000003</v>
      </c>
      <c r="AS26" s="240"/>
      <c r="AT26" s="240"/>
      <c r="AU26" s="240"/>
      <c r="AV26" s="240"/>
      <c r="AW26" s="240"/>
      <c r="AX26" s="240"/>
    </row>
    <row r="27" spans="1:50" ht="12" customHeight="1" x14ac:dyDescent="0.25">
      <c r="A27" s="141" t="s">
        <v>233</v>
      </c>
      <c r="B27" s="106" t="s">
        <v>250</v>
      </c>
      <c r="C27" s="267">
        <v>2813.9751999999999</v>
      </c>
      <c r="D27" s="267">
        <v>71.541184000000001</v>
      </c>
      <c r="E27" s="83"/>
      <c r="F27" s="83"/>
      <c r="G27" s="83"/>
      <c r="H27" s="83"/>
      <c r="I27" s="83"/>
      <c r="J27" s="83"/>
      <c r="K27" s="110"/>
      <c r="L27" s="267">
        <v>2813.9751999999999</v>
      </c>
      <c r="M27" s="267">
        <v>71.541184000000001</v>
      </c>
      <c r="N27" s="83"/>
      <c r="O27" s="83"/>
      <c r="P27" s="83"/>
      <c r="Q27" s="222"/>
      <c r="R27" s="49"/>
      <c r="S27" s="49"/>
      <c r="T27" s="37" t="e">
        <f t="shared" ref="T27:U42" si="1">R27/I27</f>
        <v>#DIV/0!</v>
      </c>
      <c r="U27" s="38" t="e">
        <f t="shared" si="1"/>
        <v>#DIV/0!</v>
      </c>
      <c r="V27" s="55"/>
      <c r="W27" s="14">
        <f>bdRateExtend($C27:$C32,D27:D32,$L27:$L32,$M27:$M32)</f>
        <v>0</v>
      </c>
      <c r="X27" s="14">
        <f>bdRateExtend($C27:$C31,$D27:$D31,$L27:$L31,$M27:$M31)</f>
        <v>0</v>
      </c>
      <c r="Y27" s="14">
        <f>bdRateExtend($C28:$C32,$D28:$D32,$L28:$L32,$M28:$M32)</f>
        <v>0</v>
      </c>
      <c r="Z27" s="14">
        <f>bdRateExtend($C27:$C30,$D27:$D30,$L27:$L30,$M27:$M30)</f>
        <v>0</v>
      </c>
      <c r="AA27" s="14">
        <f>bdRateExtend($C28:$C31,$D28:$D31,$L28:$L31,$M28:$M31)</f>
        <v>0</v>
      </c>
      <c r="AB27" s="14">
        <f>bdRateExtend($C29:$C32,$D29:$D32,$L29:$L32,$M29:$M32)</f>
        <v>0</v>
      </c>
      <c r="AC27" s="145" cm="1">
        <f t="array" ref="AC27">bdRatePareto(AO27:AO32,AP27:AP32,AQ27:AQ32,AR27:AR32)</f>
        <v>0</v>
      </c>
      <c r="AD27" s="14" t="e">
        <f>bdRateExtend($C27:$C32,E27:E32,$L27:$L32,N27:N32)</f>
        <v>#VALUE!</v>
      </c>
      <c r="AE27" s="14" t="e">
        <f>bdRateExtend($C27:$C32,F27:F32,$L27:$L32,O27:O32)</f>
        <v>#VALUE!</v>
      </c>
      <c r="AF27" s="15" t="e">
        <f>bdRateExtend($C27:$C32,G27:G32,$L27:$L32,P27:P32)</f>
        <v>#VALUE!</v>
      </c>
      <c r="AG27" s="72">
        <f>bdPSNRExtend($C27:$C32,$D27:$D32,$L27:$L32,$M27:$M32)</f>
        <v>0</v>
      </c>
      <c r="AN27" s="240" t="s">
        <v>213</v>
      </c>
      <c r="AO27" s="240" cm="1">
        <f t="array" ref="AO27">pareto($C27:$C32,$D27:$D32,1,"rate",$AQ$1,$AN28,$AN30)</f>
        <v>2813.9751999999999</v>
      </c>
      <c r="AP27" s="240" cm="1">
        <f t="array" ref="AP27">pareto($C27:$C32,$D27:$D32,1,"dist",$AQ$1,$AN28,$AN30)</f>
        <v>71.541184000000001</v>
      </c>
      <c r="AQ27" s="240" cm="1">
        <f t="array" ref="AQ27">pareto($L27:$L32,$M27:$M32,1,"rate",$AQ$1,$AN28,$AN30)</f>
        <v>2813.9751999999999</v>
      </c>
      <c r="AR27" s="240" cm="1">
        <f t="array" ref="AR27">pareto($L27:$L32,$M27:$M32,1,"dist",$AQ$1,$AN28,$AN30)</f>
        <v>71.541184000000001</v>
      </c>
      <c r="AS27" s="240"/>
      <c r="AT27" s="240"/>
      <c r="AU27" s="240"/>
      <c r="AV27" s="240"/>
      <c r="AW27" s="240"/>
      <c r="AX27" s="240"/>
    </row>
    <row r="28" spans="1:50" ht="12" customHeight="1" x14ac:dyDescent="0.25">
      <c r="A28" s="58"/>
      <c r="B28" s="107" t="s">
        <v>251</v>
      </c>
      <c r="C28" s="267">
        <v>1357.2136</v>
      </c>
      <c r="D28" s="267">
        <v>65.765765799999997</v>
      </c>
      <c r="E28" s="86"/>
      <c r="F28" s="86"/>
      <c r="G28" s="86"/>
      <c r="H28" s="86"/>
      <c r="I28" s="86"/>
      <c r="J28" s="86"/>
      <c r="K28" s="110"/>
      <c r="L28" s="267">
        <v>1357.2136</v>
      </c>
      <c r="M28" s="267">
        <v>65.765765799999997</v>
      </c>
      <c r="N28" s="86"/>
      <c r="O28" s="86"/>
      <c r="P28" s="86"/>
      <c r="Q28" s="222"/>
      <c r="R28" s="49"/>
      <c r="S28" s="49"/>
      <c r="T28" s="37" t="e">
        <f t="shared" si="1"/>
        <v>#DIV/0!</v>
      </c>
      <c r="U28" s="38" t="e">
        <f t="shared" si="1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0">
        <v>69.7</v>
      </c>
      <c r="AO28" s="240" cm="1">
        <f t="array" ref="AO28">pareto($C27:$C32,$D27:$D32,2,"rate",$AQ$1,$AN28,$AN30)</f>
        <v>1357.2136</v>
      </c>
      <c r="AP28" s="240" cm="1">
        <f t="array" ref="AP28">pareto($C27:$C32,$D27:$D32,2,"dist",$AQ$1,$AN28,$AN30)</f>
        <v>65.765765799999997</v>
      </c>
      <c r="AQ28" s="240" cm="1">
        <f t="array" ref="AQ28">pareto($L27:$L32,$M27:$M32,2,"rate",$AQ$1,$AN28,$AN30)</f>
        <v>1357.2136</v>
      </c>
      <c r="AR28" s="240" cm="1">
        <f t="array" ref="AR28">pareto($L27:$L32,$M27:$M32,2,"dist",$AQ$1,$AN28,$AN30)</f>
        <v>65.765765799999997</v>
      </c>
      <c r="AS28" s="240"/>
      <c r="AT28" s="240"/>
      <c r="AU28" s="240"/>
      <c r="AV28" s="240"/>
      <c r="AW28" s="240"/>
      <c r="AX28" s="240"/>
    </row>
    <row r="29" spans="1:50" ht="12" customHeight="1" x14ac:dyDescent="0.25">
      <c r="A29" s="58"/>
      <c r="B29" s="107" t="s">
        <v>252</v>
      </c>
      <c r="C29" s="267">
        <v>855.26</v>
      </c>
      <c r="D29" s="267">
        <v>62.371299899999997</v>
      </c>
      <c r="E29" s="86"/>
      <c r="F29" s="86"/>
      <c r="G29" s="86"/>
      <c r="H29" s="86"/>
      <c r="I29" s="86"/>
      <c r="J29" s="86"/>
      <c r="K29" s="110"/>
      <c r="L29" s="267">
        <v>855.26</v>
      </c>
      <c r="M29" s="267">
        <v>62.371299899999997</v>
      </c>
      <c r="N29" s="86"/>
      <c r="O29" s="86"/>
      <c r="P29" s="86"/>
      <c r="Q29" s="222"/>
      <c r="R29" s="49"/>
      <c r="S29" s="49"/>
      <c r="T29" s="37" t="e">
        <f t="shared" si="1"/>
        <v>#DIV/0!</v>
      </c>
      <c r="U29" s="38" t="e">
        <f t="shared" si="1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0" t="s">
        <v>44</v>
      </c>
      <c r="AO29" s="240" cm="1">
        <f t="array" ref="AO29">pareto($C27:$C32,$D27:$D32,3,"rate",$AQ$1,$AN28,$AN30)</f>
        <v>855.26</v>
      </c>
      <c r="AP29" s="240" cm="1">
        <f t="array" ref="AP29">pareto($C27:$C32,$D27:$D32,3,"dist",$AQ$1,$AN28,$AN30)</f>
        <v>62.371299899999997</v>
      </c>
      <c r="AQ29" s="240" cm="1">
        <f t="array" ref="AQ29">pareto($L27:$L32,$M27:$M32,3,"rate",$AQ$1,$AN28,$AN30)</f>
        <v>855.26</v>
      </c>
      <c r="AR29" s="240" cm="1">
        <f t="array" ref="AR29">pareto($L27:$L32,$M27:$M32,3,"dist",$AQ$1,$AN28,$AN30)</f>
        <v>62.371299899999997</v>
      </c>
      <c r="AS29" s="240"/>
      <c r="AT29" s="240"/>
      <c r="AU29" s="240"/>
      <c r="AV29" s="240"/>
      <c r="AW29" s="240"/>
      <c r="AX29" s="240"/>
    </row>
    <row r="30" spans="1:50" ht="12" customHeight="1" x14ac:dyDescent="0.25">
      <c r="A30" s="58"/>
      <c r="B30" s="107" t="s">
        <v>253</v>
      </c>
      <c r="C30" s="267">
        <v>448.68879999999899</v>
      </c>
      <c r="D30" s="267">
        <v>55.984555999999998</v>
      </c>
      <c r="E30" s="86"/>
      <c r="F30" s="86"/>
      <c r="G30" s="86"/>
      <c r="H30" s="86"/>
      <c r="I30" s="86"/>
      <c r="J30" s="86"/>
      <c r="K30" s="110"/>
      <c r="L30" s="267">
        <v>448.68879999999899</v>
      </c>
      <c r="M30" s="267">
        <v>55.984555999999998</v>
      </c>
      <c r="N30" s="86"/>
      <c r="O30" s="86"/>
      <c r="P30" s="86"/>
      <c r="Q30" s="222"/>
      <c r="R30" s="49"/>
      <c r="S30" s="49"/>
      <c r="T30" s="37" t="e">
        <f t="shared" si="1"/>
        <v>#DIV/0!</v>
      </c>
      <c r="U30" s="38" t="e">
        <f t="shared" si="1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0">
        <v>25</v>
      </c>
      <c r="AO30" s="240" cm="1">
        <f t="array" ref="AO30">pareto($C27:$C32,$D27:$D32,4,"rate",$AQ$1,$AN28,$AN30)</f>
        <v>448.68879999999899</v>
      </c>
      <c r="AP30" s="240" cm="1">
        <f t="array" ref="AP30">pareto($C27:$C32,$D27:$D32,4,"dist",$AQ$1,$AN28,$AN30)</f>
        <v>55.984555999999998</v>
      </c>
      <c r="AQ30" s="240" cm="1">
        <f t="array" ref="AQ30">pareto($L27:$L32,$M27:$M32,4,"rate",$AQ$1,$AN28,$AN30)</f>
        <v>448.68879999999899</v>
      </c>
      <c r="AR30" s="240" cm="1">
        <f t="array" ref="AR30">pareto($L27:$L32,$M27:$M32,4,"dist",$AQ$1,$AN28,$AN30)</f>
        <v>55.984555999999998</v>
      </c>
      <c r="AS30" s="240"/>
      <c r="AT30" s="240"/>
      <c r="AU30" s="240"/>
      <c r="AV30" s="240"/>
      <c r="AW30" s="240"/>
      <c r="AX30" s="240"/>
    </row>
    <row r="31" spans="1:50" ht="12" customHeight="1" x14ac:dyDescent="0.25">
      <c r="A31" s="58"/>
      <c r="B31" s="107" t="s">
        <v>254</v>
      </c>
      <c r="C31" s="267">
        <v>232.27359999999999</v>
      </c>
      <c r="D31" s="267">
        <v>43.581081099999999</v>
      </c>
      <c r="E31" s="86"/>
      <c r="F31" s="86"/>
      <c r="G31" s="86"/>
      <c r="H31" s="86"/>
      <c r="I31" s="86"/>
      <c r="J31" s="86"/>
      <c r="K31" s="110"/>
      <c r="L31" s="267">
        <v>232.27359999999999</v>
      </c>
      <c r="M31" s="267">
        <v>43.581081099999999</v>
      </c>
      <c r="N31" s="86"/>
      <c r="O31" s="86"/>
      <c r="P31" s="86"/>
      <c r="Q31" s="222"/>
      <c r="R31" s="49"/>
      <c r="S31" s="49"/>
      <c r="T31" s="37" t="e">
        <f t="shared" si="1"/>
        <v>#DIV/0!</v>
      </c>
      <c r="U31" s="38" t="e">
        <f t="shared" si="1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0"/>
      <c r="AO31" s="240" cm="1">
        <f t="array" ref="AO31">pareto($C27:$C32,$D27:$D32,5,"rate",$AQ$1,$AN28,$AN30)</f>
        <v>232.27359999999999</v>
      </c>
      <c r="AP31" s="240" cm="1">
        <f t="array" ref="AP31">pareto($C27:$C32,$D27:$D32,5,"dist",$AQ$1,$AN28,$AN30)</f>
        <v>43.581081099999999</v>
      </c>
      <c r="AQ31" s="240" cm="1">
        <f t="array" ref="AQ31">pareto($L27:$L32,$M27:$M32,5,"rate",$AQ$1,$AN28,$AN30)</f>
        <v>232.27359999999999</v>
      </c>
      <c r="AR31" s="240" cm="1">
        <f t="array" ref="AR31">pareto($L27:$L32,$M27:$M32,5,"dist",$AQ$1,$AN28,$AN30)</f>
        <v>43.581081099999999</v>
      </c>
      <c r="AS31" s="240"/>
      <c r="AT31" s="240"/>
      <c r="AU31" s="240"/>
      <c r="AV31" s="240"/>
      <c r="AW31" s="240"/>
      <c r="AX31" s="240"/>
    </row>
    <row r="32" spans="1:50" ht="12" customHeight="1" thickBot="1" x14ac:dyDescent="0.3">
      <c r="A32" s="45"/>
      <c r="B32" s="108" t="s">
        <v>255</v>
      </c>
      <c r="C32" s="267">
        <v>124.522399999999</v>
      </c>
      <c r="D32" s="267">
        <v>11.9208494</v>
      </c>
      <c r="E32" s="94"/>
      <c r="F32" s="94"/>
      <c r="G32" s="94"/>
      <c r="H32" s="94"/>
      <c r="I32" s="94"/>
      <c r="J32" s="94"/>
      <c r="K32" s="110"/>
      <c r="L32" s="267">
        <v>124.522399999999</v>
      </c>
      <c r="M32" s="267">
        <v>11.9208494</v>
      </c>
      <c r="N32" s="94"/>
      <c r="O32" s="94"/>
      <c r="P32" s="94"/>
      <c r="Q32" s="223"/>
      <c r="R32" s="50"/>
      <c r="S32" s="50"/>
      <c r="T32" s="3" t="e">
        <f t="shared" si="1"/>
        <v>#DIV/0!</v>
      </c>
      <c r="U32" s="39" t="e">
        <f t="shared" si="1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0"/>
      <c r="AO32" s="240" cm="1">
        <f t="array" ref="AO32">pareto($C27:$C32,$D27:$D32,6,"rate",$AQ$1,$AN28,$AN30)</f>
        <v>124.522399999999</v>
      </c>
      <c r="AP32" s="240" cm="1">
        <f t="array" ref="AP32">pareto($C27:$C32,$D27:$D32,6,"dist",$AQ$1,$AN28,$AN30)</f>
        <v>11.9208494</v>
      </c>
      <c r="AQ32" s="240" cm="1">
        <f t="array" ref="AQ32">pareto($L27:$L32,$M27:$M32,6,"rate",$AQ$1,$AN28,$AN30)</f>
        <v>124.522399999999</v>
      </c>
      <c r="AR32" s="240" cm="1">
        <f t="array" ref="AR32">pareto($L27:$L32,$M27:$M32,6,"dist",$AQ$1,$AN28,$AN30)</f>
        <v>11.9208494</v>
      </c>
      <c r="AS32" s="240"/>
      <c r="AT32" s="240"/>
      <c r="AU32" s="240"/>
      <c r="AV32" s="240"/>
      <c r="AW32" s="240"/>
      <c r="AX32" s="240"/>
    </row>
    <row r="33" spans="1:50" ht="12" customHeight="1" x14ac:dyDescent="0.25">
      <c r="A33" s="141" t="s">
        <v>234</v>
      </c>
      <c r="B33" s="106" t="s">
        <v>250</v>
      </c>
      <c r="C33" s="267">
        <v>6211.7528000000002</v>
      </c>
      <c r="D33" s="267">
        <v>76.147205799999995</v>
      </c>
      <c r="E33" s="83"/>
      <c r="F33" s="83"/>
      <c r="G33" s="83"/>
      <c r="H33" s="83"/>
      <c r="I33" s="83"/>
      <c r="J33" s="83"/>
      <c r="K33" s="110"/>
      <c r="L33" s="267">
        <v>6211.7528000000002</v>
      </c>
      <c r="M33" s="267">
        <v>76.147205799999995</v>
      </c>
      <c r="N33" s="83"/>
      <c r="O33" s="83"/>
      <c r="P33" s="83"/>
      <c r="Q33" s="222"/>
      <c r="R33" s="49"/>
      <c r="S33" s="49"/>
      <c r="T33" s="37" t="e">
        <f t="shared" si="1"/>
        <v>#DIV/0!</v>
      </c>
      <c r="U33" s="38" t="e">
        <f t="shared" si="1"/>
        <v>#DIV/0!</v>
      </c>
      <c r="V33" s="55"/>
      <c r="W33" s="14">
        <f>bdRateExtend($C33:$C38,D33:D38,$L33:$L38,$M33:$M38)</f>
        <v>0</v>
      </c>
      <c r="X33" s="14">
        <f>bdRateExtend($C33:$C37,$D33:$D37,$L33:$L37,$M33:$M37)</f>
        <v>0</v>
      </c>
      <c r="Y33" s="14">
        <f>bdRateExtend($C34:$C38,$D34:$D38,$L34:$L38,$M34:$M38)</f>
        <v>0</v>
      </c>
      <c r="Z33" s="14">
        <f>bdRateExtend($C33:$C36,$D33:$D36,$L33:$L36,$M33:$M36)</f>
        <v>0</v>
      </c>
      <c r="AA33" s="14">
        <f>bdRateExtend($C34:$C37,$D34:$D37,$L34:$L37,$M34:$M37)</f>
        <v>0</v>
      </c>
      <c r="AB33" s="14">
        <f>bdRateExtend($C35:$C38,$D35:$D38,$L35:$L38,$M35:$M38)</f>
        <v>0</v>
      </c>
      <c r="AC33" s="145" cm="1">
        <f t="array" ref="AC33">bdRatePareto(AO33:AO38,AP33:AP38,AQ33:AQ38,AR33:AR38)</f>
        <v>0</v>
      </c>
      <c r="AD33" s="14" t="e">
        <f>bdRateExtend($C33:$C38,E33:E38,$L33:$L38,N33:N38)</f>
        <v>#VALUE!</v>
      </c>
      <c r="AE33" s="14" t="e">
        <f>bdRateExtend($C33:$C38,F33:F38,$L33:$L38,O33:O38)</f>
        <v>#VALUE!</v>
      </c>
      <c r="AF33" s="15" t="e">
        <f>bdRateExtend($C33:$C38,G33:G38,$L33:$L38,P33:P38)</f>
        <v>#VALUE!</v>
      </c>
      <c r="AG33" s="72">
        <f>bdPSNRExtend($C33:$C38,$D33:$D38,$L33:$L38,$M33:$M38)</f>
        <v>0</v>
      </c>
      <c r="AN33" s="240" t="s">
        <v>213</v>
      </c>
      <c r="AO33" s="240" cm="1">
        <f t="array" ref="AO33">pareto($C33:$C38,$D33:$D38,1,"rate",$AQ$1,$AN34,$AN36)</f>
        <v>6211.7528000000002</v>
      </c>
      <c r="AP33" s="240" cm="1">
        <f t="array" ref="AP33">pareto($C33:$C38,$D33:$D38,1,"dist",$AQ$1,$AN34,$AN36)</f>
        <v>76.147205799999995</v>
      </c>
      <c r="AQ33" s="240" cm="1">
        <f t="array" ref="AQ33">pareto($L33:$L38,$M33:$M38,1,"rate",$AQ$1,$AN34,$AN36)</f>
        <v>6211.7528000000002</v>
      </c>
      <c r="AR33" s="240" cm="1">
        <f t="array" ref="AR33">pareto($L33:$L38,$M33:$M38,1,"dist",$AQ$1,$AN34,$AN36)</f>
        <v>76.147205799999995</v>
      </c>
      <c r="AS33" s="240"/>
      <c r="AT33" s="240"/>
      <c r="AU33" s="240"/>
      <c r="AV33" s="240"/>
      <c r="AW33" s="240"/>
      <c r="AX33" s="240"/>
    </row>
    <row r="34" spans="1:50" ht="12" customHeight="1" x14ac:dyDescent="0.25">
      <c r="A34" s="58"/>
      <c r="B34" s="107" t="s">
        <v>251</v>
      </c>
      <c r="C34" s="267">
        <v>3760.3743999999901</v>
      </c>
      <c r="D34" s="267">
        <v>74.632742699999994</v>
      </c>
      <c r="E34" s="86"/>
      <c r="F34" s="86"/>
      <c r="G34" s="86"/>
      <c r="H34" s="86"/>
      <c r="I34" s="86"/>
      <c r="J34" s="86"/>
      <c r="K34" s="110"/>
      <c r="L34" s="267">
        <v>3760.3743999999901</v>
      </c>
      <c r="M34" s="267">
        <v>74.632742699999994</v>
      </c>
      <c r="N34" s="86"/>
      <c r="O34" s="86"/>
      <c r="P34" s="86"/>
      <c r="Q34" s="222"/>
      <c r="R34" s="49"/>
      <c r="S34" s="49"/>
      <c r="T34" s="37" t="e">
        <f t="shared" si="1"/>
        <v>#DIV/0!</v>
      </c>
      <c r="U34" s="38" t="e">
        <f t="shared" si="1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0">
        <v>73</v>
      </c>
      <c r="AO34" s="240" cm="1">
        <f t="array" ref="AO34">pareto($C33:$C38,$D33:$D38,2,"rate",$AQ$1,$AN34,$AN36)</f>
        <v>3760.3743999999901</v>
      </c>
      <c r="AP34" s="240" cm="1">
        <f t="array" ref="AP34">pareto($C33:$C38,$D33:$D38,2,"dist",$AQ$1,$AN34,$AN36)</f>
        <v>74.632742699999994</v>
      </c>
      <c r="AQ34" s="240" cm="1">
        <f t="array" ref="AQ34">pareto($L33:$L38,$M33:$M38,2,"rate",$AQ$1,$AN34,$AN36)</f>
        <v>3760.3743999999901</v>
      </c>
      <c r="AR34" s="240" cm="1">
        <f t="array" ref="AR34">pareto($L33:$L38,$M33:$M38,2,"dist",$AQ$1,$AN34,$AN36)</f>
        <v>74.632742699999994</v>
      </c>
      <c r="AS34" s="240"/>
      <c r="AT34" s="240"/>
      <c r="AU34" s="240"/>
      <c r="AV34" s="240"/>
      <c r="AW34" s="240"/>
      <c r="AX34" s="240"/>
    </row>
    <row r="35" spans="1:50" ht="12" customHeight="1" x14ac:dyDescent="0.25">
      <c r="A35" s="58"/>
      <c r="B35" s="107" t="s">
        <v>252</v>
      </c>
      <c r="C35" s="267">
        <v>2204.3456000000001</v>
      </c>
      <c r="D35" s="267">
        <v>71.664394999999999</v>
      </c>
      <c r="E35" s="86"/>
      <c r="F35" s="86"/>
      <c r="G35" s="86"/>
      <c r="H35" s="86"/>
      <c r="I35" s="86"/>
      <c r="J35" s="86"/>
      <c r="K35" s="110"/>
      <c r="L35" s="267">
        <v>2204.3456000000001</v>
      </c>
      <c r="M35" s="267">
        <v>71.664394999999999</v>
      </c>
      <c r="N35" s="86"/>
      <c r="O35" s="86"/>
      <c r="P35" s="86"/>
      <c r="Q35" s="222"/>
      <c r="R35" s="49"/>
      <c r="S35" s="49"/>
      <c r="T35" s="37" t="e">
        <f t="shared" si="1"/>
        <v>#DIV/0!</v>
      </c>
      <c r="U35" s="38" t="e">
        <f t="shared" si="1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0" t="s">
        <v>44</v>
      </c>
      <c r="AO35" s="240" cm="1">
        <f t="array" ref="AO35">pareto($C33:$C38,$D33:$D38,3,"rate",$AQ$1,$AN34,$AN36)</f>
        <v>2204.3456000000001</v>
      </c>
      <c r="AP35" s="240" cm="1">
        <f t="array" ref="AP35">pareto($C33:$C38,$D33:$D38,3,"dist",$AQ$1,$AN34,$AN36)</f>
        <v>71.664394999999999</v>
      </c>
      <c r="AQ35" s="240" cm="1">
        <f t="array" ref="AQ35">pareto($L33:$L38,$M33:$M38,3,"rate",$AQ$1,$AN34,$AN36)</f>
        <v>2204.3456000000001</v>
      </c>
      <c r="AR35" s="240" cm="1">
        <f t="array" ref="AR35">pareto($L33:$L38,$M33:$M38,3,"dist",$AQ$1,$AN34,$AN36)</f>
        <v>71.664394999999999</v>
      </c>
      <c r="AS35" s="240"/>
      <c r="AT35" s="240"/>
      <c r="AU35" s="240"/>
      <c r="AV35" s="240"/>
      <c r="AW35" s="240"/>
      <c r="AX35" s="240"/>
    </row>
    <row r="36" spans="1:50" ht="12" customHeight="1" x14ac:dyDescent="0.25">
      <c r="A36" s="58"/>
      <c r="B36" s="107" t="s">
        <v>253</v>
      </c>
      <c r="C36" s="267">
        <v>1212.4096</v>
      </c>
      <c r="D36" s="267">
        <v>66.197183100000004</v>
      </c>
      <c r="E36" s="86"/>
      <c r="F36" s="86"/>
      <c r="G36" s="86"/>
      <c r="H36" s="86"/>
      <c r="I36" s="86"/>
      <c r="J36" s="86"/>
      <c r="K36" s="110"/>
      <c r="L36" s="267">
        <v>1212.4096</v>
      </c>
      <c r="M36" s="267">
        <v>66.197183100000004</v>
      </c>
      <c r="N36" s="86"/>
      <c r="O36" s="86"/>
      <c r="P36" s="86"/>
      <c r="Q36" s="222"/>
      <c r="R36" s="49"/>
      <c r="S36" s="49"/>
      <c r="T36" s="37" t="e">
        <f t="shared" si="1"/>
        <v>#DIV/0!</v>
      </c>
      <c r="U36" s="38" t="e">
        <f t="shared" si="1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0">
        <v>25</v>
      </c>
      <c r="AO36" s="240" cm="1">
        <f t="array" ref="AO36">pareto($C33:$C38,$D33:$D38,4,"rate",$AQ$1,$AN34,$AN36)</f>
        <v>1212.4096</v>
      </c>
      <c r="AP36" s="240" cm="1">
        <f t="array" ref="AP36">pareto($C33:$C38,$D33:$D38,4,"dist",$AQ$1,$AN34,$AN36)</f>
        <v>66.197183100000004</v>
      </c>
      <c r="AQ36" s="240" cm="1">
        <f t="array" ref="AQ36">pareto($L33:$L38,$M33:$M38,4,"rate",$AQ$1,$AN34,$AN36)</f>
        <v>1212.4096</v>
      </c>
      <c r="AR36" s="240" cm="1">
        <f t="array" ref="AR36">pareto($L33:$L38,$M33:$M38,4,"dist",$AQ$1,$AN34,$AN36)</f>
        <v>66.197183100000004</v>
      </c>
      <c r="AS36" s="240"/>
      <c r="AT36" s="240"/>
      <c r="AU36" s="240"/>
      <c r="AV36" s="240"/>
      <c r="AW36" s="240"/>
      <c r="AX36" s="240"/>
    </row>
    <row r="37" spans="1:50" ht="12" customHeight="1" x14ac:dyDescent="0.25">
      <c r="A37" s="58"/>
      <c r="B37" s="107" t="s">
        <v>254</v>
      </c>
      <c r="C37" s="267">
        <v>553.95920000000001</v>
      </c>
      <c r="D37" s="267">
        <v>58.352264099999999</v>
      </c>
      <c r="E37" s="86"/>
      <c r="F37" s="86"/>
      <c r="G37" s="86"/>
      <c r="H37" s="86"/>
      <c r="I37" s="86"/>
      <c r="J37" s="86"/>
      <c r="K37" s="110"/>
      <c r="L37" s="267">
        <v>553.95920000000001</v>
      </c>
      <c r="M37" s="267">
        <v>58.352264099999999</v>
      </c>
      <c r="N37" s="86"/>
      <c r="O37" s="86"/>
      <c r="P37" s="86"/>
      <c r="Q37" s="222"/>
      <c r="R37" s="49"/>
      <c r="S37" s="49"/>
      <c r="T37" s="37" t="e">
        <f t="shared" si="1"/>
        <v>#DIV/0!</v>
      </c>
      <c r="U37" s="38" t="e">
        <f t="shared" si="1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0"/>
      <c r="AO37" s="240" cm="1">
        <f t="array" ref="AO37">pareto($C33:$C38,$D33:$D38,5,"rate",$AQ$1,$AN34,$AN36)</f>
        <v>553.95920000000001</v>
      </c>
      <c r="AP37" s="240" cm="1">
        <f t="array" ref="AP37">pareto($C33:$C38,$D33:$D38,5,"dist",$AQ$1,$AN34,$AN36)</f>
        <v>58.352264099999999</v>
      </c>
      <c r="AQ37" s="240" cm="1">
        <f t="array" ref="AQ37">pareto($L33:$L38,$M33:$M38,5,"rate",$AQ$1,$AN34,$AN36)</f>
        <v>553.95920000000001</v>
      </c>
      <c r="AR37" s="240" cm="1">
        <f t="array" ref="AR37">pareto($L33:$L38,$M33:$M38,5,"dist",$AQ$1,$AN34,$AN36)</f>
        <v>58.352264099999999</v>
      </c>
      <c r="AS37" s="240"/>
      <c r="AT37" s="240"/>
      <c r="AU37" s="240"/>
      <c r="AV37" s="240"/>
      <c r="AW37" s="240"/>
      <c r="AX37" s="240"/>
    </row>
    <row r="38" spans="1:50" ht="12" customHeight="1" thickBot="1" x14ac:dyDescent="0.3">
      <c r="A38" s="45"/>
      <c r="B38" s="108" t="s">
        <v>255</v>
      </c>
      <c r="C38" s="267">
        <v>279.392</v>
      </c>
      <c r="D38" s="267">
        <v>33.999697099999999</v>
      </c>
      <c r="E38" s="94"/>
      <c r="F38" s="94"/>
      <c r="G38" s="94"/>
      <c r="H38" s="94"/>
      <c r="I38" s="94"/>
      <c r="J38" s="94"/>
      <c r="K38" s="110"/>
      <c r="L38" s="267">
        <v>279.392</v>
      </c>
      <c r="M38" s="267">
        <v>33.999697099999999</v>
      </c>
      <c r="N38" s="94"/>
      <c r="O38" s="94"/>
      <c r="P38" s="94"/>
      <c r="Q38" s="223"/>
      <c r="R38" s="50"/>
      <c r="S38" s="50"/>
      <c r="T38" s="3" t="e">
        <f t="shared" si="1"/>
        <v>#DIV/0!</v>
      </c>
      <c r="U38" s="39" t="e">
        <f t="shared" si="1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0"/>
      <c r="AO38" s="240" cm="1">
        <f t="array" ref="AO38">pareto($C33:$C38,$D33:$D38,6,"rate",$AQ$1,$AN34,$AN36)</f>
        <v>279.392</v>
      </c>
      <c r="AP38" s="240" cm="1">
        <f t="array" ref="AP38">pareto($C33:$C38,$D33:$D38,6,"dist",$AQ$1,$AN34,$AN36)</f>
        <v>33.999697099999999</v>
      </c>
      <c r="AQ38" s="240" cm="1">
        <f t="array" ref="AQ38">pareto($L33:$L38,$M33:$M38,6,"rate",$AQ$1,$AN34,$AN36)</f>
        <v>279.392</v>
      </c>
      <c r="AR38" s="240" cm="1">
        <f t="array" ref="AR38">pareto($L33:$L38,$M33:$M38,6,"dist",$AQ$1,$AN34,$AN36)</f>
        <v>33.999697099999999</v>
      </c>
      <c r="AS38" s="240"/>
      <c r="AT38" s="240"/>
      <c r="AU38" s="240"/>
      <c r="AV38" s="240"/>
      <c r="AW38" s="240"/>
      <c r="AX38" s="240"/>
    </row>
    <row r="39" spans="1:50" ht="12" customHeight="1" x14ac:dyDescent="0.25">
      <c r="A39" s="141" t="s">
        <v>235</v>
      </c>
      <c r="B39" s="106" t="s">
        <v>250</v>
      </c>
      <c r="C39" s="267">
        <v>4995.8296</v>
      </c>
      <c r="D39" s="267">
        <v>72.381756800000005</v>
      </c>
      <c r="E39" s="83"/>
      <c r="F39" s="83"/>
      <c r="G39" s="83"/>
      <c r="H39" s="83"/>
      <c r="I39" s="83"/>
      <c r="J39" s="83"/>
      <c r="K39" s="110"/>
      <c r="L39" s="267">
        <v>4995.8296</v>
      </c>
      <c r="M39" s="267">
        <v>72.381756800000005</v>
      </c>
      <c r="N39" s="83"/>
      <c r="O39" s="83"/>
      <c r="P39" s="83"/>
      <c r="Q39" s="222"/>
      <c r="R39" s="49"/>
      <c r="S39" s="49"/>
      <c r="T39" s="37" t="e">
        <f t="shared" si="1"/>
        <v>#DIV/0!</v>
      </c>
      <c r="U39" s="38" t="e">
        <f t="shared" si="1"/>
        <v>#DIV/0!</v>
      </c>
      <c r="V39" s="55"/>
      <c r="W39" s="14">
        <f>bdRateExtend($C39:$C44,D39:D44,$L39:$L44,$M39:$M44)</f>
        <v>0</v>
      </c>
      <c r="X39" s="14">
        <f>bdRateExtend($C39:$C43,$D39:$D43,$L39:$L43,$M39:$M43)</f>
        <v>0</v>
      </c>
      <c r="Y39" s="14">
        <f>bdRateExtend($C40:$C44,$D40:$D44,$L40:$L44,$M40:$M44)</f>
        <v>0</v>
      </c>
      <c r="Z39" s="14">
        <f>bdRateExtend($C39:$C42,$D39:$D42,$L39:$L42,$M39:$M42)</f>
        <v>0</v>
      </c>
      <c r="AA39" s="14">
        <f>bdRateExtend($C40:$C43,$D40:$D43,$L40:$L43,$M40:$M43)</f>
        <v>0</v>
      </c>
      <c r="AB39" s="14">
        <f>bdRateExtend($C41:$C44,$D41:$D44,$L41:$L44,$M41:$M44)</f>
        <v>0</v>
      </c>
      <c r="AC39" s="145" cm="1">
        <f t="array" ref="AC39">bdRatePareto(AO39:AO44,AP39:AP44,AQ39:AQ44,AR39:AR44)</f>
        <v>0</v>
      </c>
      <c r="AD39" s="14" t="e">
        <f>bdRateExtend($C39:$C44,E39:E44,$L39:$L44,N39:N44)</f>
        <v>#VALUE!</v>
      </c>
      <c r="AE39" s="14" t="e">
        <f>bdRateExtend($C39:$C44,F39:F44,$L39:$L44,O39:O44)</f>
        <v>#VALUE!</v>
      </c>
      <c r="AF39" s="15" t="e">
        <f>bdRateExtend($C39:$C44,G39:G44,$L39:$L44,P39:P44)</f>
        <v>#VALUE!</v>
      </c>
      <c r="AG39" s="72">
        <f>bdPSNRExtend($C39:$C44,$D39:$D44,$L39:$L44,$M39:$M44)</f>
        <v>0</v>
      </c>
      <c r="AN39" s="240" t="s">
        <v>213</v>
      </c>
      <c r="AO39" s="240" cm="1">
        <f t="array" ref="AO39">pareto($C39:$C44,$D39:$D44,1,"rate",$AQ$1,$AN40,$AN42)</f>
        <v>4995.8296</v>
      </c>
      <c r="AP39" s="240" cm="1">
        <f t="array" ref="AP39">pareto($C39:$C44,$D39:$D44,1,"dist",$AQ$1,$AN40,$AN42)</f>
        <v>72.381756800000005</v>
      </c>
      <c r="AQ39" s="240" cm="1">
        <f t="array" ref="AQ39">pareto($L39:$L44,$M39:$M44,1,"rate",$AQ$1,$AN40,$AN42)</f>
        <v>4995.8296</v>
      </c>
      <c r="AR39" s="240" cm="1">
        <f t="array" ref="AR39">pareto($L39:$L44,$M39:$M44,1,"dist",$AQ$1,$AN40,$AN42)</f>
        <v>72.381756800000005</v>
      </c>
      <c r="AS39" s="240"/>
      <c r="AT39" s="240"/>
      <c r="AU39" s="240"/>
      <c r="AV39" s="240"/>
      <c r="AW39" s="240"/>
      <c r="AX39" s="240"/>
    </row>
    <row r="40" spans="1:50" ht="12" customHeight="1" x14ac:dyDescent="0.25">
      <c r="A40" s="58"/>
      <c r="B40" s="107" t="s">
        <v>251</v>
      </c>
      <c r="C40" s="267">
        <v>3559.2855999999902</v>
      </c>
      <c r="D40" s="267">
        <v>70.411035999999996</v>
      </c>
      <c r="E40" s="86"/>
      <c r="F40" s="86"/>
      <c r="G40" s="86"/>
      <c r="H40" s="86"/>
      <c r="I40" s="86"/>
      <c r="J40" s="86"/>
      <c r="K40" s="110"/>
      <c r="L40" s="267">
        <v>3559.2855999999902</v>
      </c>
      <c r="M40" s="267">
        <v>70.411035999999996</v>
      </c>
      <c r="N40" s="86"/>
      <c r="O40" s="86"/>
      <c r="P40" s="86"/>
      <c r="Q40" s="222"/>
      <c r="R40" s="49"/>
      <c r="S40" s="49"/>
      <c r="T40" s="37" t="e">
        <f t="shared" si="1"/>
        <v>#DIV/0!</v>
      </c>
      <c r="U40" s="38" t="e">
        <f t="shared" si="1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0">
        <v>70</v>
      </c>
      <c r="AO40" s="240" cm="1">
        <f t="array" ref="AO40">pareto($C39:$C44,$D39:$D44,2,"rate",$AQ$1,$AN40,$AN42)</f>
        <v>3559.2855999999902</v>
      </c>
      <c r="AP40" s="240" cm="1">
        <f t="array" ref="AP40">pareto($C39:$C44,$D39:$D44,2,"dist",$AQ$1,$AN40,$AN42)</f>
        <v>70.411035999999996</v>
      </c>
      <c r="AQ40" s="240" cm="1">
        <f t="array" ref="AQ40">pareto($L39:$L44,$M39:$M44,2,"rate",$AQ$1,$AN40,$AN42)</f>
        <v>3559.2855999999902</v>
      </c>
      <c r="AR40" s="240" cm="1">
        <f t="array" ref="AR40">pareto($L39:$L44,$M39:$M44,2,"dist",$AQ$1,$AN40,$AN42)</f>
        <v>70.411035999999996</v>
      </c>
      <c r="AS40" s="240"/>
      <c r="AT40" s="240"/>
      <c r="AU40" s="240"/>
      <c r="AV40" s="240"/>
      <c r="AW40" s="240"/>
      <c r="AX40" s="240"/>
    </row>
    <row r="41" spans="1:50" ht="12" customHeight="1" x14ac:dyDescent="0.25">
      <c r="A41" s="58"/>
      <c r="B41" s="107" t="s">
        <v>252</v>
      </c>
      <c r="C41" s="267">
        <v>1949.4056</v>
      </c>
      <c r="D41" s="267">
        <v>65.230855899999995</v>
      </c>
      <c r="E41" s="86"/>
      <c r="F41" s="86"/>
      <c r="G41" s="86"/>
      <c r="H41" s="86"/>
      <c r="I41" s="86"/>
      <c r="J41" s="86"/>
      <c r="K41" s="110"/>
      <c r="L41" s="267">
        <v>1949.4056</v>
      </c>
      <c r="M41" s="267">
        <v>65.230855899999995</v>
      </c>
      <c r="N41" s="86"/>
      <c r="O41" s="86"/>
      <c r="P41" s="86"/>
      <c r="Q41" s="222"/>
      <c r="R41" s="49"/>
      <c r="S41" s="49"/>
      <c r="T41" s="37" t="e">
        <f t="shared" si="1"/>
        <v>#DIV/0!</v>
      </c>
      <c r="U41" s="38" t="e">
        <f t="shared" si="1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0" t="s">
        <v>44</v>
      </c>
      <c r="AO41" s="240" cm="1">
        <f t="array" ref="AO41">pareto($C39:$C44,$D39:$D44,3,"rate",$AQ$1,$AN40,$AN42)</f>
        <v>1949.4056</v>
      </c>
      <c r="AP41" s="240" cm="1">
        <f t="array" ref="AP41">pareto($C39:$C44,$D39:$D44,3,"dist",$AQ$1,$AN40,$AN42)</f>
        <v>65.230855899999995</v>
      </c>
      <c r="AQ41" s="240" cm="1">
        <f t="array" ref="AQ41">pareto($L39:$L44,$M39:$M44,3,"rate",$AQ$1,$AN40,$AN42)</f>
        <v>1949.4056</v>
      </c>
      <c r="AR41" s="240" cm="1">
        <f t="array" ref="AR41">pareto($L39:$L44,$M39:$M44,3,"dist",$AQ$1,$AN40,$AN42)</f>
        <v>65.230855899999995</v>
      </c>
      <c r="AS41" s="240"/>
      <c r="AT41" s="240"/>
      <c r="AU41" s="240"/>
      <c r="AV41" s="240"/>
      <c r="AW41" s="240"/>
      <c r="AX41" s="240"/>
    </row>
    <row r="42" spans="1:50" ht="12" customHeight="1" x14ac:dyDescent="0.25">
      <c r="A42" s="58"/>
      <c r="B42" s="107" t="s">
        <v>253</v>
      </c>
      <c r="C42" s="267">
        <v>1001.1064</v>
      </c>
      <c r="D42" s="267">
        <v>57.122747699999998</v>
      </c>
      <c r="E42" s="86"/>
      <c r="F42" s="86"/>
      <c r="G42" s="86"/>
      <c r="H42" s="86"/>
      <c r="I42" s="86"/>
      <c r="J42" s="86"/>
      <c r="K42" s="110"/>
      <c r="L42" s="267">
        <v>1001.1064</v>
      </c>
      <c r="M42" s="267">
        <v>57.122747699999998</v>
      </c>
      <c r="N42" s="86"/>
      <c r="O42" s="86"/>
      <c r="P42" s="86"/>
      <c r="Q42" s="222"/>
      <c r="R42" s="49"/>
      <c r="S42" s="49"/>
      <c r="T42" s="37" t="e">
        <f t="shared" si="1"/>
        <v>#DIV/0!</v>
      </c>
      <c r="U42" s="38" t="e">
        <f t="shared" si="1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0">
        <v>25</v>
      </c>
      <c r="AO42" s="240" cm="1">
        <f t="array" ref="AO42">pareto($C39:$C44,$D39:$D44,4,"rate",$AQ$1,$AN40,$AN42)</f>
        <v>1001.1064</v>
      </c>
      <c r="AP42" s="240" cm="1">
        <f t="array" ref="AP42">pareto($C39:$C44,$D39:$D44,4,"dist",$AQ$1,$AN40,$AN42)</f>
        <v>57.122747699999998</v>
      </c>
      <c r="AQ42" s="240" cm="1">
        <f t="array" ref="AQ42">pareto($L39:$L44,$M39:$M44,4,"rate",$AQ$1,$AN40,$AN42)</f>
        <v>1001.1064</v>
      </c>
      <c r="AR42" s="240" cm="1">
        <f t="array" ref="AR42">pareto($L39:$L44,$M39:$M44,4,"dist",$AQ$1,$AN40,$AN42)</f>
        <v>57.122747699999998</v>
      </c>
      <c r="AS42" s="240"/>
      <c r="AT42" s="240"/>
      <c r="AU42" s="240"/>
      <c r="AV42" s="240"/>
      <c r="AW42" s="240"/>
      <c r="AX42" s="240"/>
    </row>
    <row r="43" spans="1:50" ht="12" customHeight="1" x14ac:dyDescent="0.25">
      <c r="A43" s="58"/>
      <c r="B43" s="107" t="s">
        <v>254</v>
      </c>
      <c r="C43" s="267">
        <v>425.40719999999999</v>
      </c>
      <c r="D43" s="267">
        <v>46.931306300000003</v>
      </c>
      <c r="E43" s="86"/>
      <c r="F43" s="86"/>
      <c r="G43" s="86"/>
      <c r="H43" s="86"/>
      <c r="I43" s="86"/>
      <c r="J43" s="86"/>
      <c r="K43" s="110"/>
      <c r="L43" s="267">
        <v>425.40719999999999</v>
      </c>
      <c r="M43" s="267">
        <v>46.931306300000003</v>
      </c>
      <c r="N43" s="86"/>
      <c r="O43" s="86"/>
      <c r="P43" s="86"/>
      <c r="Q43" s="222"/>
      <c r="R43" s="49"/>
      <c r="S43" s="49"/>
      <c r="T43" s="37" t="e">
        <f t="shared" ref="T43:U44" si="2">R43/I43</f>
        <v>#DIV/0!</v>
      </c>
      <c r="U43" s="38" t="e">
        <f t="shared" si="2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0"/>
      <c r="AO43" s="240" cm="1">
        <f t="array" ref="AO43">pareto($C39:$C44,$D39:$D44,5,"rate",$AQ$1,$AN40,$AN42)</f>
        <v>425.40719999999999</v>
      </c>
      <c r="AP43" s="240" cm="1">
        <f t="array" ref="AP43">pareto($C39:$C44,$D39:$D44,5,"dist",$AQ$1,$AN40,$AN42)</f>
        <v>46.931306300000003</v>
      </c>
      <c r="AQ43" s="240" cm="1">
        <f t="array" ref="AQ43">pareto($L39:$L44,$M39:$M44,5,"rate",$AQ$1,$AN40,$AN42)</f>
        <v>425.40719999999999</v>
      </c>
      <c r="AR43" s="240" cm="1">
        <f t="array" ref="AR43">pareto($L39:$L44,$M39:$M44,5,"dist",$AQ$1,$AN40,$AN42)</f>
        <v>46.931306300000003</v>
      </c>
      <c r="AS43" s="240"/>
      <c r="AT43" s="240"/>
      <c r="AU43" s="240"/>
      <c r="AV43" s="240"/>
      <c r="AW43" s="240"/>
      <c r="AX43" s="240"/>
    </row>
    <row r="44" spans="1:50" ht="12" customHeight="1" thickBot="1" x14ac:dyDescent="0.3">
      <c r="A44" s="45"/>
      <c r="B44" s="108" t="s">
        <v>255</v>
      </c>
      <c r="C44" s="267">
        <v>227.42080000000001</v>
      </c>
      <c r="D44" s="267">
        <v>29.701576599999999</v>
      </c>
      <c r="E44" s="94"/>
      <c r="F44" s="94"/>
      <c r="G44" s="94"/>
      <c r="H44" s="94"/>
      <c r="I44" s="94"/>
      <c r="J44" s="94"/>
      <c r="K44" s="111"/>
      <c r="L44" s="267">
        <v>227.42080000000001</v>
      </c>
      <c r="M44" s="267">
        <v>29.701576599999999</v>
      </c>
      <c r="N44" s="94"/>
      <c r="O44" s="94"/>
      <c r="P44" s="94"/>
      <c r="Q44" s="223"/>
      <c r="R44" s="50"/>
      <c r="S44" s="50"/>
      <c r="T44" s="3" t="e">
        <f t="shared" si="2"/>
        <v>#DIV/0!</v>
      </c>
      <c r="U44" s="39" t="e">
        <f t="shared" si="2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0"/>
      <c r="AO44" s="240" cm="1">
        <f t="array" ref="AO44">pareto($C39:$C44,$D39:$D44,6,"rate",$AQ$1,$AN40,$AN42)</f>
        <v>227.42080000000001</v>
      </c>
      <c r="AP44" s="240" cm="1">
        <f t="array" ref="AP44">pareto($C39:$C44,$D39:$D44,6,"dist",$AQ$1,$AN40,$AN42)</f>
        <v>29.701576599999999</v>
      </c>
      <c r="AQ44" s="240" cm="1">
        <f t="array" ref="AQ44">pareto($L39:$L44,$M39:$M44,6,"rate",$AQ$1,$AN40,$AN42)</f>
        <v>227.42080000000001</v>
      </c>
      <c r="AR44" s="240" cm="1">
        <f t="array" ref="AR44">pareto($L39:$L44,$M39:$M44,6,"dist",$AQ$1,$AN40,$AN42)</f>
        <v>29.701576599999999</v>
      </c>
      <c r="AS44" s="240"/>
      <c r="AT44" s="240"/>
      <c r="AU44" s="240"/>
      <c r="AV44" s="240"/>
      <c r="AW44" s="240"/>
      <c r="AX44" s="240"/>
    </row>
    <row r="45" spans="1:50" x14ac:dyDescent="0.25">
      <c r="A45" s="46" t="s">
        <v>210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</row>
    <row r="46" spans="1:50" x14ac:dyDescent="0.25">
      <c r="A46" s="46" t="s">
        <v>211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212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202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207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200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201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35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>
        <f t="shared" ref="W52:AG52" si="3">AVERAGE(W3:W44)</f>
        <v>1.469251716587088E-3</v>
      </c>
      <c r="X52" s="4">
        <f t="shared" si="3"/>
        <v>2.4561549300829988E-3</v>
      </c>
      <c r="Y52" s="4">
        <f t="shared" si="3"/>
        <v>4.9521844219579947E-5</v>
      </c>
      <c r="Z52" s="4">
        <f t="shared" si="3"/>
        <v>7.2582369973697635E-3</v>
      </c>
      <c r="AA52" s="4">
        <f t="shared" si="3"/>
        <v>2.0488625504084496E-4</v>
      </c>
      <c r="AB52" s="4">
        <f t="shared" si="3"/>
        <v>1.5407081959036998E-4</v>
      </c>
      <c r="AC52" s="4">
        <f t="shared" si="3"/>
        <v>1.469251716587088E-3</v>
      </c>
      <c r="AD52" s="4" t="e">
        <f t="shared" si="3"/>
        <v>#VALUE!</v>
      </c>
      <c r="AE52" s="4" t="e">
        <f t="shared" si="3"/>
        <v>#VALUE!</v>
      </c>
      <c r="AF52" s="4" t="e">
        <f t="shared" si="3"/>
        <v>#VALUE!</v>
      </c>
      <c r="AG52" s="4">
        <f t="shared" si="3"/>
        <v>-1.4035468933291316E-2</v>
      </c>
    </row>
    <row r="53" spans="1:33" x14ac:dyDescent="0.25">
      <c r="A53" s="46" t="s">
        <v>36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37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7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8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77" priority="73" operator="greaterThan">
      <formula>0.03</formula>
    </cfRule>
    <cfRule type="cellIs" dxfId="76" priority="74" stopIfTrue="1" operator="lessThan">
      <formula>-0.03</formula>
    </cfRule>
  </conditionalFormatting>
  <conditionalFormatting sqref="W8 W16:W19 W14">
    <cfRule type="cellIs" dxfId="75" priority="71" operator="greaterThan">
      <formula>0.03</formula>
    </cfRule>
    <cfRule type="cellIs" dxfId="74" priority="72" stopIfTrue="1" operator="lessThan">
      <formula>-0.03</formula>
    </cfRule>
  </conditionalFormatting>
  <conditionalFormatting sqref="W26:AB26 W32:AB32 W38:AB38 W44:AB44">
    <cfRule type="cellIs" dxfId="73" priority="69" operator="greaterThan">
      <formula>0.03</formula>
    </cfRule>
    <cfRule type="cellIs" dxfId="72" priority="70" stopIfTrue="1" operator="lessThan">
      <formula>-0.03</formula>
    </cfRule>
  </conditionalFormatting>
  <conditionalFormatting sqref="AD4:AF7 AD22:AF25">
    <cfRule type="cellIs" dxfId="71" priority="67" operator="greaterThan">
      <formula>0.03</formula>
    </cfRule>
    <cfRule type="cellIs" dxfId="70" priority="68" stopIfTrue="1" operator="lessThan">
      <formula>-0.03</formula>
    </cfRule>
  </conditionalFormatting>
  <conditionalFormatting sqref="AD8:AF8 AD16:AF19 AD14:AF14">
    <cfRule type="cellIs" dxfId="69" priority="65" operator="greaterThan">
      <formula>0.03</formula>
    </cfRule>
    <cfRule type="cellIs" dxfId="68" priority="66" stopIfTrue="1" operator="lessThan">
      <formula>-0.03</formula>
    </cfRule>
  </conditionalFormatting>
  <conditionalFormatting sqref="AD26:AF26 AD32:AF32 AD38:AF38 AD44:AF44">
    <cfRule type="cellIs" dxfId="67" priority="63" operator="greaterThan">
      <formula>0.03</formula>
    </cfRule>
    <cfRule type="cellIs" dxfId="66" priority="64" stopIfTrue="1" operator="lessThan">
      <formula>-0.03</formula>
    </cfRule>
  </conditionalFormatting>
  <conditionalFormatting sqref="AC4:AC7 AC22:AC25">
    <cfRule type="cellIs" dxfId="65" priority="61" operator="greaterThan">
      <formula>0.03</formula>
    </cfRule>
    <cfRule type="cellIs" dxfId="64" priority="62" stopIfTrue="1" operator="lessThan">
      <formula>-0.03</formula>
    </cfRule>
  </conditionalFormatting>
  <conditionalFormatting sqref="AC8 AC16:AC19 AC14">
    <cfRule type="cellIs" dxfId="63" priority="59" operator="greaterThan">
      <formula>0.03</formula>
    </cfRule>
    <cfRule type="cellIs" dxfId="62" priority="60" stopIfTrue="1" operator="lessThan">
      <formula>-0.03</formula>
    </cfRule>
  </conditionalFormatting>
  <conditionalFormatting sqref="AC26 AC32 AC38 AC44">
    <cfRule type="cellIs" dxfId="61" priority="57" operator="greaterThan">
      <formula>0.03</formula>
    </cfRule>
    <cfRule type="cellIs" dxfId="60" priority="58" stopIfTrue="1" operator="lessThan">
      <formula>-0.03</formula>
    </cfRule>
  </conditionalFormatting>
  <conditionalFormatting sqref="AG4:AG8 AG16:AG19 AG10:AG14">
    <cfRule type="cellIs" dxfId="59" priority="55" operator="greaterThan">
      <formula>0.03</formula>
    </cfRule>
    <cfRule type="cellIs" dxfId="58" priority="56" stopIfTrue="1" operator="lessThan">
      <formula>-0.03</formula>
    </cfRule>
  </conditionalFormatting>
  <conditionalFormatting sqref="AG22:AG26 AG28:AG32 AG34:AG38 AG40:AG44">
    <cfRule type="cellIs" dxfId="57" priority="53" operator="greaterThan">
      <formula>0.03</formula>
    </cfRule>
    <cfRule type="cellIs" dxfId="56" priority="54" stopIfTrue="1" operator="lessThan">
      <formula>-0.03</formula>
    </cfRule>
  </conditionalFormatting>
  <conditionalFormatting sqref="W20">
    <cfRule type="cellIs" dxfId="55" priority="51" operator="greaterThan">
      <formula>0.03</formula>
    </cfRule>
    <cfRule type="cellIs" dxfId="54" priority="52" stopIfTrue="1" operator="lessThan">
      <formula>-0.03</formula>
    </cfRule>
  </conditionalFormatting>
  <conditionalFormatting sqref="AD20:AF20">
    <cfRule type="cellIs" dxfId="53" priority="49" operator="greaterThan">
      <formula>0.03</formula>
    </cfRule>
    <cfRule type="cellIs" dxfId="52" priority="50" stopIfTrue="1" operator="lessThan">
      <formula>-0.03</formula>
    </cfRule>
  </conditionalFormatting>
  <conditionalFormatting sqref="AC20">
    <cfRule type="cellIs" dxfId="51" priority="47" operator="greaterThan">
      <formula>0.03</formula>
    </cfRule>
    <cfRule type="cellIs" dxfId="50" priority="48" stopIfTrue="1" operator="lessThan">
      <formula>-0.03</formula>
    </cfRule>
  </conditionalFormatting>
  <conditionalFormatting sqref="AG20">
    <cfRule type="cellIs" dxfId="49" priority="45" operator="greaterThan">
      <formula>0.03</formula>
    </cfRule>
    <cfRule type="cellIs" dxfId="48" priority="46" stopIfTrue="1" operator="lessThan">
      <formula>-0.03</formula>
    </cfRule>
  </conditionalFormatting>
  <conditionalFormatting sqref="X4:AB8 X10:AB14">
    <cfRule type="cellIs" dxfId="47" priority="43" operator="greaterThan">
      <formula>0.03</formula>
    </cfRule>
    <cfRule type="cellIs" dxfId="46" priority="44" stopIfTrue="1" operator="lessThan">
      <formula>-0.03</formula>
    </cfRule>
  </conditionalFormatting>
  <conditionalFormatting sqref="X16:AB20">
    <cfRule type="cellIs" dxfId="45" priority="41" operator="greaterThan">
      <formula>0.03</formula>
    </cfRule>
    <cfRule type="cellIs" dxfId="44" priority="42" stopIfTrue="1" operator="lessThan">
      <formula>-0.03</formula>
    </cfRule>
  </conditionalFormatting>
  <conditionalFormatting sqref="W10:W13">
    <cfRule type="cellIs" dxfId="43" priority="39" operator="greaterThan">
      <formula>0.03</formula>
    </cfRule>
    <cfRule type="cellIs" dxfId="42" priority="40" stopIfTrue="1" operator="lessThan">
      <formula>-0.03</formula>
    </cfRule>
  </conditionalFormatting>
  <conditionalFormatting sqref="AD10:AF13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C10:AC13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W28:AB31">
    <cfRule type="cellIs" dxfId="37" priority="17" operator="greaterThan">
      <formula>0.03</formula>
    </cfRule>
    <cfRule type="cellIs" dxfId="36" priority="18" stopIfTrue="1" operator="lessThan">
      <formula>-0.03</formula>
    </cfRule>
  </conditionalFormatting>
  <conditionalFormatting sqref="AD28:AF31">
    <cfRule type="cellIs" dxfId="35" priority="15" operator="greaterThan">
      <formula>0.03</formula>
    </cfRule>
    <cfRule type="cellIs" dxfId="34" priority="16" stopIfTrue="1" operator="lessThan">
      <formula>-0.03</formula>
    </cfRule>
  </conditionalFormatting>
  <conditionalFormatting sqref="AC28:AC31">
    <cfRule type="cellIs" dxfId="33" priority="13" operator="greaterThan">
      <formula>0.03</formula>
    </cfRule>
    <cfRule type="cellIs" dxfId="32" priority="14" stopIfTrue="1" operator="lessThan">
      <formula>-0.03</formula>
    </cfRule>
  </conditionalFormatting>
  <conditionalFormatting sqref="W34:AB37">
    <cfRule type="cellIs" dxfId="31" priority="11" operator="greaterThan">
      <formula>0.03</formula>
    </cfRule>
    <cfRule type="cellIs" dxfId="30" priority="12" stopIfTrue="1" operator="lessThan">
      <formula>-0.03</formula>
    </cfRule>
  </conditionalFormatting>
  <conditionalFormatting sqref="AD34:AF37">
    <cfRule type="cellIs" dxfId="29" priority="9" operator="greaterThan">
      <formula>0.03</formula>
    </cfRule>
    <cfRule type="cellIs" dxfId="28" priority="10" stopIfTrue="1" operator="lessThan">
      <formula>-0.03</formula>
    </cfRule>
  </conditionalFormatting>
  <conditionalFormatting sqref="AC34:AC37">
    <cfRule type="cellIs" dxfId="27" priority="7" operator="greaterThan">
      <formula>0.03</formula>
    </cfRule>
    <cfRule type="cellIs" dxfId="26" priority="8" stopIfTrue="1" operator="lessThan">
      <formula>-0.03</formula>
    </cfRule>
  </conditionalFormatting>
  <conditionalFormatting sqref="W40:AB43">
    <cfRule type="cellIs" dxfId="25" priority="5" operator="greaterThan">
      <formula>0.03</formula>
    </cfRule>
    <cfRule type="cellIs" dxfId="24" priority="6" stopIfTrue="1" operator="lessThan">
      <formula>-0.03</formula>
    </cfRule>
  </conditionalFormatting>
  <conditionalFormatting sqref="AD40:AF43">
    <cfRule type="cellIs" dxfId="23" priority="3" operator="greaterThan">
      <formula>0.03</formula>
    </cfRule>
    <cfRule type="cellIs" dxfId="22" priority="4" stopIfTrue="1" operator="lessThan">
      <formula>-0.03</formula>
    </cfRule>
  </conditionalFormatting>
  <conditionalFormatting sqref="AC40:AC43">
    <cfRule type="cellIs" dxfId="21" priority="1" operator="greaterThan">
      <formula>0.03</formula>
    </cfRule>
    <cfRule type="cellIs" dxfId="20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6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U50"/>
  <sheetViews>
    <sheetView zoomScaleNormal="100" workbookViewId="0"/>
  </sheetViews>
  <sheetFormatPr defaultColWidth="11" defaultRowHeight="16.5" x14ac:dyDescent="0.25"/>
  <sheetData>
    <row r="1" spans="1:47" ht="17.25" thickBot="1" x14ac:dyDescent="0.3">
      <c r="A1" s="1"/>
      <c r="B1" s="1"/>
      <c r="C1" s="297" t="str">
        <f>"Reference: "&amp;Summary!O4</f>
        <v>Reference: Anchor (v0.6.1 VTM inner)</v>
      </c>
      <c r="D1" s="298"/>
      <c r="E1" s="298"/>
      <c r="F1" s="298"/>
      <c r="G1" s="298"/>
      <c r="H1" s="298"/>
      <c r="I1" s="298"/>
      <c r="J1" s="303"/>
      <c r="K1" s="1"/>
      <c r="L1" s="297" t="str">
        <f>_xlfn.CONCAT("Test: ",Summary!$O$4)</f>
        <v>Test: Anchor (v0.6.1 VTM inner)</v>
      </c>
      <c r="M1" s="298"/>
      <c r="N1" s="298"/>
      <c r="O1" s="298"/>
      <c r="P1" s="298"/>
      <c r="Q1" s="298"/>
      <c r="R1" s="298"/>
      <c r="S1" s="299"/>
      <c r="T1" s="304"/>
      <c r="U1" s="305"/>
      <c r="V1" s="16"/>
      <c r="W1" s="309" t="s">
        <v>11</v>
      </c>
      <c r="X1" s="310"/>
      <c r="Y1" s="310"/>
      <c r="Z1" s="310"/>
      <c r="AA1" s="310"/>
      <c r="AB1" s="310"/>
      <c r="AC1" s="310"/>
      <c r="AD1" s="310"/>
      <c r="AE1" s="310"/>
      <c r="AF1" s="311"/>
      <c r="AG1" s="168" t="s">
        <v>123</v>
      </c>
      <c r="AN1" s="245" t="s">
        <v>214</v>
      </c>
      <c r="AO1" s="1"/>
      <c r="AP1" s="241" t="s">
        <v>216</v>
      </c>
      <c r="AQ1" s="242" t="s">
        <v>22</v>
      </c>
      <c r="AR1" s="240"/>
      <c r="AS1" s="240"/>
      <c r="AT1" s="240"/>
      <c r="AU1" s="240"/>
    </row>
    <row r="2" spans="1:47" ht="17.25" thickBot="1" x14ac:dyDescent="0.3">
      <c r="A2" s="169" t="s">
        <v>124</v>
      </c>
      <c r="B2" s="169" t="s">
        <v>125</v>
      </c>
      <c r="C2" s="170" t="s">
        <v>126</v>
      </c>
      <c r="D2" s="2" t="s">
        <v>10</v>
      </c>
      <c r="E2" s="2" t="s">
        <v>0</v>
      </c>
      <c r="F2" s="2" t="s">
        <v>1</v>
      </c>
      <c r="G2" s="2" t="s">
        <v>2</v>
      </c>
      <c r="H2" s="2" t="s">
        <v>113</v>
      </c>
      <c r="I2" s="2" t="s">
        <v>226</v>
      </c>
      <c r="J2" s="171" t="s">
        <v>227</v>
      </c>
      <c r="K2" s="172"/>
      <c r="L2" s="170" t="s">
        <v>126</v>
      </c>
      <c r="M2" s="2" t="s">
        <v>10</v>
      </c>
      <c r="N2" s="2" t="s">
        <v>0</v>
      </c>
      <c r="O2" s="2" t="s">
        <v>1</v>
      </c>
      <c r="P2" s="2" t="s">
        <v>2</v>
      </c>
      <c r="Q2" s="2" t="s">
        <v>113</v>
      </c>
      <c r="R2" s="173" t="s">
        <v>226</v>
      </c>
      <c r="S2" s="171" t="s">
        <v>227</v>
      </c>
      <c r="T2" s="170" t="s">
        <v>3</v>
      </c>
      <c r="U2" s="171" t="s">
        <v>4</v>
      </c>
      <c r="V2" s="174"/>
      <c r="W2" s="78" t="s">
        <v>184</v>
      </c>
      <c r="X2" s="79" t="s">
        <v>185</v>
      </c>
      <c r="Y2" s="79" t="s">
        <v>186</v>
      </c>
      <c r="Z2" s="79" t="s">
        <v>187</v>
      </c>
      <c r="AA2" s="79" t="s">
        <v>188</v>
      </c>
      <c r="AB2" s="79" t="s">
        <v>189</v>
      </c>
      <c r="AC2" s="2" t="s">
        <v>42</v>
      </c>
      <c r="AD2" s="2" t="s">
        <v>127</v>
      </c>
      <c r="AE2" s="2" t="s">
        <v>128</v>
      </c>
      <c r="AF2" s="171" t="s">
        <v>129</v>
      </c>
      <c r="AG2" s="171"/>
      <c r="AN2" s="1"/>
      <c r="AO2" s="242" t="s">
        <v>217</v>
      </c>
      <c r="AP2" s="242"/>
      <c r="AQ2" s="242" t="s">
        <v>218</v>
      </c>
      <c r="AR2" s="240"/>
      <c r="AS2" s="240"/>
      <c r="AT2" s="240"/>
      <c r="AU2" s="240"/>
    </row>
    <row r="3" spans="1:47" x14ac:dyDescent="0.25">
      <c r="A3" s="70" t="s">
        <v>130</v>
      </c>
      <c r="B3" s="169">
        <v>22</v>
      </c>
      <c r="C3" s="175">
        <v>0.86311464562697093</v>
      </c>
      <c r="D3" s="176">
        <v>78.893175914560445</v>
      </c>
      <c r="E3" s="83"/>
      <c r="F3" s="83"/>
      <c r="G3" s="83"/>
      <c r="H3" s="224"/>
      <c r="I3" s="177"/>
      <c r="J3" s="178"/>
      <c r="K3" s="179"/>
      <c r="L3" s="175"/>
      <c r="M3" s="176"/>
      <c r="N3" s="83"/>
      <c r="O3" s="83"/>
      <c r="P3" s="83"/>
      <c r="Q3" s="224"/>
      <c r="R3" s="177"/>
      <c r="S3" s="178"/>
      <c r="T3" s="181" t="e">
        <f>R3/I3</f>
        <v>#DIV/0!</v>
      </c>
      <c r="U3" s="129" t="e">
        <f t="shared" ref="T3:U18" si="0">S3/J3</f>
        <v>#DIV/0!</v>
      </c>
      <c r="V3" s="182"/>
      <c r="W3" s="14">
        <f>bdRateExtend($C3:$C8,$D3:$D8,$L3:$L8,$M3:$M8)</f>
        <v>1E+308</v>
      </c>
      <c r="X3" s="14">
        <f>bdRateExtend($C3:$C7,$D3:$D7,$L3:$L7,$M3:$M7)</f>
        <v>1E+308</v>
      </c>
      <c r="Y3" s="14">
        <f>bdRateExtend($C4:$C8,$D4:$D8,$L4:$L8,$M4:$M8)</f>
        <v>1E+308</v>
      </c>
      <c r="Z3" s="14">
        <f>bdRateExtend($C3:$C6,$D3:$D6,$L3:$L6,$M3:$M6)</f>
        <v>1E+308</v>
      </c>
      <c r="AA3" s="14">
        <f>bdRateExtend($C4:$C7,$D4:$D7,$L4:$L7,$M4:$M7)</f>
        <v>1E+308</v>
      </c>
      <c r="AB3" s="14">
        <f>bdRateExtend($C5:$C8,$D5:$D8,$L5:$L8,$M5:$M8)</f>
        <v>1E+308</v>
      </c>
      <c r="AC3" s="14" t="e" cm="1">
        <f t="array" ref="AC3">bdRatePareto(AO3:AO8,AP3:AP8,AQ3:AQ8,AR3:AR8)</f>
        <v>#VALUE!</v>
      </c>
      <c r="AD3" s="14" t="e">
        <f>bdRateExtend($C3:$C8,E3:E8,$L3:$L8,N3:N8)</f>
        <v>#VALUE!</v>
      </c>
      <c r="AE3" s="14" t="e">
        <f>bdRateExtend($C3:$C8,F3:F8,$L3:$L8,O3:O8)</f>
        <v>#VALUE!</v>
      </c>
      <c r="AF3" s="15" t="e">
        <f>bdRateExtend($C3:$C8,G3:G8,$L3:$L8,P3:P8)</f>
        <v>#VALUE!</v>
      </c>
      <c r="AG3" s="72" t="e">
        <f>bdPSNRExtend($C3:$C8,$D3:$D8,$L3:$L8,$M3:$M8)</f>
        <v>#VALUE!</v>
      </c>
      <c r="AN3" s="240" t="s">
        <v>213</v>
      </c>
      <c r="AO3" s="240" cm="1">
        <f t="array" ref="AO3">pareto($C3:$C8,$D3:$D8,1,"rate",$AQ$1,$AN4,$AN6)</f>
        <v>0.86311464562697093</v>
      </c>
      <c r="AP3" s="240" cm="1">
        <f t="array" ref="AP3">pareto($C3:$C8,$D3:$D8,1,"dist",$AQ$1,$AN4,$AN6)</f>
        <v>78.893175914560445</v>
      </c>
      <c r="AQ3" s="240" t="e" cm="1">
        <f t="array" ref="AQ3">pareto($L3:$L8,$M3:$M8,1,"rate",$AQ$1,$AN4,$AN6)</f>
        <v>#N/A</v>
      </c>
      <c r="AR3" s="240" t="e" cm="1">
        <f t="array" ref="AR3">pareto($L3:$L8,$M3:$M8,1,"dist",$AQ$1,$AN4,$AN6)</f>
        <v>#N/A</v>
      </c>
      <c r="AS3" s="240"/>
      <c r="AT3" s="1"/>
      <c r="AU3" s="243" t="s">
        <v>19</v>
      </c>
    </row>
    <row r="4" spans="1:47" x14ac:dyDescent="0.25">
      <c r="A4" s="183"/>
      <c r="B4" s="183">
        <v>27</v>
      </c>
      <c r="C4" s="184">
        <v>0.50970091187041677</v>
      </c>
      <c r="D4" s="185">
        <v>77.927258611746652</v>
      </c>
      <c r="E4" s="86"/>
      <c r="F4" s="86"/>
      <c r="G4" s="86"/>
      <c r="H4" s="225"/>
      <c r="I4" s="180"/>
      <c r="J4" s="186"/>
      <c r="K4" s="1"/>
      <c r="L4" s="184"/>
      <c r="M4" s="185"/>
      <c r="N4" s="86"/>
      <c r="O4" s="86"/>
      <c r="P4" s="86"/>
      <c r="Q4" s="225"/>
      <c r="R4" s="180"/>
      <c r="S4" s="186"/>
      <c r="T4" s="37" t="e">
        <f t="shared" si="0"/>
        <v>#DIV/0!</v>
      </c>
      <c r="U4" s="38" t="e">
        <f t="shared" si="0"/>
        <v>#DIV/0!</v>
      </c>
      <c r="V4" s="182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0">
        <v>79.276749772585703</v>
      </c>
      <c r="AO4" s="240" cm="1">
        <f t="array" ref="AO4">pareto($C3:$C8,$D3:$D8,2,"rate",$AQ$1,$AN4,$AN6)</f>
        <v>0.50970091187041677</v>
      </c>
      <c r="AP4" s="240" cm="1">
        <f t="array" ref="AP4">pareto($C3:$C8,$D3:$D8,2,"dist",$AQ$1,$AN4,$AN6)</f>
        <v>77.927258611746652</v>
      </c>
      <c r="AQ4" s="240" t="e" cm="1">
        <f t="array" ref="AQ4">pareto($L3:$L8,$M3:$M8,2,"rate",$AQ$1,$AN4,$AN6)</f>
        <v>#N/A</v>
      </c>
      <c r="AR4" s="240" t="e" cm="1">
        <f t="array" ref="AR4">pareto($L3:$L8,$M3:$M8,2,"dist",$AQ$1,$AN4,$AN6)</f>
        <v>#N/A</v>
      </c>
      <c r="AS4" s="240"/>
      <c r="AT4" s="1"/>
      <c r="AU4" s="243" t="s">
        <v>20</v>
      </c>
    </row>
    <row r="5" spans="1:47" x14ac:dyDescent="0.25">
      <c r="A5" s="183"/>
      <c r="B5" s="183">
        <v>32</v>
      </c>
      <c r="C5" s="184">
        <v>0.28686795080877642</v>
      </c>
      <c r="D5" s="185">
        <v>77.22838338193398</v>
      </c>
      <c r="E5" s="86"/>
      <c r="F5" s="86"/>
      <c r="G5" s="86"/>
      <c r="H5" s="225"/>
      <c r="I5" s="180"/>
      <c r="J5" s="186"/>
      <c r="K5" s="1"/>
      <c r="L5" s="184"/>
      <c r="M5" s="185"/>
      <c r="N5" s="86"/>
      <c r="O5" s="86"/>
      <c r="P5" s="86"/>
      <c r="Q5" s="225"/>
      <c r="R5" s="180"/>
      <c r="S5" s="186"/>
      <c r="T5" s="37" t="e">
        <f t="shared" si="0"/>
        <v>#DIV/0!</v>
      </c>
      <c r="U5" s="38" t="e">
        <f t="shared" si="0"/>
        <v>#DIV/0!</v>
      </c>
      <c r="V5" s="182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0" t="s">
        <v>44</v>
      </c>
      <c r="AO5" s="240" cm="1">
        <f t="array" ref="AO5">pareto($C3:$C8,$D3:$D8,3,"rate",$AQ$1,$AN4,$AN6)</f>
        <v>0.28686795080877642</v>
      </c>
      <c r="AP5" s="240" cm="1">
        <f t="array" ref="AP5">pareto($C3:$C8,$D3:$D8,3,"dist",$AQ$1,$AN4,$AN6)</f>
        <v>77.22838338193398</v>
      </c>
      <c r="AQ5" s="240" t="e" cm="1">
        <f t="array" ref="AQ5">pareto($L3:$L8,$M3:$M8,3,"rate",$AQ$1,$AN4,$AN6)</f>
        <v>#N/A</v>
      </c>
      <c r="AR5" s="240" t="e" cm="1">
        <f t="array" ref="AR5">pareto($L3:$L8,$M3:$M8,3,"dist",$AQ$1,$AN4,$AN6)</f>
        <v>#N/A</v>
      </c>
      <c r="AS5" s="240"/>
      <c r="AT5" s="1"/>
      <c r="AU5" s="244" t="s">
        <v>21</v>
      </c>
    </row>
    <row r="6" spans="1:47" x14ac:dyDescent="0.25">
      <c r="A6" s="183"/>
      <c r="B6" s="183">
        <v>37</v>
      </c>
      <c r="C6" s="184">
        <v>0.15318521705622601</v>
      </c>
      <c r="D6" s="185">
        <v>74.109698747642497</v>
      </c>
      <c r="E6" s="86"/>
      <c r="F6" s="86"/>
      <c r="G6" s="86"/>
      <c r="H6" s="225"/>
      <c r="I6" s="180"/>
      <c r="J6" s="186"/>
      <c r="K6" s="1"/>
      <c r="L6" s="184"/>
      <c r="M6" s="185"/>
      <c r="N6" s="86"/>
      <c r="O6" s="86"/>
      <c r="P6" s="86"/>
      <c r="Q6" s="225"/>
      <c r="R6" s="180"/>
      <c r="S6" s="186"/>
      <c r="T6" s="37" t="e">
        <f t="shared" si="0"/>
        <v>#DIV/0!</v>
      </c>
      <c r="U6" s="38" t="e">
        <f t="shared" si="0"/>
        <v>#DIV/0!</v>
      </c>
      <c r="V6" s="182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0">
        <v>30</v>
      </c>
      <c r="AO6" s="240" cm="1">
        <f t="array" ref="AO6">pareto($C3:$C8,$D3:$D8,4,"rate",$AQ$1,$AN4,$AN6)</f>
        <v>0.15318521705622601</v>
      </c>
      <c r="AP6" s="240" cm="1">
        <f t="array" ref="AP6">pareto($C3:$C8,$D3:$D8,4,"dist",$AQ$1,$AN4,$AN6)</f>
        <v>74.109698747642497</v>
      </c>
      <c r="AQ6" s="240" t="e" cm="1">
        <f t="array" ref="AQ6">pareto($L3:$L8,$M3:$M8,4,"rate",$AQ$1,$AN4,$AN6)</f>
        <v>#N/A</v>
      </c>
      <c r="AR6" s="240" t="e" cm="1">
        <f t="array" ref="AR6">pareto($L3:$L8,$M3:$M8,4,"dist",$AQ$1,$AN4,$AN6)</f>
        <v>#N/A</v>
      </c>
      <c r="AS6" s="240"/>
      <c r="AT6" s="1"/>
      <c r="AU6" s="244" t="s">
        <v>22</v>
      </c>
    </row>
    <row r="7" spans="1:47" x14ac:dyDescent="0.25">
      <c r="A7" s="183"/>
      <c r="B7" s="183">
        <v>42</v>
      </c>
      <c r="C7" s="184">
        <v>7.765185437409565E-2</v>
      </c>
      <c r="D7" s="185">
        <v>68.866686708606807</v>
      </c>
      <c r="E7" s="86"/>
      <c r="F7" s="86"/>
      <c r="G7" s="86"/>
      <c r="H7" s="225"/>
      <c r="I7" s="180"/>
      <c r="J7" s="186"/>
      <c r="K7" s="1"/>
      <c r="L7" s="184"/>
      <c r="M7" s="185"/>
      <c r="N7" s="86"/>
      <c r="O7" s="86"/>
      <c r="P7" s="86"/>
      <c r="Q7" s="225"/>
      <c r="R7" s="180"/>
      <c r="S7" s="186"/>
      <c r="T7" s="37" t="e">
        <f t="shared" si="0"/>
        <v>#DIV/0!</v>
      </c>
      <c r="U7" s="38" t="e">
        <f t="shared" si="0"/>
        <v>#DIV/0!</v>
      </c>
      <c r="V7" s="182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0"/>
      <c r="AO7" s="240" cm="1">
        <f t="array" ref="AO7">pareto($C3:$C8,$D3:$D8,5,"rate",$AQ$1,$AN4,$AN6)</f>
        <v>7.765185437409565E-2</v>
      </c>
      <c r="AP7" s="240" cm="1">
        <f t="array" ref="AP7">pareto($C3:$C8,$D3:$D8,5,"dist",$AQ$1,$AN4,$AN6)</f>
        <v>68.866686708606807</v>
      </c>
      <c r="AQ7" s="240" t="e" cm="1">
        <f t="array" ref="AQ7">pareto($L3:$L8,$M3:$M8,5,"rate",$AQ$1,$AN4,$AN6)</f>
        <v>#N/A</v>
      </c>
      <c r="AR7" s="240" t="e" cm="1">
        <f t="array" ref="AR7">pareto($L3:$L8,$M3:$M8,5,"dist",$AQ$1,$AN4,$AN6)</f>
        <v>#N/A</v>
      </c>
      <c r="AS7" s="240"/>
      <c r="AT7" s="1"/>
      <c r="AU7" s="244" t="s">
        <v>45</v>
      </c>
    </row>
    <row r="8" spans="1:47" ht="17.25" thickBot="1" x14ac:dyDescent="0.3">
      <c r="A8" s="187"/>
      <c r="B8" s="187">
        <v>47</v>
      </c>
      <c r="C8" s="188">
        <v>3.757511201873813E-2</v>
      </c>
      <c r="D8" s="189">
        <v>58.081874720680617</v>
      </c>
      <c r="E8" s="94"/>
      <c r="F8" s="94"/>
      <c r="G8" s="94"/>
      <c r="H8" s="226"/>
      <c r="I8" s="190"/>
      <c r="J8" s="191"/>
      <c r="K8" s="1"/>
      <c r="L8" s="188"/>
      <c r="M8" s="189"/>
      <c r="N8" s="94"/>
      <c r="O8" s="94"/>
      <c r="P8" s="94"/>
      <c r="Q8" s="226"/>
      <c r="R8" s="190"/>
      <c r="S8" s="191"/>
      <c r="T8" s="3" t="e">
        <f t="shared" si="0"/>
        <v>#DIV/0!</v>
      </c>
      <c r="U8" s="39" t="e">
        <f t="shared" si="0"/>
        <v>#DIV/0!</v>
      </c>
      <c r="V8" s="182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0"/>
      <c r="AO8" s="240" cm="1">
        <f t="array" ref="AO8">pareto($C3:$C8,$D3:$D8,6,"rate",$AQ$1,$AN4,$AN6)</f>
        <v>3.757511201873813E-2</v>
      </c>
      <c r="AP8" s="240" cm="1">
        <f t="array" ref="AP8">pareto($C3:$C8,$D3:$D8,6,"dist",$AQ$1,$AN4,$AN6)</f>
        <v>58.081874720680617</v>
      </c>
      <c r="AQ8" s="240" t="e" cm="1">
        <f t="array" ref="AQ8">pareto($L3:$L8,$M3:$M8,6,"rate",$AQ$1,$AN4,$AN6)</f>
        <v>#N/A</v>
      </c>
      <c r="AR8" s="240" t="e" cm="1">
        <f t="array" ref="AR8">pareto($L3:$L8,$M3:$M8,6,"dist",$AQ$1,$AN4,$AN6)</f>
        <v>#N/A</v>
      </c>
      <c r="AS8" s="240"/>
      <c r="AT8" s="240"/>
      <c r="AU8" s="240"/>
    </row>
    <row r="9" spans="1:47" x14ac:dyDescent="0.25">
      <c r="A9" s="192" t="s">
        <v>131</v>
      </c>
      <c r="B9" s="193">
        <v>22</v>
      </c>
      <c r="C9" s="175">
        <v>1.8919449055989579</v>
      </c>
      <c r="D9" s="176">
        <v>39.296239049684857</v>
      </c>
      <c r="E9" s="224"/>
      <c r="F9" s="225"/>
      <c r="G9" s="225"/>
      <c r="H9" s="225"/>
      <c r="I9" s="180"/>
      <c r="J9" s="186"/>
      <c r="K9" s="1"/>
      <c r="L9" s="175"/>
      <c r="M9" s="176"/>
      <c r="N9" s="224"/>
      <c r="O9" s="225"/>
      <c r="P9" s="225"/>
      <c r="Q9" s="225"/>
      <c r="R9" s="180"/>
      <c r="S9" s="186"/>
      <c r="T9" s="37" t="e">
        <f t="shared" si="0"/>
        <v>#DIV/0!</v>
      </c>
      <c r="U9" s="38" t="e">
        <f t="shared" si="0"/>
        <v>#DIV/0!</v>
      </c>
      <c r="V9" s="182"/>
      <c r="W9" s="14">
        <f>bdRateExtend($C9:$C14,$D9:$D14,$L9:$L14,$M9:$M14)</f>
        <v>1E+308</v>
      </c>
      <c r="X9" s="14">
        <f>bdRateExtend($C9:$C13,$D9:$D13,$L9:$L13,$M9:$M13)</f>
        <v>1E+308</v>
      </c>
      <c r="Y9" s="14">
        <f>bdRateExtend($C10:$C14,$D10:$D14,$L10:$L14,$M10:$M14)</f>
        <v>1E+308</v>
      </c>
      <c r="Z9" s="14">
        <f>bdRateExtend($C9:$C12,$D9:$D12,$L9:$L12,$M9:$M12)</f>
        <v>1E+308</v>
      </c>
      <c r="AA9" s="14">
        <f>bdRateExtend($C10:$C13,$D10:$D13,$L10:$L13,$M10:$M13)</f>
        <v>1E+308</v>
      </c>
      <c r="AB9" s="14">
        <f>bdRateExtend($C11:$C14,$D11:$D14,$L11:$L14,$M11:$M14)</f>
        <v>1E+308</v>
      </c>
      <c r="AC9" s="14" t="e" cm="1">
        <f t="array" ref="AC9">bdRatePareto(AO9:AO14,AP9:AP14,AQ9:AQ14,AR9:AR14)</f>
        <v>#VALUE!</v>
      </c>
      <c r="AD9" s="14" t="e">
        <f>bdRateExtend($C9:$C14,E9:E14,$L9:$L14,N9:N14)</f>
        <v>#VALUE!</v>
      </c>
      <c r="AE9" s="14" t="e">
        <f>bdRateExtend($C9:$C14,F9:F14,$L9:$L14,O9:O14)</f>
        <v>#VALUE!</v>
      </c>
      <c r="AF9" s="15" t="e">
        <f>bdRateExtend($C9:$C14,G9:G14,$L9:$L14,P9:P14)</f>
        <v>#VALUE!</v>
      </c>
      <c r="AG9" s="72" t="e">
        <f>bdPSNRExtend($C9:$C14,$D9:$D14,$L9:$L14,$M9:$M14)</f>
        <v>#VALUE!</v>
      </c>
      <c r="AN9" s="240" t="s">
        <v>213</v>
      </c>
      <c r="AO9" s="240" cm="1">
        <f t="array" ref="AO9">pareto($C9:$C14,$D9:$D14,1,"rate",$AQ$1,$AN10,$AN12)</f>
        <v>0.37637988281250001</v>
      </c>
      <c r="AP9" s="240" cm="1">
        <f t="array" ref="AP9">pareto($C9:$C14,$D9:$D14,1,"dist",$AQ$1,$AN10,$AN12)</f>
        <v>39.68214325826672</v>
      </c>
      <c r="AQ9" s="240" t="e" cm="1">
        <f t="array" ref="AQ9">pareto($L9:$L14,$M9:$M14,1,"rate",$AQ$1,$AN10,$AN12)</f>
        <v>#N/A</v>
      </c>
      <c r="AR9" s="240" t="e" cm="1">
        <f t="array" ref="AR9">pareto($L9:$L14,$M9:$M14,1,"dist",$AQ$1,$AN10,$AN12)</f>
        <v>#N/A</v>
      </c>
      <c r="AS9" s="240"/>
      <c r="AT9" s="240"/>
      <c r="AU9" s="240"/>
    </row>
    <row r="10" spans="1:47" x14ac:dyDescent="0.25">
      <c r="A10" s="183"/>
      <c r="B10" s="193">
        <v>27</v>
      </c>
      <c r="C10" s="184">
        <v>1.325424723307292</v>
      </c>
      <c r="D10" s="185">
        <v>39.3102122485192</v>
      </c>
      <c r="E10" s="225"/>
      <c r="F10" s="225"/>
      <c r="G10" s="225"/>
      <c r="H10" s="225"/>
      <c r="I10" s="180"/>
      <c r="J10" s="186"/>
      <c r="K10" s="1"/>
      <c r="L10" s="184"/>
      <c r="M10" s="185"/>
      <c r="N10" s="225"/>
      <c r="O10" s="225"/>
      <c r="P10" s="225"/>
      <c r="Q10" s="225"/>
      <c r="R10" s="180"/>
      <c r="S10" s="186"/>
      <c r="T10" s="37" t="e">
        <f t="shared" si="0"/>
        <v>#DIV/0!</v>
      </c>
      <c r="U10" s="38" t="e">
        <f t="shared" si="0"/>
        <v>#DIV/0!</v>
      </c>
      <c r="V10" s="182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0">
        <v>40.557000000000002</v>
      </c>
      <c r="AO10" s="240" cm="1">
        <f t="array" ref="AO10">pareto($C9:$C14,$D9:$D14,2,"rate",$AQ$1,$AN10,$AN12)</f>
        <v>0.14596468098958329</v>
      </c>
      <c r="AP10" s="240" cm="1">
        <f t="array" ref="AP10">pareto($C9:$C14,$D9:$D14,2,"dist",$AQ$1,$AN10,$AN12)</f>
        <v>34.579273871540117</v>
      </c>
      <c r="AQ10" s="240" t="e" cm="1">
        <f t="array" ref="AQ10">pareto($L9:$L14,$M9:$M14,2,"rate",$AQ$1,$AN10,$AN12)</f>
        <v>#N/A</v>
      </c>
      <c r="AR10" s="240" t="e" cm="1">
        <f t="array" ref="AR10">pareto($L9:$L14,$M9:$M14,2,"dist",$AQ$1,$AN10,$AN12)</f>
        <v>#N/A</v>
      </c>
      <c r="AS10" s="240"/>
      <c r="AT10" s="240"/>
      <c r="AU10" s="240"/>
    </row>
    <row r="11" spans="1:47" x14ac:dyDescent="0.25">
      <c r="A11" s="183"/>
      <c r="B11" s="193">
        <v>32</v>
      </c>
      <c r="C11" s="184">
        <v>0.37637988281250001</v>
      </c>
      <c r="D11" s="185">
        <v>39.68214325826672</v>
      </c>
      <c r="E11" s="225"/>
      <c r="F11" s="225"/>
      <c r="G11" s="225"/>
      <c r="H11" s="225"/>
      <c r="I11" s="180"/>
      <c r="J11" s="186"/>
      <c r="K11" s="1"/>
      <c r="L11" s="184"/>
      <c r="M11" s="185"/>
      <c r="N11" s="225"/>
      <c r="O11" s="225"/>
      <c r="P11" s="225"/>
      <c r="Q11" s="225"/>
      <c r="R11" s="180"/>
      <c r="S11" s="186"/>
      <c r="T11" s="37" t="e">
        <f t="shared" si="0"/>
        <v>#DIV/0!</v>
      </c>
      <c r="U11" s="38" t="e">
        <f t="shared" si="0"/>
        <v>#DIV/0!</v>
      </c>
      <c r="V11" s="182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0" t="s">
        <v>44</v>
      </c>
      <c r="AO11" s="240" cm="1">
        <f t="array" ref="AO11">pareto($C9:$C14,$D9:$D14,3,"rate",$AQ$1,$AN10,$AN12)</f>
        <v>7.2636474609375001E-2</v>
      </c>
      <c r="AP11" s="240" cm="1">
        <f t="array" ref="AP11">pareto($C9:$C14,$D9:$D14,3,"dist",$AQ$1,$AN10,$AN12)</f>
        <v>24.90526514508851</v>
      </c>
      <c r="AQ11" s="240" t="e" cm="1">
        <f t="array" ref="AQ11">pareto($L9:$L14,$M9:$M14,3,"rate",$AQ$1,$AN10,$AN12)</f>
        <v>#N/A</v>
      </c>
      <c r="AR11" s="240" t="e" cm="1">
        <f t="array" ref="AR11">pareto($L9:$L14,$M9:$M14,3,"dist",$AQ$1,$AN10,$AN12)</f>
        <v>#N/A</v>
      </c>
      <c r="AS11" s="240"/>
      <c r="AT11" s="240"/>
      <c r="AU11" s="240"/>
    </row>
    <row r="12" spans="1:47" x14ac:dyDescent="0.25">
      <c r="A12" s="183"/>
      <c r="B12" s="193">
        <v>37</v>
      </c>
      <c r="C12" s="184">
        <v>0.14596468098958329</v>
      </c>
      <c r="D12" s="185">
        <v>34.579273871540117</v>
      </c>
      <c r="E12" s="225"/>
      <c r="F12" s="225"/>
      <c r="G12" s="225"/>
      <c r="H12" s="225"/>
      <c r="I12" s="180"/>
      <c r="J12" s="186"/>
      <c r="K12" s="1"/>
      <c r="L12" s="184"/>
      <c r="M12" s="185"/>
      <c r="N12" s="225"/>
      <c r="O12" s="225"/>
      <c r="P12" s="225"/>
      <c r="Q12" s="225"/>
      <c r="R12" s="180"/>
      <c r="S12" s="186"/>
      <c r="T12" s="37" t="e">
        <f t="shared" si="0"/>
        <v>#DIV/0!</v>
      </c>
      <c r="U12" s="38" t="e">
        <f t="shared" si="0"/>
        <v>#DIV/0!</v>
      </c>
      <c r="V12" s="182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0">
        <v>10</v>
      </c>
      <c r="AO12" s="240" cm="1">
        <f t="array" ref="AO12">pareto($C9:$C14,$D9:$D14,4,"rate",$AQ$1,$AN10,$AN12)</f>
        <v>3.421573893229167E-2</v>
      </c>
      <c r="AP12" s="240" cm="1">
        <f t="array" ref="AP12">pareto($C9:$C14,$D9:$D14,4,"dist",$AQ$1,$AN10,$AN12)</f>
        <v>12.761267236465679</v>
      </c>
      <c r="AQ12" s="240" t="e" cm="1">
        <f t="array" ref="AQ12">pareto($L9:$L14,$M9:$M14,4,"rate",$AQ$1,$AN10,$AN12)</f>
        <v>#N/A</v>
      </c>
      <c r="AR12" s="240" t="e" cm="1">
        <f t="array" ref="AR12">pareto($L9:$L14,$M9:$M14,4,"dist",$AQ$1,$AN10,$AN12)</f>
        <v>#N/A</v>
      </c>
      <c r="AS12" s="240"/>
      <c r="AT12" s="240"/>
      <c r="AU12" s="240"/>
    </row>
    <row r="13" spans="1:47" x14ac:dyDescent="0.25">
      <c r="A13" s="183"/>
      <c r="B13" s="193">
        <v>42</v>
      </c>
      <c r="C13" s="184">
        <v>7.2636474609375001E-2</v>
      </c>
      <c r="D13" s="185">
        <v>24.90526514508851</v>
      </c>
      <c r="E13" s="225"/>
      <c r="F13" s="225"/>
      <c r="G13" s="225"/>
      <c r="H13" s="225"/>
      <c r="I13" s="180"/>
      <c r="J13" s="186"/>
      <c r="K13" s="1"/>
      <c r="L13" s="184"/>
      <c r="M13" s="185"/>
      <c r="N13" s="225"/>
      <c r="O13" s="225"/>
      <c r="P13" s="225"/>
      <c r="Q13" s="225"/>
      <c r="R13" s="180"/>
      <c r="S13" s="186"/>
      <c r="T13" s="37" t="e">
        <f t="shared" si="0"/>
        <v>#DIV/0!</v>
      </c>
      <c r="U13" s="38" t="e">
        <f t="shared" si="0"/>
        <v>#DIV/0!</v>
      </c>
      <c r="V13" s="182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0"/>
      <c r="AO13" s="240" t="e" cm="1">
        <f t="array" ref="AO13">pareto($C9:$C14,$D9:$D14,5,"rate",$AQ$1,$AN10,$AN12)</f>
        <v>#N/A</v>
      </c>
      <c r="AP13" s="240" t="e" cm="1">
        <f t="array" ref="AP13">pareto($C9:$C14,$D9:$D14,5,"dist",$AQ$1,$AN10,$AN12)</f>
        <v>#N/A</v>
      </c>
      <c r="AQ13" s="240" t="e" cm="1">
        <f t="array" ref="AQ13">pareto($L9:$L14,$M9:$M14,5,"rate",$AQ$1,$AN10,$AN12)</f>
        <v>#N/A</v>
      </c>
      <c r="AR13" s="240" t="e" cm="1">
        <f t="array" ref="AR13">pareto($L9:$L14,$M9:$M14,5,"dist",$AQ$1,$AN10,$AN12)</f>
        <v>#N/A</v>
      </c>
      <c r="AS13" s="240"/>
      <c r="AT13" s="240"/>
      <c r="AU13" s="240"/>
    </row>
    <row r="14" spans="1:47" ht="17.25" thickBot="1" x14ac:dyDescent="0.3">
      <c r="A14" s="187"/>
      <c r="B14" s="194">
        <v>47</v>
      </c>
      <c r="C14" s="188">
        <v>3.421573893229167E-2</v>
      </c>
      <c r="D14" s="189">
        <v>12.761267236465679</v>
      </c>
      <c r="E14" s="226"/>
      <c r="F14" s="226"/>
      <c r="G14" s="226"/>
      <c r="H14" s="226"/>
      <c r="I14" s="190"/>
      <c r="J14" s="191"/>
      <c r="K14" s="195"/>
      <c r="L14" s="188"/>
      <c r="M14" s="189"/>
      <c r="N14" s="226"/>
      <c r="O14" s="226"/>
      <c r="P14" s="226"/>
      <c r="Q14" s="226"/>
      <c r="R14" s="190"/>
      <c r="S14" s="191"/>
      <c r="T14" s="3" t="e">
        <f t="shared" si="0"/>
        <v>#DIV/0!</v>
      </c>
      <c r="U14" s="39" t="e">
        <f t="shared" si="0"/>
        <v>#DIV/0!</v>
      </c>
      <c r="V14" s="182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0"/>
      <c r="AO14" s="240" t="e" cm="1">
        <f t="array" ref="AO14">pareto($C9:$C14,$D9:$D14,6,"rate",$AQ$1,$AN10,$AN12)</f>
        <v>#N/A</v>
      </c>
      <c r="AP14" s="240" t="e" cm="1">
        <f t="array" ref="AP14">pareto($C9:$C14,$D9:$D14,6,"dist",$AQ$1,$AN10,$AN12)</f>
        <v>#N/A</v>
      </c>
      <c r="AQ14" s="240" t="e" cm="1">
        <f t="array" ref="AQ14">pareto($L9:$L14,$M9:$M14,6,"rate",$AQ$1,$AN10,$AN12)</f>
        <v>#N/A</v>
      </c>
      <c r="AR14" s="240" t="e" cm="1">
        <f t="array" ref="AR14">pareto($L9:$L14,$M9:$M14,6,"dist",$AQ$1,$AN10,$AN12)</f>
        <v>#N/A</v>
      </c>
      <c r="AS14" s="240"/>
      <c r="AT14" s="240"/>
      <c r="AU14" s="240"/>
    </row>
    <row r="15" spans="1:47" x14ac:dyDescent="0.25">
      <c r="A15" s="192" t="s">
        <v>132</v>
      </c>
      <c r="B15" s="193">
        <v>22</v>
      </c>
      <c r="C15" s="175">
        <v>0.47493371634686898</v>
      </c>
      <c r="D15" s="176">
        <v>55.690112840063307</v>
      </c>
      <c r="E15" s="83"/>
      <c r="F15" s="83"/>
      <c r="G15" s="83"/>
      <c r="H15" s="225"/>
      <c r="I15" s="180"/>
      <c r="J15" s="186"/>
      <c r="K15" s="182"/>
      <c r="L15" s="175"/>
      <c r="M15" s="176"/>
      <c r="N15" s="83"/>
      <c r="O15" s="83"/>
      <c r="P15" s="83"/>
      <c r="Q15" s="225"/>
      <c r="R15" s="180"/>
      <c r="S15" s="186"/>
      <c r="T15" s="37" t="e">
        <f t="shared" si="0"/>
        <v>#DIV/0!</v>
      </c>
      <c r="U15" s="38" t="e">
        <f t="shared" si="0"/>
        <v>#DIV/0!</v>
      </c>
      <c r="V15" s="182"/>
      <c r="W15" s="122">
        <f>bdRateExtend($C15:$C20,$D15:$D20,$L15:$L20,$M15:$M20)</f>
        <v>1E+308</v>
      </c>
      <c r="X15" s="14">
        <f>bdRateExtend($C15:$C19,$D15:$D19,$L15:$L19,$M15:$M19)</f>
        <v>1E+308</v>
      </c>
      <c r="Y15" s="14">
        <f>bdRateExtend($C16:$C20,$D16:$D20,$L16:$L20,$M16:$M20)</f>
        <v>1E+308</v>
      </c>
      <c r="Z15" s="14">
        <f>bdRateExtend($C15:$C18,$D15:$D18,$L15:$L18,$M15:$M18)</f>
        <v>1E+308</v>
      </c>
      <c r="AA15" s="14">
        <f>bdRateExtend($C16:$C19,$D16:$D19,$L16:$L19,$M16:$M19)</f>
        <v>1E+308</v>
      </c>
      <c r="AB15" s="14">
        <f>bdRateExtend($C17:$C20,$D17:$D20,$L17:$L20,$M17:$M20)</f>
        <v>1E+308</v>
      </c>
      <c r="AC15" s="14" t="e" cm="1">
        <f t="array" ref="AC15">bdRatePareto(AO15:AO20,AP15:AP20,AQ15:AQ20,AR15:AR20)</f>
        <v>#VALUE!</v>
      </c>
      <c r="AD15" s="14" t="e">
        <f>bdRateExtend($C15:$C20,E15:E20,$L15:$L20,N15:N20)</f>
        <v>#VALUE!</v>
      </c>
      <c r="AE15" s="14" t="e">
        <f>bdRateExtend($C15:$C20,F15:F20,$L15:$L20,O15:O20)</f>
        <v>#VALUE!</v>
      </c>
      <c r="AF15" s="15" t="e">
        <f>bdRateExtend($C15:$C20,G15:G20,$L15:$L20,P15:P20)</f>
        <v>#VALUE!</v>
      </c>
      <c r="AG15" s="72" t="e">
        <f>bdPSNRExtend($C15:$C20,$D15:$D20,$L15:$L20,$M15:$M20)</f>
        <v>#VALUE!</v>
      </c>
      <c r="AN15" s="240" t="s">
        <v>213</v>
      </c>
      <c r="AO15" s="240" cm="1">
        <f t="array" ref="AO15">pareto($C15:$C20,$D15:$D20,1,"rate",$AQ$1,$AN16,$AN18)</f>
        <v>0.47493371634686898</v>
      </c>
      <c r="AP15" s="240" cm="1">
        <f t="array" ref="AP15">pareto($C15:$C20,$D15:$D20,1,"dist",$AQ$1,$AN16,$AN18)</f>
        <v>55.690112840063307</v>
      </c>
      <c r="AQ15" s="240" t="e" cm="1">
        <f t="array" ref="AQ15">pareto($L15:$L20,$M15:$M20,1,"rate",$AQ$1,$AN16,$AN18)</f>
        <v>#N/A</v>
      </c>
      <c r="AR15" s="240" t="e" cm="1">
        <f t="array" ref="AR15">pareto($L15:$L20,$M15:$M20,1,"dist",$AQ$1,$AN16,$AN18)</f>
        <v>#N/A</v>
      </c>
      <c r="AS15" s="240"/>
      <c r="AT15" s="240"/>
      <c r="AU15" s="240"/>
    </row>
    <row r="16" spans="1:47" x14ac:dyDescent="0.25">
      <c r="A16" s="183"/>
      <c r="B16" s="193">
        <v>27</v>
      </c>
      <c r="C16" s="184">
        <v>0.26638358991521638</v>
      </c>
      <c r="D16" s="185">
        <v>53.778645917272968</v>
      </c>
      <c r="E16" s="86"/>
      <c r="F16" s="86"/>
      <c r="G16" s="86"/>
      <c r="H16" s="225"/>
      <c r="I16" s="180"/>
      <c r="J16" s="186"/>
      <c r="K16" s="182"/>
      <c r="L16" s="184"/>
      <c r="M16" s="185"/>
      <c r="N16" s="86"/>
      <c r="O16" s="86"/>
      <c r="P16" s="86"/>
      <c r="Q16" s="225"/>
      <c r="R16" s="180"/>
      <c r="S16" s="186"/>
      <c r="T16" s="37" t="e">
        <f t="shared" si="0"/>
        <v>#DIV/0!</v>
      </c>
      <c r="U16" s="38" t="e">
        <f t="shared" si="0"/>
        <v>#DIV/0!</v>
      </c>
      <c r="V16" s="182"/>
      <c r="W16" s="199"/>
      <c r="X16" s="4"/>
      <c r="Y16" s="4"/>
      <c r="Z16" s="4"/>
      <c r="AA16" s="4"/>
      <c r="AB16" s="4"/>
      <c r="AC16" s="4"/>
      <c r="AD16" s="4"/>
      <c r="AE16" s="4"/>
      <c r="AF16" s="5"/>
      <c r="AG16" s="59"/>
      <c r="AN16" s="240">
        <v>56.082490111528898</v>
      </c>
      <c r="AO16" s="240" cm="1">
        <f t="array" ref="AO16">pareto($C15:$C20,$D15:$D20,2,"rate",$AQ$1,$AN16,$AN18)</f>
        <v>0.26638358991521638</v>
      </c>
      <c r="AP16" s="240" cm="1">
        <f t="array" ref="AP16">pareto($C15:$C20,$D15:$D20,2,"dist",$AQ$1,$AN16,$AN18)</f>
        <v>53.778645917272968</v>
      </c>
      <c r="AQ16" s="240" t="e" cm="1">
        <f t="array" ref="AQ16">pareto($L15:$L20,$M15:$M20,2,"rate",$AQ$1,$AN16,$AN18)</f>
        <v>#N/A</v>
      </c>
      <c r="AR16" s="240" t="e" cm="1">
        <f t="array" ref="AR16">pareto($L15:$L20,$M15:$M20,2,"dist",$AQ$1,$AN16,$AN18)</f>
        <v>#N/A</v>
      </c>
      <c r="AS16" s="240"/>
      <c r="AT16" s="240"/>
      <c r="AU16" s="240"/>
    </row>
    <row r="17" spans="1:47" x14ac:dyDescent="0.25">
      <c r="A17" s="183"/>
      <c r="B17" s="193">
        <v>32</v>
      </c>
      <c r="C17" s="184">
        <v>0.14510904730031229</v>
      </c>
      <c r="D17" s="185">
        <v>50.660653293383859</v>
      </c>
      <c r="E17" s="86"/>
      <c r="F17" s="86"/>
      <c r="G17" s="86"/>
      <c r="H17" s="225"/>
      <c r="I17" s="180"/>
      <c r="J17" s="186"/>
      <c r="K17" s="182"/>
      <c r="L17" s="184"/>
      <c r="M17" s="185"/>
      <c r="N17" s="86"/>
      <c r="O17" s="86"/>
      <c r="P17" s="86"/>
      <c r="Q17" s="225"/>
      <c r="R17" s="180"/>
      <c r="S17" s="186"/>
      <c r="T17" s="37" t="e">
        <f t="shared" si="0"/>
        <v>#DIV/0!</v>
      </c>
      <c r="U17" s="38" t="e">
        <f t="shared" si="0"/>
        <v>#DIV/0!</v>
      </c>
      <c r="V17" s="182"/>
      <c r="W17" s="199"/>
      <c r="X17" s="4"/>
      <c r="Y17" s="4"/>
      <c r="Z17" s="4"/>
      <c r="AA17" s="4"/>
      <c r="AB17" s="4"/>
      <c r="AC17" s="4"/>
      <c r="AD17" s="4"/>
      <c r="AE17" s="4"/>
      <c r="AF17" s="5"/>
      <c r="AG17" s="59"/>
      <c r="AN17" s="240" t="s">
        <v>44</v>
      </c>
      <c r="AO17" s="240" cm="1">
        <f t="array" ref="AO17">pareto($C15:$C20,$D15:$D20,3,"rate",$AQ$1,$AN16,$AN18)</f>
        <v>0.14510904730031229</v>
      </c>
      <c r="AP17" s="240" cm="1">
        <f t="array" ref="AP17">pareto($C15:$C20,$D15:$D20,3,"dist",$AQ$1,$AN16,$AN18)</f>
        <v>50.660653293383859</v>
      </c>
      <c r="AQ17" s="240" t="e" cm="1">
        <f t="array" ref="AQ17">pareto($L15:$L20,$M15:$M20,3,"rate",$AQ$1,$AN16,$AN18)</f>
        <v>#N/A</v>
      </c>
      <c r="AR17" s="240" t="e" cm="1">
        <f t="array" ref="AR17">pareto($L15:$L20,$M15:$M20,3,"dist",$AQ$1,$AN16,$AN18)</f>
        <v>#N/A</v>
      </c>
      <c r="AS17" s="240"/>
      <c r="AT17" s="240"/>
      <c r="AU17" s="240"/>
    </row>
    <row r="18" spans="1:47" x14ac:dyDescent="0.25">
      <c r="A18" s="183"/>
      <c r="B18" s="193">
        <v>37</v>
      </c>
      <c r="C18" s="184">
        <v>7.5285517068273092E-2</v>
      </c>
      <c r="D18" s="185">
        <v>45.279398643700368</v>
      </c>
      <c r="E18" s="86"/>
      <c r="F18" s="86"/>
      <c r="G18" s="86"/>
      <c r="H18" s="225"/>
      <c r="I18" s="180"/>
      <c r="J18" s="186"/>
      <c r="K18" s="182"/>
      <c r="L18" s="184"/>
      <c r="M18" s="185"/>
      <c r="N18" s="86"/>
      <c r="O18" s="86"/>
      <c r="P18" s="86"/>
      <c r="Q18" s="225"/>
      <c r="R18" s="180"/>
      <c r="S18" s="186"/>
      <c r="T18" s="37" t="e">
        <f t="shared" si="0"/>
        <v>#DIV/0!</v>
      </c>
      <c r="U18" s="38" t="e">
        <f t="shared" si="0"/>
        <v>#DIV/0!</v>
      </c>
      <c r="V18" s="182"/>
      <c r="W18" s="199"/>
      <c r="X18" s="4"/>
      <c r="Y18" s="4"/>
      <c r="Z18" s="4"/>
      <c r="AA18" s="4"/>
      <c r="AB18" s="4"/>
      <c r="AC18" s="4"/>
      <c r="AD18" s="4"/>
      <c r="AE18" s="4"/>
      <c r="AF18" s="5"/>
      <c r="AG18" s="59"/>
      <c r="AN18" s="240">
        <v>10</v>
      </c>
      <c r="AO18" s="240" cm="1">
        <f t="array" ref="AO18">pareto($C15:$C20,$D15:$D20,4,"rate",$AQ$1,$AN16,$AN18)</f>
        <v>7.5285517068273092E-2</v>
      </c>
      <c r="AP18" s="240" cm="1">
        <f t="array" ref="AP18">pareto($C15:$C20,$D15:$D20,4,"dist",$AQ$1,$AN16,$AN18)</f>
        <v>45.279398643700368</v>
      </c>
      <c r="AQ18" s="240" t="e" cm="1">
        <f t="array" ref="AQ18">pareto($L15:$L20,$M15:$M20,4,"rate",$AQ$1,$AN16,$AN18)</f>
        <v>#N/A</v>
      </c>
      <c r="AR18" s="240" t="e" cm="1">
        <f t="array" ref="AR18">pareto($L15:$L20,$M15:$M20,4,"dist",$AQ$1,$AN16,$AN18)</f>
        <v>#N/A</v>
      </c>
      <c r="AS18" s="240"/>
      <c r="AT18" s="240"/>
      <c r="AU18" s="240"/>
    </row>
    <row r="19" spans="1:47" x14ac:dyDescent="0.25">
      <c r="A19" s="183"/>
      <c r="B19" s="193">
        <v>42</v>
      </c>
      <c r="C19" s="184">
        <v>3.7149709950914767E-2</v>
      </c>
      <c r="D19" s="185">
        <v>38.523570450059609</v>
      </c>
      <c r="E19" s="86"/>
      <c r="F19" s="86"/>
      <c r="G19" s="86"/>
      <c r="H19" s="225"/>
      <c r="I19" s="180"/>
      <c r="J19" s="186"/>
      <c r="K19" s="182"/>
      <c r="L19" s="184"/>
      <c r="M19" s="185"/>
      <c r="N19" s="86"/>
      <c r="O19" s="86"/>
      <c r="P19" s="86"/>
      <c r="Q19" s="225"/>
      <c r="R19" s="180"/>
      <c r="S19" s="186"/>
      <c r="T19" s="37" t="e">
        <f t="shared" ref="T19:U20" si="1">R19/I19</f>
        <v>#DIV/0!</v>
      </c>
      <c r="U19" s="38" t="e">
        <f t="shared" si="1"/>
        <v>#DIV/0!</v>
      </c>
      <c r="V19" s="182"/>
      <c r="W19" s="199"/>
      <c r="X19" s="4"/>
      <c r="Y19" s="4"/>
      <c r="Z19" s="4"/>
      <c r="AA19" s="4"/>
      <c r="AB19" s="4"/>
      <c r="AC19" s="4"/>
      <c r="AD19" s="4"/>
      <c r="AE19" s="4"/>
      <c r="AF19" s="5"/>
      <c r="AG19" s="59"/>
      <c r="AN19" s="240"/>
      <c r="AO19" s="240" cm="1">
        <f t="array" ref="AO19">pareto($C15:$C20,$D15:$D20,5,"rate",$AQ$1,$AN16,$AN18)</f>
        <v>3.7149709950914767E-2</v>
      </c>
      <c r="AP19" s="240" cm="1">
        <f t="array" ref="AP19">pareto($C15:$C20,$D15:$D20,5,"dist",$AQ$1,$AN16,$AN18)</f>
        <v>38.523570450059609</v>
      </c>
      <c r="AQ19" s="240" t="e" cm="1">
        <f t="array" ref="AQ19">pareto($L15:$L20,$M15:$M20,5,"rate",$AQ$1,$AN16,$AN18)</f>
        <v>#N/A</v>
      </c>
      <c r="AR19" s="240" t="e" cm="1">
        <f t="array" ref="AR19">pareto($L15:$L20,$M15:$M20,5,"dist",$AQ$1,$AN16,$AN18)</f>
        <v>#N/A</v>
      </c>
      <c r="AS19" s="240"/>
      <c r="AT19" s="240"/>
      <c r="AU19" s="240"/>
    </row>
    <row r="20" spans="1:47" ht="17.25" thickBot="1" x14ac:dyDescent="0.3">
      <c r="A20" s="187"/>
      <c r="B20" s="194">
        <v>47</v>
      </c>
      <c r="C20" s="188">
        <v>1.746406923992265E-2</v>
      </c>
      <c r="D20" s="189">
        <v>20.117992234421841</v>
      </c>
      <c r="E20" s="94"/>
      <c r="F20" s="94"/>
      <c r="G20" s="94"/>
      <c r="H20" s="226"/>
      <c r="I20" s="190"/>
      <c r="J20" s="191"/>
      <c r="K20" s="196"/>
      <c r="L20" s="188"/>
      <c r="M20" s="189"/>
      <c r="N20" s="94"/>
      <c r="O20" s="94"/>
      <c r="P20" s="94"/>
      <c r="Q20" s="226"/>
      <c r="R20" s="190"/>
      <c r="S20" s="191"/>
      <c r="T20" s="3" t="e">
        <f t="shared" si="1"/>
        <v>#DIV/0!</v>
      </c>
      <c r="U20" s="39" t="e">
        <f t="shared" si="1"/>
        <v>#DIV/0!</v>
      </c>
      <c r="V20" s="196"/>
      <c r="W20" s="200"/>
      <c r="X20" s="6"/>
      <c r="Y20" s="6"/>
      <c r="Z20" s="6"/>
      <c r="AA20" s="6"/>
      <c r="AB20" s="6"/>
      <c r="AC20" s="6"/>
      <c r="AD20" s="6"/>
      <c r="AE20" s="6"/>
      <c r="AF20" s="7"/>
      <c r="AG20" s="63"/>
      <c r="AN20" s="240"/>
      <c r="AO20" s="240" cm="1">
        <f t="array" ref="AO20">pareto($C15:$C20,$D15:$D20,6,"rate",$AQ$1,$AN16,$AN18)</f>
        <v>1.746406923992265E-2</v>
      </c>
      <c r="AP20" s="240" cm="1">
        <f t="array" ref="AP20">pareto($C15:$C20,$D15:$D20,6,"dist",$AQ$1,$AN16,$AN18)</f>
        <v>20.117992234421841</v>
      </c>
      <c r="AQ20" s="240" t="e" cm="1">
        <f t="array" ref="AQ20">pareto($L15:$L20,$M15:$M20,6,"rate",$AQ$1,$AN16,$AN18)</f>
        <v>#N/A</v>
      </c>
      <c r="AR20" s="240" t="e" cm="1">
        <f t="array" ref="AR20">pareto($L15:$L20,$M15:$M20,6,"dist",$AQ$1,$AN16,$AN18)</f>
        <v>#N/A</v>
      </c>
      <c r="AS20" s="240"/>
      <c r="AT20" s="240"/>
      <c r="AU20" s="240"/>
    </row>
    <row r="21" spans="1:47" s="1" customFormat="1" ht="12" customHeight="1" x14ac:dyDescent="0.2">
      <c r="A21" s="197" t="s">
        <v>136</v>
      </c>
      <c r="I21" s="1" t="e">
        <f>GEOMEAN(I3:I20)</f>
        <v>#NUM!</v>
      </c>
      <c r="J21" s="1" t="e">
        <f>GEOMEAN(J3:J20)</f>
        <v>#NUM!</v>
      </c>
      <c r="R21" s="1" t="e">
        <f>GEOMEAN(R3:R20)</f>
        <v>#NUM!</v>
      </c>
      <c r="S21" s="1" t="e">
        <f>GEOMEAN(S3:S20)</f>
        <v>#NUM!</v>
      </c>
      <c r="T21" s="1" t="e">
        <f>GEOMEAN(T3:T20)</f>
        <v>#DIV/0!</v>
      </c>
      <c r="U21" s="1" t="e">
        <f>GEOMEAN(U3:U20)</f>
        <v>#DIV/0!</v>
      </c>
      <c r="W21" s="4" t="e">
        <f>AVERAGE(W3,W9,W15)</f>
        <v>#NUM!</v>
      </c>
      <c r="X21" s="4" t="e">
        <f t="shared" ref="X21" si="2">AVERAGE(X3,X9,X15)</f>
        <v>#NUM!</v>
      </c>
      <c r="Y21" s="4" t="e">
        <f t="shared" ref="Y21" si="3">AVERAGE(Y3,Y9,Y15)</f>
        <v>#NUM!</v>
      </c>
      <c r="Z21" s="4" t="e">
        <f t="shared" ref="Z21" si="4">AVERAGE(Z3,Z9,Z15)</f>
        <v>#NUM!</v>
      </c>
      <c r="AA21" s="4" t="e">
        <f t="shared" ref="AA21" si="5">AVERAGE(AA3,AA9,AA15)</f>
        <v>#NUM!</v>
      </c>
      <c r="AB21" s="4" t="e">
        <f t="shared" ref="AB21" si="6">AVERAGE(AB3,AB9,AB15)</f>
        <v>#NUM!</v>
      </c>
      <c r="AC21" s="4" t="e">
        <f t="shared" ref="AC21:AG21" si="7">AVERAGE(AC3,AC9,AC15)</f>
        <v>#VALUE!</v>
      </c>
      <c r="AD21" s="4" t="e">
        <f t="shared" si="7"/>
        <v>#VALUE!</v>
      </c>
      <c r="AE21" s="4" t="e">
        <f t="shared" si="7"/>
        <v>#VALUE!</v>
      </c>
      <c r="AF21" s="4" t="e">
        <f t="shared" si="7"/>
        <v>#VALUE!</v>
      </c>
      <c r="AG21" s="12" t="e">
        <f t="shared" si="7"/>
        <v>#VALUE!</v>
      </c>
      <c r="AN21" s="240"/>
      <c r="AO21" s="240"/>
      <c r="AP21" s="240"/>
      <c r="AQ21" s="240"/>
      <c r="AR21" s="240"/>
      <c r="AS21" s="240"/>
      <c r="AT21" s="240"/>
      <c r="AU21" s="240"/>
    </row>
    <row r="22" spans="1:47" s="1" customFormat="1" ht="12" customHeight="1" x14ac:dyDescent="0.2">
      <c r="A22" s="197" t="s">
        <v>133</v>
      </c>
      <c r="I22" s="1" t="e">
        <f>GEOMEAN(I3:I8)</f>
        <v>#NUM!</v>
      </c>
      <c r="J22" s="1" t="e">
        <f>GEOMEAN(J3:J8)</f>
        <v>#NUM!</v>
      </c>
      <c r="R22" s="1" t="e">
        <f>GEOMEAN(R3:R8)</f>
        <v>#NUM!</v>
      </c>
      <c r="S22" s="1" t="e">
        <f>GEOMEAN(S3:S8)</f>
        <v>#NUM!</v>
      </c>
      <c r="T22" s="1" t="e">
        <f>GEOMEAN(T3:T8)</f>
        <v>#DIV/0!</v>
      </c>
      <c r="U22" s="1" t="e">
        <f>GEOMEAN(U3:U8)</f>
        <v>#DIV/0!</v>
      </c>
      <c r="W22" s="4">
        <f t="shared" ref="W22:AG22" si="8">AVERAGE(W3)</f>
        <v>1E+308</v>
      </c>
      <c r="X22" s="4">
        <f t="shared" ref="X22" si="9">AVERAGE(X3)</f>
        <v>1E+308</v>
      </c>
      <c r="Y22" s="4">
        <f t="shared" ref="Y22" si="10">AVERAGE(Y3)</f>
        <v>1E+308</v>
      </c>
      <c r="Z22" s="4">
        <f t="shared" ref="Z22" si="11">AVERAGE(Z3)</f>
        <v>1E+308</v>
      </c>
      <c r="AA22" s="4">
        <f t="shared" ref="AA22" si="12">AVERAGE(AA3)</f>
        <v>1E+308</v>
      </c>
      <c r="AB22" s="4">
        <f t="shared" ref="AB22" si="13">AVERAGE(AB3)</f>
        <v>1E+308</v>
      </c>
      <c r="AC22" s="4" t="e">
        <f t="shared" si="8"/>
        <v>#VALUE!</v>
      </c>
      <c r="AD22" s="4" t="e">
        <f t="shared" si="8"/>
        <v>#VALUE!</v>
      </c>
      <c r="AE22" s="4" t="e">
        <f t="shared" si="8"/>
        <v>#VALUE!</v>
      </c>
      <c r="AF22" s="4" t="e">
        <f t="shared" si="8"/>
        <v>#VALUE!</v>
      </c>
      <c r="AG22" s="12" t="e">
        <f t="shared" si="8"/>
        <v>#VALUE!</v>
      </c>
      <c r="AN22" s="240"/>
      <c r="AO22" s="240"/>
      <c r="AP22" s="240"/>
      <c r="AQ22" s="240"/>
      <c r="AR22" s="240"/>
      <c r="AS22" s="240"/>
      <c r="AT22" s="240"/>
      <c r="AU22" s="240"/>
    </row>
    <row r="23" spans="1:47" s="1" customFormat="1" ht="12" customHeight="1" x14ac:dyDescent="0.2">
      <c r="A23" s="197" t="s">
        <v>137</v>
      </c>
      <c r="I23" s="1" t="e">
        <f>GEOMEAN(I9:I14)</f>
        <v>#NUM!</v>
      </c>
      <c r="J23" s="1" t="e">
        <f>GEOMEAN(J9:J14)</f>
        <v>#NUM!</v>
      </c>
      <c r="R23" s="1" t="e">
        <f>GEOMEAN(R9:R14)</f>
        <v>#NUM!</v>
      </c>
      <c r="S23" s="1" t="e">
        <f>GEOMEAN(S9:S14)</f>
        <v>#NUM!</v>
      </c>
      <c r="T23" s="1" t="e">
        <f>GEOMEAN(T9:T14)</f>
        <v>#DIV/0!</v>
      </c>
      <c r="U23" s="1" t="e">
        <f>GEOMEAN(U9:U14)</f>
        <v>#DIV/0!</v>
      </c>
      <c r="W23" s="4">
        <f t="shared" ref="W23:AG23" si="14">AVERAGE(W9)</f>
        <v>1E+308</v>
      </c>
      <c r="X23" s="4">
        <f t="shared" ref="X23" si="15">AVERAGE(X9)</f>
        <v>1E+308</v>
      </c>
      <c r="Y23" s="4">
        <f t="shared" ref="Y23" si="16">AVERAGE(Y9)</f>
        <v>1E+308</v>
      </c>
      <c r="Z23" s="4">
        <f t="shared" ref="Z23" si="17">AVERAGE(Z9)</f>
        <v>1E+308</v>
      </c>
      <c r="AA23" s="4">
        <f t="shared" ref="AA23" si="18">AVERAGE(AA9)</f>
        <v>1E+308</v>
      </c>
      <c r="AB23" s="4">
        <f t="shared" ref="AB23" si="19">AVERAGE(AB9)</f>
        <v>1E+308</v>
      </c>
      <c r="AC23" s="4" t="e">
        <f t="shared" si="14"/>
        <v>#VALUE!</v>
      </c>
      <c r="AD23" s="4" t="e">
        <f t="shared" si="14"/>
        <v>#VALUE!</v>
      </c>
      <c r="AE23" s="4" t="e">
        <f t="shared" si="14"/>
        <v>#VALUE!</v>
      </c>
      <c r="AF23" s="4" t="e">
        <f t="shared" si="14"/>
        <v>#VALUE!</v>
      </c>
      <c r="AG23" s="12" t="e">
        <f t="shared" si="14"/>
        <v>#VALUE!</v>
      </c>
      <c r="AN23" s="240"/>
      <c r="AO23" s="240"/>
      <c r="AP23" s="240"/>
      <c r="AQ23" s="240"/>
      <c r="AR23" s="240"/>
      <c r="AS23" s="240"/>
      <c r="AT23" s="240"/>
      <c r="AU23" s="240"/>
    </row>
    <row r="24" spans="1:47" s="1" customFormat="1" ht="12" customHeight="1" x14ac:dyDescent="0.2">
      <c r="A24" s="197" t="s">
        <v>138</v>
      </c>
      <c r="I24" s="1" t="e">
        <f>GEOMEAN(I15:I20)</f>
        <v>#NUM!</v>
      </c>
      <c r="J24" s="1" t="e">
        <f>GEOMEAN(J15:J20)</f>
        <v>#NUM!</v>
      </c>
      <c r="R24" s="1" t="e">
        <f>GEOMEAN(R15:R20)</f>
        <v>#NUM!</v>
      </c>
      <c r="S24" s="1" t="e">
        <f>GEOMEAN(S15:S20)</f>
        <v>#NUM!</v>
      </c>
      <c r="T24" s="1" t="e">
        <f>GEOMEAN(T15:T20)</f>
        <v>#DIV/0!</v>
      </c>
      <c r="U24" s="1" t="e">
        <f>GEOMEAN(U15:U20)</f>
        <v>#DIV/0!</v>
      </c>
      <c r="W24" s="4">
        <f t="shared" ref="W24:AG24" si="20">AVERAGE(W15)</f>
        <v>1E+308</v>
      </c>
      <c r="X24" s="4">
        <f t="shared" ref="X24" si="21">AVERAGE(X15)</f>
        <v>1E+308</v>
      </c>
      <c r="Y24" s="4">
        <f t="shared" ref="Y24" si="22">AVERAGE(Y15)</f>
        <v>1E+308</v>
      </c>
      <c r="Z24" s="4">
        <f t="shared" ref="Z24" si="23">AVERAGE(Z15)</f>
        <v>1E+308</v>
      </c>
      <c r="AA24" s="4">
        <f t="shared" ref="AA24" si="24">AVERAGE(AA15)</f>
        <v>1E+308</v>
      </c>
      <c r="AB24" s="4">
        <f t="shared" ref="AB24" si="25">AVERAGE(AB15)</f>
        <v>1E+308</v>
      </c>
      <c r="AC24" s="4" t="e">
        <f t="shared" si="20"/>
        <v>#VALUE!</v>
      </c>
      <c r="AD24" s="4" t="e">
        <f t="shared" si="20"/>
        <v>#VALUE!</v>
      </c>
      <c r="AE24" s="4" t="e">
        <f t="shared" si="20"/>
        <v>#VALUE!</v>
      </c>
      <c r="AF24" s="4" t="e">
        <f t="shared" si="20"/>
        <v>#VALUE!</v>
      </c>
      <c r="AG24" s="12" t="e">
        <f t="shared" si="20"/>
        <v>#VALUE!</v>
      </c>
      <c r="AN24" s="240"/>
      <c r="AO24" s="240"/>
      <c r="AP24" s="240"/>
      <c r="AQ24" s="240"/>
      <c r="AR24" s="240"/>
      <c r="AS24" s="240"/>
      <c r="AT24" s="240"/>
      <c r="AU24" s="240"/>
    </row>
    <row r="25" spans="1:47" s="1" customFormat="1" ht="12" customHeight="1" x14ac:dyDescent="0.2">
      <c r="A25" s="198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12"/>
      <c r="AN25" s="240"/>
      <c r="AO25" s="240"/>
      <c r="AP25" s="240"/>
      <c r="AQ25" s="240"/>
      <c r="AR25" s="240"/>
      <c r="AS25" s="240"/>
      <c r="AT25" s="240"/>
      <c r="AU25" s="240"/>
    </row>
    <row r="26" spans="1:47" s="1" customFormat="1" ht="12" customHeight="1" x14ac:dyDescent="0.2">
      <c r="A26" s="197" t="s">
        <v>134</v>
      </c>
      <c r="I26" s="12">
        <f>SUM(I3:I20)</f>
        <v>0</v>
      </c>
      <c r="J26" s="12">
        <f>SUM(J3:J20)</f>
        <v>0</v>
      </c>
      <c r="R26" s="12">
        <f>SUM(R3:R20)</f>
        <v>0</v>
      </c>
      <c r="S26" s="12">
        <f>SUM(S3:S20)</f>
        <v>0</v>
      </c>
      <c r="AN26" s="240"/>
      <c r="AO26" s="240"/>
      <c r="AP26" s="240"/>
      <c r="AQ26" s="240"/>
      <c r="AR26" s="240"/>
      <c r="AS26" s="240"/>
      <c r="AT26" s="240"/>
      <c r="AU26" s="240"/>
    </row>
    <row r="27" spans="1:47" s="1" customFormat="1" ht="12" customHeight="1" x14ac:dyDescent="0.2">
      <c r="A27" s="197" t="s">
        <v>135</v>
      </c>
      <c r="R27" s="1" t="e">
        <f>R26/I26</f>
        <v>#DIV/0!</v>
      </c>
      <c r="S27" s="1" t="e">
        <f>S26/J26</f>
        <v>#DIV/0!</v>
      </c>
      <c r="AN27" s="240"/>
      <c r="AO27" s="240"/>
      <c r="AP27" s="240"/>
      <c r="AQ27" s="240"/>
      <c r="AR27" s="240"/>
      <c r="AS27" s="240"/>
      <c r="AT27" s="240"/>
      <c r="AU27" s="240"/>
    </row>
    <row r="28" spans="1:47" s="1" customFormat="1" ht="12" customHeight="1" x14ac:dyDescent="0.2">
      <c r="A28" s="197" t="s">
        <v>7</v>
      </c>
      <c r="I28" s="1" t="e">
        <f>GEOMEAN(I3:I20)</f>
        <v>#NUM!</v>
      </c>
      <c r="J28" s="1" t="e">
        <f>GEOMEAN(J3:J20)</f>
        <v>#NUM!</v>
      </c>
      <c r="R28" s="1" t="e">
        <f>GEOMEAN(R3:R20)</f>
        <v>#NUM!</v>
      </c>
      <c r="S28" s="1" t="e">
        <f>GEOMEAN(S3:S20)</f>
        <v>#NUM!</v>
      </c>
      <c r="AN28" s="240"/>
      <c r="AO28" s="240"/>
      <c r="AP28" s="240"/>
      <c r="AQ28" s="240"/>
      <c r="AR28" s="240"/>
      <c r="AS28" s="240"/>
      <c r="AT28" s="240"/>
      <c r="AU28" s="240"/>
    </row>
    <row r="29" spans="1:47" s="1" customFormat="1" ht="12" customHeight="1" x14ac:dyDescent="0.2">
      <c r="A29" s="197" t="s">
        <v>8</v>
      </c>
      <c r="R29" s="1" t="e">
        <f>R28/I28</f>
        <v>#NUM!</v>
      </c>
      <c r="S29" s="1" t="e">
        <f>S28/J28</f>
        <v>#NUM!</v>
      </c>
      <c r="AN29" s="240"/>
      <c r="AO29" s="240"/>
      <c r="AP29" s="240"/>
      <c r="AQ29" s="240"/>
      <c r="AR29" s="240"/>
      <c r="AS29" s="240"/>
      <c r="AT29" s="240"/>
      <c r="AU29" s="240"/>
    </row>
    <row r="30" spans="1:47" s="1" customFormat="1" ht="12" customHeight="1" x14ac:dyDescent="0.2">
      <c r="A30" s="197"/>
      <c r="AN30" s="240"/>
      <c r="AO30" s="240"/>
      <c r="AP30" s="240"/>
      <c r="AQ30" s="240"/>
      <c r="AR30" s="240"/>
      <c r="AS30" s="240"/>
      <c r="AT30" s="240"/>
      <c r="AU30" s="240"/>
    </row>
    <row r="31" spans="1:47" x14ac:dyDescent="0.25">
      <c r="AN31" s="240"/>
      <c r="AO31" s="240"/>
      <c r="AP31" s="240"/>
      <c r="AQ31" s="240"/>
      <c r="AR31" s="240"/>
      <c r="AS31" s="240"/>
      <c r="AT31" s="240"/>
      <c r="AU31" s="240"/>
    </row>
    <row r="32" spans="1:47" x14ac:dyDescent="0.25">
      <c r="AN32" s="240"/>
      <c r="AO32" s="240"/>
      <c r="AP32" s="240"/>
      <c r="AQ32" s="240"/>
      <c r="AR32" s="240"/>
      <c r="AS32" s="240"/>
      <c r="AT32" s="240"/>
      <c r="AU32" s="240"/>
    </row>
    <row r="33" spans="40:47" x14ac:dyDescent="0.25">
      <c r="AN33" s="240"/>
      <c r="AO33" s="240"/>
      <c r="AP33" s="240"/>
      <c r="AQ33" s="240"/>
      <c r="AR33" s="240"/>
      <c r="AS33" s="240"/>
      <c r="AT33" s="240"/>
      <c r="AU33" s="240"/>
    </row>
    <row r="34" spans="40:47" x14ac:dyDescent="0.25">
      <c r="AN34" s="240"/>
      <c r="AO34" s="240"/>
      <c r="AP34" s="240"/>
      <c r="AQ34" s="240"/>
      <c r="AR34" s="240"/>
      <c r="AS34" s="240"/>
      <c r="AT34" s="240"/>
      <c r="AU34" s="240"/>
    </row>
    <row r="35" spans="40:47" x14ac:dyDescent="0.25">
      <c r="AN35" s="240"/>
      <c r="AO35" s="240"/>
      <c r="AP35" s="240"/>
      <c r="AQ35" s="240"/>
      <c r="AR35" s="240"/>
      <c r="AS35" s="240"/>
      <c r="AT35" s="240"/>
      <c r="AU35" s="240"/>
    </row>
    <row r="36" spans="40:47" x14ac:dyDescent="0.25">
      <c r="AN36" s="240"/>
      <c r="AO36" s="240"/>
      <c r="AP36" s="240"/>
      <c r="AQ36" s="240"/>
      <c r="AR36" s="240"/>
      <c r="AS36" s="240"/>
      <c r="AT36" s="240"/>
      <c r="AU36" s="240"/>
    </row>
    <row r="37" spans="40:47" x14ac:dyDescent="0.25">
      <c r="AN37" s="240"/>
      <c r="AO37" s="240"/>
      <c r="AP37" s="240"/>
      <c r="AQ37" s="240"/>
      <c r="AR37" s="240"/>
      <c r="AS37" s="240"/>
      <c r="AT37" s="240"/>
      <c r="AU37" s="240"/>
    </row>
    <row r="38" spans="40:47" x14ac:dyDescent="0.25">
      <c r="AN38" s="240"/>
      <c r="AO38" s="240"/>
      <c r="AP38" s="240"/>
      <c r="AQ38" s="240"/>
      <c r="AR38" s="240"/>
      <c r="AS38" s="240"/>
      <c r="AT38" s="240"/>
      <c r="AU38" s="240"/>
    </row>
    <row r="39" spans="40:47" x14ac:dyDescent="0.25">
      <c r="AN39" s="240"/>
      <c r="AO39" s="240"/>
      <c r="AP39" s="240"/>
      <c r="AQ39" s="240"/>
      <c r="AR39" s="240"/>
      <c r="AS39" s="240"/>
      <c r="AT39" s="240"/>
      <c r="AU39" s="240"/>
    </row>
    <row r="40" spans="40:47" x14ac:dyDescent="0.25">
      <c r="AN40" s="240"/>
      <c r="AO40" s="240"/>
      <c r="AP40" s="240"/>
      <c r="AQ40" s="240"/>
      <c r="AR40" s="240"/>
      <c r="AS40" s="240"/>
      <c r="AT40" s="240"/>
      <c r="AU40" s="240"/>
    </row>
    <row r="41" spans="40:47" x14ac:dyDescent="0.25">
      <c r="AN41" s="240"/>
      <c r="AO41" s="240"/>
      <c r="AP41" s="240"/>
      <c r="AQ41" s="240"/>
      <c r="AR41" s="240"/>
      <c r="AS41" s="240"/>
      <c r="AT41" s="240"/>
      <c r="AU41" s="240"/>
    </row>
    <row r="42" spans="40:47" x14ac:dyDescent="0.25">
      <c r="AN42" s="240"/>
      <c r="AO42" s="240"/>
      <c r="AP42" s="240"/>
      <c r="AQ42" s="240"/>
      <c r="AR42" s="240"/>
      <c r="AS42" s="240"/>
      <c r="AT42" s="240"/>
      <c r="AU42" s="240"/>
    </row>
    <row r="43" spans="40:47" x14ac:dyDescent="0.25">
      <c r="AN43" s="240"/>
      <c r="AO43" s="240"/>
      <c r="AP43" s="240"/>
      <c r="AQ43" s="240"/>
      <c r="AR43" s="240"/>
      <c r="AS43" s="240"/>
      <c r="AT43" s="240"/>
      <c r="AU43" s="240"/>
    </row>
    <row r="44" spans="40:47" x14ac:dyDescent="0.25">
      <c r="AN44" s="240"/>
      <c r="AO44" s="240"/>
      <c r="AP44" s="240"/>
      <c r="AQ44" s="240"/>
      <c r="AR44" s="240"/>
      <c r="AS44" s="240"/>
      <c r="AT44" s="240"/>
      <c r="AU44" s="240"/>
    </row>
    <row r="45" spans="40:47" x14ac:dyDescent="0.25">
      <c r="AN45" s="240"/>
      <c r="AO45" s="240"/>
      <c r="AP45" s="240"/>
      <c r="AQ45" s="240"/>
      <c r="AR45" s="240"/>
      <c r="AS45" s="240"/>
      <c r="AT45" s="240"/>
      <c r="AU45" s="240"/>
    </row>
    <row r="46" spans="40:47" x14ac:dyDescent="0.25">
      <c r="AN46" s="240"/>
      <c r="AO46" s="240"/>
      <c r="AP46" s="240"/>
      <c r="AQ46" s="240"/>
      <c r="AR46" s="240"/>
      <c r="AS46" s="240"/>
      <c r="AT46" s="240"/>
      <c r="AU46" s="240"/>
    </row>
    <row r="47" spans="40:47" x14ac:dyDescent="0.25">
      <c r="AN47" s="240"/>
      <c r="AO47" s="240"/>
      <c r="AP47" s="240"/>
      <c r="AQ47" s="240"/>
      <c r="AR47" s="240"/>
      <c r="AS47" s="240"/>
      <c r="AT47" s="240"/>
      <c r="AU47" s="240"/>
    </row>
    <row r="48" spans="40:47" x14ac:dyDescent="0.25">
      <c r="AN48" s="240"/>
      <c r="AO48" s="240"/>
      <c r="AP48" s="240"/>
      <c r="AQ48" s="240"/>
      <c r="AR48" s="240"/>
      <c r="AS48" s="240"/>
      <c r="AT48" s="240"/>
      <c r="AU48" s="240"/>
    </row>
    <row r="49" spans="40:47" x14ac:dyDescent="0.25">
      <c r="AN49" s="240"/>
      <c r="AO49" s="240"/>
      <c r="AP49" s="240"/>
      <c r="AQ49" s="240"/>
      <c r="AR49" s="240"/>
      <c r="AS49" s="240"/>
      <c r="AT49" s="240"/>
      <c r="AU49" s="240"/>
    </row>
    <row r="50" spans="40:47" x14ac:dyDescent="0.25">
      <c r="AN50" s="240"/>
      <c r="AO50" s="240"/>
      <c r="AP50" s="240"/>
      <c r="AQ50" s="240"/>
      <c r="AR50" s="240"/>
      <c r="AS50" s="240"/>
      <c r="AT50" s="240"/>
      <c r="AU50" s="240"/>
    </row>
  </sheetData>
  <mergeCells count="4">
    <mergeCell ref="C1:J1"/>
    <mergeCell ref="L1:S1"/>
    <mergeCell ref="T1:U1"/>
    <mergeCell ref="W1:AF1"/>
  </mergeCells>
  <phoneticPr fontId="8" type="noConversion"/>
  <conditionalFormatting sqref="W4:W8 W10:W14 W16:AC20 AC10:AC14 AC4:AC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D12:AF13">
    <cfRule type="cellIs" dxfId="17" priority="11" operator="greaterThan">
      <formula>0.03</formula>
    </cfRule>
    <cfRule type="cellIs" dxfId="16" priority="12" stopIfTrue="1" operator="lessThan">
      <formula>-0.03</formula>
    </cfRule>
  </conditionalFormatting>
  <conditionalFormatting sqref="AD4:AF5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AD6:AF7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AD14:AF14 AD10:AF11 AD16:AF20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AD8:AF8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G4:AG8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AG10:AG14 AG16:AG20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X4:AB8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X10:AB14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dataValidations disablePrompts="1" count="1">
    <dataValidation type="list" allowBlank="1" showInputMessage="1" showErrorMessage="1" sqref="AQ1" xr:uid="{00000000-0002-0000-0700-000000000000}">
      <formula1>$AU$3:$AU$7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U299"/>
  <sheetViews>
    <sheetView zoomScale="91" zoomScaleNormal="85" workbookViewId="0">
      <selection activeCell="A7" sqref="A7"/>
    </sheetView>
  </sheetViews>
  <sheetFormatPr defaultColWidth="10.625" defaultRowHeight="16.5" x14ac:dyDescent="0.25"/>
  <cols>
    <col min="1" max="1" width="21.125" customWidth="1"/>
    <col min="2" max="2" width="15.5" customWidth="1"/>
    <col min="3" max="3" width="12" customWidth="1"/>
    <col min="26" max="26" width="20" customWidth="1"/>
    <col min="27" max="27" width="20.625" customWidth="1"/>
    <col min="28" max="28" width="17.5" customWidth="1"/>
    <col min="29" max="29" width="19.125" customWidth="1"/>
    <col min="30" max="30" width="12.125" customWidth="1"/>
    <col min="31" max="31" width="17.5" customWidth="1"/>
    <col min="32" max="32" width="19.125" customWidth="1"/>
    <col min="33" max="33" width="20.625" customWidth="1"/>
    <col min="34" max="34" width="45.125" customWidth="1"/>
  </cols>
  <sheetData>
    <row r="1" spans="1:47" x14ac:dyDescent="0.25">
      <c r="A1" t="s">
        <v>38</v>
      </c>
    </row>
    <row r="2" spans="1:47" x14ac:dyDescent="0.25">
      <c r="A2" s="11"/>
      <c r="B2" s="11"/>
      <c r="C2" s="11"/>
    </row>
    <row r="3" spans="1:47" x14ac:dyDescent="0.25">
      <c r="A3" s="10"/>
      <c r="AK3" s="22"/>
      <c r="AL3" s="23"/>
      <c r="AM3" s="23"/>
      <c r="AN3" s="23"/>
      <c r="AO3" s="24"/>
      <c r="AQ3" s="22"/>
      <c r="AR3" s="23"/>
      <c r="AS3" s="23"/>
      <c r="AT3" s="23"/>
      <c r="AU3" s="24"/>
    </row>
    <row r="4" spans="1:47" x14ac:dyDescent="0.25">
      <c r="Z4" t="s">
        <v>10</v>
      </c>
      <c r="AE4" s="10"/>
      <c r="AF4" s="10"/>
      <c r="AG4" s="10"/>
    </row>
    <row r="5" spans="1:47" x14ac:dyDescent="0.25">
      <c r="Z5" t="s">
        <v>54</v>
      </c>
      <c r="AE5" s="10"/>
      <c r="AF5" s="10"/>
      <c r="AG5" s="10"/>
    </row>
    <row r="6" spans="1:47" x14ac:dyDescent="0.25">
      <c r="A6" s="20" t="s">
        <v>107</v>
      </c>
      <c r="Z6" t="s">
        <v>90</v>
      </c>
      <c r="AA6">
        <v>100</v>
      </c>
      <c r="AB6">
        <v>0</v>
      </c>
    </row>
    <row r="7" spans="1:47" x14ac:dyDescent="0.25">
      <c r="A7" t="s">
        <v>228</v>
      </c>
      <c r="B7" t="s">
        <v>58</v>
      </c>
      <c r="C7">
        <v>100</v>
      </c>
      <c r="Z7" t="s">
        <v>91</v>
      </c>
      <c r="AA7">
        <v>75</v>
      </c>
      <c r="AB7">
        <v>1</v>
      </c>
    </row>
    <row r="8" spans="1:47" x14ac:dyDescent="0.25">
      <c r="Z8" t="s">
        <v>93</v>
      </c>
      <c r="AA8">
        <v>50</v>
      </c>
      <c r="AB8">
        <v>2</v>
      </c>
    </row>
    <row r="9" spans="1:47" x14ac:dyDescent="0.25">
      <c r="Z9" t="s">
        <v>94</v>
      </c>
      <c r="AA9">
        <v>25</v>
      </c>
      <c r="AB9">
        <v>3</v>
      </c>
    </row>
    <row r="10" spans="1:47" x14ac:dyDescent="0.25">
      <c r="Z10" t="s">
        <v>92</v>
      </c>
    </row>
    <row r="13" spans="1:47" ht="17.25" thickBot="1" x14ac:dyDescent="0.3">
      <c r="AF13" t="s">
        <v>81</v>
      </c>
      <c r="AL13" t="s">
        <v>82</v>
      </c>
    </row>
    <row r="14" spans="1:47" ht="17.25" thickBot="1" x14ac:dyDescent="0.3">
      <c r="AF14" s="13" t="s">
        <v>56</v>
      </c>
      <c r="AG14" s="9" t="s">
        <v>83</v>
      </c>
      <c r="AH14" s="9" t="s">
        <v>0</v>
      </c>
      <c r="AI14" s="9" t="s">
        <v>1</v>
      </c>
      <c r="AJ14" s="8" t="s">
        <v>2</v>
      </c>
      <c r="AL14" s="13" t="s">
        <v>56</v>
      </c>
      <c r="AM14" s="9" t="s">
        <v>83</v>
      </c>
      <c r="AN14" s="9" t="s">
        <v>0</v>
      </c>
      <c r="AO14" s="9" t="s">
        <v>1</v>
      </c>
      <c r="AP14" s="8" t="s">
        <v>2</v>
      </c>
    </row>
    <row r="15" spans="1:47" x14ac:dyDescent="0.25">
      <c r="X15" t="s">
        <v>150</v>
      </c>
      <c r="Y15">
        <v>1</v>
      </c>
      <c r="Z15">
        <v>0</v>
      </c>
      <c r="AA15" t="s">
        <v>58</v>
      </c>
      <c r="AB15">
        <v>4</v>
      </c>
      <c r="AC15">
        <v>4</v>
      </c>
      <c r="AD15">
        <v>5</v>
      </c>
      <c r="AE15">
        <f>VLOOKUP(B7,AA15:AB35,2,FALSE)+IF(A7=X15,102,24)*VLOOKUP(C7,AA6:AB9,2,FALSE)</f>
        <v>4</v>
      </c>
      <c r="AF15">
        <f ca="1">INDIRECT("'"&amp;$A$7&amp;"'!"&amp;ADDRESS($AE15,3+VLOOKUP($A$7,$X$15:$Y$20,2,FALSE)))</f>
        <v>402.6327273</v>
      </c>
      <c r="AG15">
        <f ca="1">INDIRECT("'"&amp;$A$7&amp;"'!"&amp;ADDRESS($AE15,4+VLOOKUP($A$7,$X$15:$Y$20,2,FALSE)))</f>
        <v>37.580471000000003</v>
      </c>
      <c r="AH15">
        <f t="shared" ref="AH15:AH20" ca="1" si="0">INDIRECT("'"&amp;$A$7&amp;"'!"&amp;ADDRESS($AE15,5+VLOOKUP($A$7,$X$15:$Y$20,2,FALSE)))</f>
        <v>0</v>
      </c>
      <c r="AI15">
        <f t="shared" ref="AI15:AI20" ca="1" si="1">INDIRECT("'"&amp;$A$7&amp;"'!"&amp;ADDRESS($AE15,6+VLOOKUP($A$7,$X$15:$Y$20,2,FALSE)))</f>
        <v>0</v>
      </c>
      <c r="AJ15">
        <f t="shared" ref="AJ15:AJ20" ca="1" si="2">INDIRECT("'"&amp;$A$7&amp;"'!"&amp;ADDRESS($AE15,7+VLOOKUP($A$7,$X$15:$Y$20,2,FALSE)))</f>
        <v>0</v>
      </c>
      <c r="AL15">
        <f t="shared" ref="AL15:AL20" ca="1" si="3">INDIRECT("'"&amp;$A$7&amp;"'!"&amp;ADDRESS($AE15,12+VLOOKUP($A$7,$X$15:$Y$20,2,FALSE)))</f>
        <v>402.63272727272698</v>
      </c>
      <c r="AM15">
        <f t="shared" ref="AM15:AM20" ca="1" si="4">INDIRECT("'"&amp;$A$7&amp;"'!"&amp;ADDRESS($AE15,13+VLOOKUP($A$7,$X$15:$Y$20,2,FALSE)))</f>
        <v>37.580471000000003</v>
      </c>
      <c r="AN15">
        <f t="shared" ref="AN15:AN20" ca="1" si="5">INDIRECT("'"&amp;$A$7&amp;"'!"&amp;ADDRESS($AE15,14+VLOOKUP($A$7,$X$15:$Y$20,2,FALSE)))</f>
        <v>0</v>
      </c>
      <c r="AO15">
        <f t="shared" ref="AO15:AO20" ca="1" si="6">INDIRECT("'"&amp;$A$7&amp;"'!"&amp;ADDRESS($AE15,15+VLOOKUP($A$7,$X$15:$Y$20,2,FALSE)))</f>
        <v>0</v>
      </c>
      <c r="AP15">
        <f t="shared" ref="AP15:AP20" ca="1" si="7">INDIRECT("'"&amp;$A$7&amp;"'!"&amp;ADDRESS($AE15,16+VLOOKUP($A$7,$X$15:$Y$20,2,FALSE)))</f>
        <v>0</v>
      </c>
    </row>
    <row r="16" spans="1:47" x14ac:dyDescent="0.25">
      <c r="X16" t="s">
        <v>151</v>
      </c>
      <c r="Y16">
        <v>1</v>
      </c>
      <c r="Z16">
        <v>123</v>
      </c>
      <c r="AA16" t="s">
        <v>61</v>
      </c>
      <c r="AB16">
        <f t="shared" ref="AB16:AB26" si="8">AB15+6</f>
        <v>10</v>
      </c>
      <c r="AC16">
        <v>14</v>
      </c>
      <c r="AD16">
        <v>5</v>
      </c>
      <c r="AE16">
        <f>AE15+1</f>
        <v>5</v>
      </c>
      <c r="AF16">
        <f ca="1">INDIRECT("'"&amp;$A$7&amp;"'!"&amp;ADDRESS($AE16,3+VLOOKUP($A$7,$X$15:$Y$20,2,FALSE)))</f>
        <v>323.70909089999998</v>
      </c>
      <c r="AG16">
        <f t="shared" ref="AG16:AG20" ca="1" si="9">INDIRECT("'"&amp;$A$7&amp;"'!"&amp;ADDRESS($AE16,4+VLOOKUP($A$7,$X$15:$Y$20,2,FALSE)))</f>
        <v>36.137171000000002</v>
      </c>
      <c r="AH16">
        <f t="shared" ca="1" si="0"/>
        <v>0</v>
      </c>
      <c r="AI16">
        <f t="shared" ca="1" si="1"/>
        <v>0</v>
      </c>
      <c r="AJ16">
        <f t="shared" ca="1" si="2"/>
        <v>0</v>
      </c>
      <c r="AL16">
        <f t="shared" ca="1" si="3"/>
        <v>323.70909090908998</v>
      </c>
      <c r="AM16">
        <f t="shared" ca="1" si="4"/>
        <v>36.137171000000002</v>
      </c>
      <c r="AN16">
        <f t="shared" ca="1" si="5"/>
        <v>0</v>
      </c>
      <c r="AO16">
        <f t="shared" ca="1" si="6"/>
        <v>0</v>
      </c>
      <c r="AP16">
        <f t="shared" ca="1" si="7"/>
        <v>0</v>
      </c>
    </row>
    <row r="17" spans="24:42" x14ac:dyDescent="0.25">
      <c r="X17" t="s">
        <v>152</v>
      </c>
      <c r="Y17">
        <v>1</v>
      </c>
      <c r="Z17">
        <v>253</v>
      </c>
      <c r="AA17" t="s">
        <v>62</v>
      </c>
      <c r="AB17">
        <f t="shared" si="8"/>
        <v>16</v>
      </c>
      <c r="AC17">
        <v>14</v>
      </c>
      <c r="AD17">
        <v>30</v>
      </c>
      <c r="AE17">
        <f>AE16+1</f>
        <v>6</v>
      </c>
      <c r="AF17">
        <f t="shared" ref="AF17:AF20" ca="1" si="10">INDIRECT("'"&amp;$A$7&amp;"'!"&amp;ADDRESS($AE17,3+VLOOKUP($A$7,$X$15:$Y$20,2,FALSE)))</f>
        <v>161.80363639999999</v>
      </c>
      <c r="AG17">
        <f t="shared" ca="1" si="9"/>
        <v>36.807102</v>
      </c>
      <c r="AH17">
        <f t="shared" ca="1" si="0"/>
        <v>0</v>
      </c>
      <c r="AI17">
        <f t="shared" ca="1" si="1"/>
        <v>0</v>
      </c>
      <c r="AJ17">
        <f t="shared" ca="1" si="2"/>
        <v>0</v>
      </c>
      <c r="AL17">
        <f t="shared" ca="1" si="3"/>
        <v>161.803636363636</v>
      </c>
      <c r="AM17">
        <f t="shared" ca="1" si="4"/>
        <v>36.807102</v>
      </c>
      <c r="AN17">
        <f t="shared" ca="1" si="5"/>
        <v>0</v>
      </c>
      <c r="AO17">
        <f t="shared" ca="1" si="6"/>
        <v>0</v>
      </c>
      <c r="AP17">
        <f t="shared" ca="1" si="7"/>
        <v>0</v>
      </c>
    </row>
    <row r="18" spans="24:42" x14ac:dyDescent="0.25">
      <c r="X18" t="s">
        <v>153</v>
      </c>
      <c r="Y18">
        <v>0</v>
      </c>
      <c r="Z18">
        <v>0</v>
      </c>
      <c r="AA18" t="s">
        <v>63</v>
      </c>
      <c r="AB18">
        <f t="shared" si="8"/>
        <v>22</v>
      </c>
      <c r="AC18">
        <v>14</v>
      </c>
      <c r="AD18">
        <v>55</v>
      </c>
      <c r="AE18">
        <f>AE17+1</f>
        <v>7</v>
      </c>
      <c r="AF18">
        <f ca="1">INDIRECT("'"&amp;$A$7&amp;"'!"&amp;ADDRESS($AE18,3+VLOOKUP($A$7,$X$15:$Y$20,2,FALSE)))</f>
        <v>124.6763636</v>
      </c>
      <c r="AG18">
        <f t="shared" ca="1" si="9"/>
        <v>34.678351999999997</v>
      </c>
      <c r="AH18">
        <f t="shared" ca="1" si="0"/>
        <v>0</v>
      </c>
      <c r="AI18">
        <f t="shared" ca="1" si="1"/>
        <v>0</v>
      </c>
      <c r="AJ18">
        <f t="shared" ca="1" si="2"/>
        <v>0</v>
      </c>
      <c r="AL18">
        <f t="shared" ca="1" si="3"/>
        <v>124.67636363636301</v>
      </c>
      <c r="AM18">
        <f t="shared" ca="1" si="4"/>
        <v>34.678351999999997</v>
      </c>
      <c r="AN18">
        <f t="shared" ca="1" si="5"/>
        <v>0</v>
      </c>
      <c r="AO18">
        <f t="shared" ca="1" si="6"/>
        <v>0</v>
      </c>
      <c r="AP18">
        <f t="shared" ca="1" si="7"/>
        <v>0</v>
      </c>
    </row>
    <row r="19" spans="24:42" x14ac:dyDescent="0.25">
      <c r="X19" t="s">
        <v>154</v>
      </c>
      <c r="Y19">
        <v>0</v>
      </c>
      <c r="Z19">
        <v>123</v>
      </c>
      <c r="AA19" t="s">
        <v>64</v>
      </c>
      <c r="AB19">
        <f t="shared" si="8"/>
        <v>28</v>
      </c>
      <c r="AC19">
        <v>14</v>
      </c>
      <c r="AD19">
        <v>80</v>
      </c>
      <c r="AE19">
        <f>AE18+1</f>
        <v>8</v>
      </c>
      <c r="AF19">
        <f t="shared" ca="1" si="10"/>
        <v>49.090909089999997</v>
      </c>
      <c r="AG19">
        <f t="shared" ca="1" si="9"/>
        <v>24.654803000000001</v>
      </c>
      <c r="AH19">
        <f t="shared" ca="1" si="0"/>
        <v>0</v>
      </c>
      <c r="AI19">
        <f t="shared" ca="1" si="1"/>
        <v>0</v>
      </c>
      <c r="AJ19">
        <f t="shared" ca="1" si="2"/>
        <v>0</v>
      </c>
      <c r="AL19">
        <f t="shared" ca="1" si="3"/>
        <v>49.090909090909001</v>
      </c>
      <c r="AM19">
        <f t="shared" ca="1" si="4"/>
        <v>24.654803000000001</v>
      </c>
      <c r="AN19">
        <f t="shared" ca="1" si="5"/>
        <v>0</v>
      </c>
      <c r="AO19">
        <f t="shared" ca="1" si="6"/>
        <v>0</v>
      </c>
      <c r="AP19">
        <f t="shared" ca="1" si="7"/>
        <v>0</v>
      </c>
    </row>
    <row r="20" spans="24:42" x14ac:dyDescent="0.25">
      <c r="X20" t="s">
        <v>155</v>
      </c>
      <c r="Y20">
        <v>0</v>
      </c>
      <c r="Z20">
        <v>253</v>
      </c>
      <c r="AA20" t="s">
        <v>66</v>
      </c>
      <c r="AB20">
        <f t="shared" si="8"/>
        <v>34</v>
      </c>
      <c r="AC20">
        <v>14</v>
      </c>
      <c r="AD20">
        <v>105</v>
      </c>
      <c r="AE20">
        <f>AE19+1</f>
        <v>9</v>
      </c>
      <c r="AF20">
        <f t="shared" ca="1" si="10"/>
        <v>34.669090910000001</v>
      </c>
      <c r="AG20">
        <f t="shared" ca="1" si="9"/>
        <v>13.598659</v>
      </c>
      <c r="AH20">
        <f t="shared" ca="1" si="0"/>
        <v>0</v>
      </c>
      <c r="AI20">
        <f t="shared" ca="1" si="1"/>
        <v>0</v>
      </c>
      <c r="AJ20">
        <f t="shared" ca="1" si="2"/>
        <v>0</v>
      </c>
      <c r="AL20">
        <f t="shared" ca="1" si="3"/>
        <v>34.669090909090897</v>
      </c>
      <c r="AM20">
        <f t="shared" ca="1" si="4"/>
        <v>13.598659</v>
      </c>
      <c r="AN20">
        <f t="shared" ca="1" si="5"/>
        <v>0</v>
      </c>
      <c r="AO20">
        <f t="shared" ca="1" si="6"/>
        <v>0</v>
      </c>
      <c r="AP20">
        <f t="shared" ca="1" si="7"/>
        <v>0</v>
      </c>
    </row>
    <row r="21" spans="24:42" x14ac:dyDescent="0.25">
      <c r="AA21" t="s">
        <v>67</v>
      </c>
      <c r="AB21">
        <f t="shared" si="8"/>
        <v>40</v>
      </c>
      <c r="AC21">
        <v>24</v>
      </c>
      <c r="AD21">
        <v>5</v>
      </c>
    </row>
    <row r="22" spans="24:42" x14ac:dyDescent="0.25">
      <c r="AA22" t="s">
        <v>68</v>
      </c>
      <c r="AB22">
        <f t="shared" si="8"/>
        <v>46</v>
      </c>
      <c r="AC22">
        <v>24</v>
      </c>
      <c r="AD22">
        <v>30</v>
      </c>
      <c r="AF22" t="str">
        <f>"Sequence: "&amp;$B7 &amp; "     Coding Conditions: " &amp; $A7</f>
        <v>Sequence: Traffic_2560x1600_30_val     Coding Conditions: SFU-HW_RA</v>
      </c>
    </row>
    <row r="23" spans="24:42" x14ac:dyDescent="0.25">
      <c r="AA23" t="s">
        <v>69</v>
      </c>
      <c r="AB23">
        <f t="shared" si="8"/>
        <v>52</v>
      </c>
      <c r="AC23">
        <v>24</v>
      </c>
      <c r="AD23">
        <v>55</v>
      </c>
    </row>
    <row r="24" spans="24:42" x14ac:dyDescent="0.25">
      <c r="AA24" t="s">
        <v>71</v>
      </c>
      <c r="AB24">
        <f t="shared" si="8"/>
        <v>58</v>
      </c>
      <c r="AC24">
        <v>24</v>
      </c>
      <c r="AD24">
        <v>80</v>
      </c>
      <c r="AM24" t="s">
        <v>95</v>
      </c>
    </row>
    <row r="25" spans="24:42" x14ac:dyDescent="0.25">
      <c r="AA25" t="s">
        <v>72</v>
      </c>
      <c r="AB25">
        <f t="shared" si="8"/>
        <v>64</v>
      </c>
      <c r="AC25">
        <v>34</v>
      </c>
      <c r="AD25">
        <v>5</v>
      </c>
      <c r="AF25" t="s">
        <v>84</v>
      </c>
      <c r="AG25" t="s">
        <v>83</v>
      </c>
      <c r="AH25" t="s">
        <v>85</v>
      </c>
      <c r="AI25" t="s">
        <v>86</v>
      </c>
      <c r="AJ25" t="s">
        <v>87</v>
      </c>
      <c r="AM25" t="s">
        <v>96</v>
      </c>
      <c r="AN25" t="s">
        <v>97</v>
      </c>
      <c r="AO25" t="s">
        <v>98</v>
      </c>
      <c r="AP25" t="s">
        <v>99</v>
      </c>
    </row>
    <row r="26" spans="24:42" x14ac:dyDescent="0.25">
      <c r="AA26" t="s">
        <v>73</v>
      </c>
      <c r="AB26">
        <f t="shared" si="8"/>
        <v>70</v>
      </c>
      <c r="AC26">
        <v>34</v>
      </c>
      <c r="AD26">
        <v>30</v>
      </c>
      <c r="AF26" s="123">
        <f ca="1">MAX(AF15:AF20,AL15:AL20)</f>
        <v>402.6327273</v>
      </c>
      <c r="AG26" s="123">
        <f ca="1">MAX(AG15:AG19,AM15:AM19)</f>
        <v>37.580471000000003</v>
      </c>
      <c r="AH26" s="123">
        <f ca="1">MAX(AH15:AH19,AN15:AN19)</f>
        <v>0</v>
      </c>
      <c r="AI26" s="123">
        <f ca="1">MAX(AI15:AI19,AO15:AO19)</f>
        <v>0</v>
      </c>
      <c r="AJ26" s="123">
        <f ca="1">MAX(AJ15:AJ19,AP15:AP19)</f>
        <v>0</v>
      </c>
      <c r="AL26" s="124">
        <f>VLOOKUP(B7,AA15:AD35,4,FALSE)</f>
        <v>5</v>
      </c>
      <c r="AM26">
        <f ca="1">INDIRECT("'"&amp;$A$7&amp;"'!"&amp;ADDRESS($AE15,41+VLOOKUP($A$7,$X$15:$Y$20,2,FALSE)))</f>
        <v>402.6327273</v>
      </c>
      <c r="AN26">
        <f ca="1">INDIRECT("'"&amp;$A$7&amp;"'!"&amp;ADDRESS($AE15,42+VLOOKUP($A$7,$X$15:$Y$20,2,FALSE)))</f>
        <v>37.580471000000003</v>
      </c>
      <c r="AO26">
        <f ca="1">INDIRECT("'"&amp;$A$7&amp;"'!"&amp;ADDRESS($AE15,43+VLOOKUP($A$7,$X$15:$Y$20,2,FALSE)))</f>
        <v>402.63272727272698</v>
      </c>
      <c r="AP26">
        <f ca="1">INDIRECT("'"&amp;$A$7&amp;"'!"&amp;ADDRESS($AE15,44+VLOOKUP($A$7,$X$15:$Y$20,2,FALSE)))</f>
        <v>37.580471000000003</v>
      </c>
    </row>
    <row r="27" spans="24:42" x14ac:dyDescent="0.25">
      <c r="AA27" t="s">
        <v>74</v>
      </c>
      <c r="AB27">
        <f>AB26+6</f>
        <v>76</v>
      </c>
      <c r="AC27">
        <v>34</v>
      </c>
      <c r="AD27">
        <v>55</v>
      </c>
      <c r="AF27" s="123">
        <f ca="1">MIN(AF15:AF20,AL15:AL20)</f>
        <v>34.669090909090897</v>
      </c>
      <c r="AG27" s="123">
        <f ca="1">MIN(AG15:AG20,AM15:AM20)</f>
        <v>13.598659</v>
      </c>
      <c r="AH27" s="123">
        <f ca="1">MIN(AH15:AH20,AN15:AN20)</f>
        <v>0</v>
      </c>
      <c r="AI27" s="123">
        <f ca="1">MIN(AI15:AI20,AO15:AO20)</f>
        <v>0</v>
      </c>
      <c r="AJ27" s="123">
        <f ca="1">MIN(AJ15:AJ20,AP15:AP20)</f>
        <v>0</v>
      </c>
      <c r="AL27" s="124">
        <f t="shared" ref="AL27:AL49" si="11">AL26+1</f>
        <v>6</v>
      </c>
      <c r="AM27">
        <f ca="1">INDIRECT("'"&amp;$A$7&amp;"'!"&amp;ADDRESS($AE16,41+VLOOKUP($A$7,$X$15:$Y$20,2,FALSE)))</f>
        <v>161.80363639999999</v>
      </c>
      <c r="AN27">
        <f t="shared" ref="AN27:AN31" ca="1" si="12">INDIRECT("'"&amp;$A$7&amp;"'!"&amp;ADDRESS($AE16,42+VLOOKUP($A$7,$X$15:$Y$20,2,FALSE)))</f>
        <v>36.807102</v>
      </c>
      <c r="AO27">
        <f t="shared" ref="AO27:AO31" ca="1" si="13">INDIRECT("'"&amp;$A$7&amp;"'!"&amp;ADDRESS($AE16,43+VLOOKUP($A$7,$X$15:$Y$20,2,FALSE)))</f>
        <v>161.803636363636</v>
      </c>
      <c r="AP27">
        <f t="shared" ref="AP27:AP31" ca="1" si="14">INDIRECT("'"&amp;$A$7&amp;"'!"&amp;ADDRESS($AE16,44+VLOOKUP($A$7,$X$15:$Y$20,2,FALSE)))</f>
        <v>36.807102</v>
      </c>
    </row>
    <row r="28" spans="24:42" x14ac:dyDescent="0.25">
      <c r="AA28" t="s">
        <v>60</v>
      </c>
      <c r="AB28">
        <f>AB27+6</f>
        <v>82</v>
      </c>
      <c r="AF28" s="124"/>
      <c r="AG28" s="124"/>
      <c r="AH28" s="124"/>
      <c r="AI28" s="124"/>
      <c r="AJ28" s="124"/>
      <c r="AL28" s="124">
        <f t="shared" si="11"/>
        <v>7</v>
      </c>
      <c r="AM28">
        <f t="shared" ref="AM28:AM31" ca="1" si="15">INDIRECT("'"&amp;$A$7&amp;"'!"&amp;ADDRESS($AE17,41+VLOOKUP($A$7,$X$15:$Y$20,2,FALSE)))</f>
        <v>124.6763636</v>
      </c>
      <c r="AN28">
        <f t="shared" ca="1" si="12"/>
        <v>34.678351999999997</v>
      </c>
      <c r="AO28">
        <f t="shared" ca="1" si="13"/>
        <v>124.67636363636301</v>
      </c>
      <c r="AP28">
        <f t="shared" ca="1" si="14"/>
        <v>34.678351999999997</v>
      </c>
    </row>
    <row r="29" spans="24:42" x14ac:dyDescent="0.25">
      <c r="AF29" s="124">
        <f ca="1">POWER(10,CEILING(LOG(AF26+1),1))</f>
        <v>1000</v>
      </c>
      <c r="AG29" s="124">
        <f ca="1">CEILING(AG26+0.25,0.5)</f>
        <v>38</v>
      </c>
      <c r="AH29" s="125">
        <f ca="1">CEILING(AH26+0.25,0.5)</f>
        <v>0.5</v>
      </c>
      <c r="AI29" s="125">
        <f ca="1">CEILING(AI26+0.25,0.5)</f>
        <v>0.5</v>
      </c>
      <c r="AJ29" s="125">
        <f ca="1">CEILING(AJ26+0.25,0.5)</f>
        <v>0.5</v>
      </c>
      <c r="AL29" s="124">
        <f t="shared" si="11"/>
        <v>8</v>
      </c>
      <c r="AM29">
        <f t="shared" ca="1" si="15"/>
        <v>49.090909089999997</v>
      </c>
      <c r="AN29">
        <f t="shared" ca="1" si="12"/>
        <v>24.654803000000001</v>
      </c>
      <c r="AO29">
        <f t="shared" ca="1" si="13"/>
        <v>49.090909090909001</v>
      </c>
      <c r="AP29">
        <f t="shared" ca="1" si="14"/>
        <v>24.654803000000001</v>
      </c>
    </row>
    <row r="30" spans="24:42" x14ac:dyDescent="0.25">
      <c r="AF30" s="124">
        <f ca="1">POWER(10,FLOOR(LOG(AF27+10),1))</f>
        <v>10</v>
      </c>
      <c r="AG30" s="124">
        <f ca="1">FLOOR(AG27-0.25,0.5)</f>
        <v>13</v>
      </c>
      <c r="AH30" s="125">
        <f ca="1">FLOOR(AH27-0.25,0.5)</f>
        <v>-0.5</v>
      </c>
      <c r="AI30" s="125">
        <f ca="1">FLOOR(AI27-0.25,0.5)</f>
        <v>-0.5</v>
      </c>
      <c r="AJ30" s="125">
        <f ca="1">FLOOR(AJ27-0.25,0.5)</f>
        <v>-0.5</v>
      </c>
      <c r="AL30" s="124">
        <f t="shared" si="11"/>
        <v>9</v>
      </c>
      <c r="AM30">
        <f t="shared" ca="1" si="15"/>
        <v>34.669090910000001</v>
      </c>
      <c r="AN30">
        <f t="shared" ca="1" si="12"/>
        <v>13.598659</v>
      </c>
      <c r="AO30">
        <f t="shared" ca="1" si="13"/>
        <v>34.669090909090897</v>
      </c>
      <c r="AP30">
        <f t="shared" ca="1" si="14"/>
        <v>13.598659</v>
      </c>
    </row>
    <row r="31" spans="24:42" x14ac:dyDescent="0.25">
      <c r="AL31" s="124">
        <f t="shared" si="11"/>
        <v>10</v>
      </c>
      <c r="AM31" t="e">
        <f t="shared" ca="1" si="15"/>
        <v>#N/A</v>
      </c>
      <c r="AN31" t="e">
        <f t="shared" ca="1" si="12"/>
        <v>#N/A</v>
      </c>
      <c r="AO31" t="e">
        <f t="shared" ca="1" si="13"/>
        <v>#N/A</v>
      </c>
      <c r="AP31" t="e">
        <f t="shared" ca="1" si="14"/>
        <v>#N/A</v>
      </c>
    </row>
    <row r="32" spans="24:42" x14ac:dyDescent="0.25">
      <c r="AA32" t="s">
        <v>103</v>
      </c>
      <c r="AB32">
        <v>4</v>
      </c>
      <c r="AC32">
        <v>54</v>
      </c>
      <c r="AD32">
        <v>5</v>
      </c>
      <c r="AL32" s="124">
        <f t="shared" si="11"/>
        <v>11</v>
      </c>
    </row>
    <row r="33" spans="27:38" x14ac:dyDescent="0.25">
      <c r="AA33" t="s">
        <v>104</v>
      </c>
      <c r="AB33">
        <v>10</v>
      </c>
      <c r="AC33">
        <v>54</v>
      </c>
      <c r="AD33">
        <v>30</v>
      </c>
      <c r="AL33" s="124">
        <f t="shared" si="11"/>
        <v>12</v>
      </c>
    </row>
    <row r="34" spans="27:38" x14ac:dyDescent="0.25">
      <c r="AA34" t="s">
        <v>105</v>
      </c>
      <c r="AB34">
        <v>16</v>
      </c>
      <c r="AC34">
        <v>54</v>
      </c>
      <c r="AD34">
        <v>55</v>
      </c>
      <c r="AL34" s="124">
        <f t="shared" si="11"/>
        <v>13</v>
      </c>
    </row>
    <row r="35" spans="27:38" x14ac:dyDescent="0.25">
      <c r="AL35" s="124">
        <f t="shared" si="11"/>
        <v>14</v>
      </c>
    </row>
    <row r="36" spans="27:38" x14ac:dyDescent="0.25">
      <c r="AL36" s="124">
        <f t="shared" si="11"/>
        <v>15</v>
      </c>
    </row>
    <row r="37" spans="27:38" x14ac:dyDescent="0.25">
      <c r="AL37" s="124">
        <f t="shared" si="11"/>
        <v>16</v>
      </c>
    </row>
    <row r="38" spans="27:38" x14ac:dyDescent="0.25">
      <c r="AL38" s="124">
        <f t="shared" si="11"/>
        <v>17</v>
      </c>
    </row>
    <row r="39" spans="27:38" x14ac:dyDescent="0.25">
      <c r="AL39" s="124">
        <f t="shared" si="11"/>
        <v>18</v>
      </c>
    </row>
    <row r="40" spans="27:38" x14ac:dyDescent="0.25">
      <c r="AL40" s="124">
        <f t="shared" si="11"/>
        <v>19</v>
      </c>
    </row>
    <row r="41" spans="27:38" x14ac:dyDescent="0.25">
      <c r="AL41" s="124">
        <f t="shared" si="11"/>
        <v>20</v>
      </c>
    </row>
    <row r="42" spans="27:38" x14ac:dyDescent="0.25">
      <c r="AL42" s="124">
        <f t="shared" si="11"/>
        <v>21</v>
      </c>
    </row>
    <row r="43" spans="27:38" x14ac:dyDescent="0.25">
      <c r="AL43" s="124">
        <f t="shared" si="11"/>
        <v>22</v>
      </c>
    </row>
    <row r="44" spans="27:38" x14ac:dyDescent="0.25">
      <c r="AA44" s="1"/>
      <c r="AL44" s="124">
        <f t="shared" si="11"/>
        <v>23</v>
      </c>
    </row>
    <row r="45" spans="27:38" x14ac:dyDescent="0.25">
      <c r="AA45" s="1"/>
      <c r="AL45" s="124">
        <f t="shared" si="11"/>
        <v>24</v>
      </c>
    </row>
    <row r="46" spans="27:38" x14ac:dyDescent="0.25">
      <c r="AA46" s="1"/>
      <c r="AL46" s="124">
        <f t="shared" si="11"/>
        <v>25</v>
      </c>
    </row>
    <row r="47" spans="27:38" x14ac:dyDescent="0.25">
      <c r="AA47" s="1"/>
      <c r="AL47" s="124">
        <f t="shared" si="11"/>
        <v>26</v>
      </c>
    </row>
    <row r="48" spans="27:38" x14ac:dyDescent="0.25">
      <c r="AA48" s="1"/>
      <c r="AL48" s="124">
        <f t="shared" si="11"/>
        <v>27</v>
      </c>
    </row>
    <row r="49" spans="27:38" x14ac:dyDescent="0.25">
      <c r="AA49" s="1"/>
      <c r="AL49" s="124">
        <f t="shared" si="11"/>
        <v>28</v>
      </c>
    </row>
    <row r="50" spans="27:38" x14ac:dyDescent="0.25">
      <c r="AA50" s="1"/>
    </row>
    <row r="59" spans="27:38" x14ac:dyDescent="0.25">
      <c r="AA59" s="1"/>
    </row>
    <row r="60" spans="27:38" x14ac:dyDescent="0.25">
      <c r="AA60" s="1"/>
    </row>
    <row r="61" spans="27:38" x14ac:dyDescent="0.25">
      <c r="AA61" s="1"/>
    </row>
    <row r="62" spans="27:38" x14ac:dyDescent="0.25">
      <c r="AA62" s="1"/>
    </row>
    <row r="63" spans="27:38" x14ac:dyDescent="0.25">
      <c r="AA63" s="1"/>
    </row>
    <row r="64" spans="27:38" x14ac:dyDescent="0.25">
      <c r="AA64" s="1"/>
    </row>
    <row r="65" spans="27:27" x14ac:dyDescent="0.25">
      <c r="AA65" s="1"/>
    </row>
    <row r="66" spans="27:27" x14ac:dyDescent="0.25">
      <c r="AA66" s="1"/>
    </row>
    <row r="67" spans="27:27" x14ac:dyDescent="0.25">
      <c r="AA67" s="1"/>
    </row>
    <row r="68" spans="27:27" x14ac:dyDescent="0.25">
      <c r="AA68" s="1"/>
    </row>
    <row r="69" spans="27:27" x14ac:dyDescent="0.25">
      <c r="AA69" s="1"/>
    </row>
    <row r="70" spans="27:27" x14ac:dyDescent="0.25">
      <c r="AA70" s="1"/>
    </row>
    <row r="71" spans="27:27" x14ac:dyDescent="0.25">
      <c r="AA71" s="1"/>
    </row>
    <row r="72" spans="27:27" x14ac:dyDescent="0.25">
      <c r="AA72" s="1"/>
    </row>
    <row r="73" spans="27:27" x14ac:dyDescent="0.25">
      <c r="AA73" s="1"/>
    </row>
    <row r="74" spans="27:27" x14ac:dyDescent="0.25">
      <c r="AA74" s="1"/>
    </row>
    <row r="105" spans="1:25" x14ac:dyDescent="0.25">
      <c r="A105" s="20" t="s">
        <v>109</v>
      </c>
    </row>
    <row r="106" spans="1:25" x14ac:dyDescent="0.25">
      <c r="A106" t="s">
        <v>158</v>
      </c>
      <c r="B106" t="s">
        <v>106</v>
      </c>
      <c r="C106" t="s">
        <v>108</v>
      </c>
    </row>
    <row r="107" spans="1:25" x14ac:dyDescent="0.25">
      <c r="A107" t="s">
        <v>225</v>
      </c>
      <c r="B107" t="s">
        <v>219</v>
      </c>
      <c r="C107" s="142">
        <v>100</v>
      </c>
    </row>
    <row r="112" spans="1:25" x14ac:dyDescent="0.25">
      <c r="X112" t="s">
        <v>156</v>
      </c>
      <c r="Y112">
        <v>0</v>
      </c>
    </row>
    <row r="113" spans="24:40" x14ac:dyDescent="0.25">
      <c r="X113" t="s">
        <v>157</v>
      </c>
      <c r="Y113">
        <v>81</v>
      </c>
    </row>
    <row r="114" spans="24:40" x14ac:dyDescent="0.25">
      <c r="X114" t="s">
        <v>204</v>
      </c>
    </row>
    <row r="116" spans="24:40" x14ac:dyDescent="0.25">
      <c r="X116" t="s">
        <v>205</v>
      </c>
      <c r="Y116">
        <v>0</v>
      </c>
      <c r="Z116">
        <v>100</v>
      </c>
      <c r="AA116">
        <v>0</v>
      </c>
    </row>
    <row r="117" spans="24:40" x14ac:dyDescent="0.25">
      <c r="X117" t="s">
        <v>208</v>
      </c>
      <c r="Y117">
        <v>1</v>
      </c>
      <c r="Z117">
        <v>75</v>
      </c>
      <c r="AA117">
        <v>1</v>
      </c>
    </row>
    <row r="118" spans="24:40" x14ac:dyDescent="0.25">
      <c r="X118" t="s">
        <v>209</v>
      </c>
      <c r="Y118">
        <v>2</v>
      </c>
      <c r="Z118">
        <v>50</v>
      </c>
      <c r="AA118">
        <v>2</v>
      </c>
    </row>
    <row r="119" spans="24:40" x14ac:dyDescent="0.25">
      <c r="X119" t="s">
        <v>203</v>
      </c>
      <c r="Y119">
        <v>3</v>
      </c>
      <c r="Z119">
        <v>25</v>
      </c>
      <c r="AA119">
        <v>3</v>
      </c>
    </row>
    <row r="120" spans="24:40" x14ac:dyDescent="0.25">
      <c r="X120" t="s">
        <v>206</v>
      </c>
      <c r="Y120">
        <v>4</v>
      </c>
    </row>
    <row r="121" spans="24:40" x14ac:dyDescent="0.25">
      <c r="X121" t="s">
        <v>198</v>
      </c>
      <c r="Y121">
        <v>5</v>
      </c>
    </row>
    <row r="122" spans="24:40" ht="17.25" thickBot="1" x14ac:dyDescent="0.3">
      <c r="X122" t="s">
        <v>199</v>
      </c>
      <c r="Y122">
        <v>6</v>
      </c>
      <c r="AD122" t="s">
        <v>81</v>
      </c>
      <c r="AJ122" t="s">
        <v>82</v>
      </c>
    </row>
    <row r="123" spans="24:40" ht="17.25" thickBot="1" x14ac:dyDescent="0.3">
      <c r="AD123" s="13" t="s">
        <v>56</v>
      </c>
      <c r="AE123" s="9" t="s">
        <v>48</v>
      </c>
      <c r="AF123" s="9" t="s">
        <v>0</v>
      </c>
      <c r="AG123" s="9" t="s">
        <v>1</v>
      </c>
      <c r="AH123" s="8" t="s">
        <v>2</v>
      </c>
      <c r="AJ123" s="13" t="s">
        <v>56</v>
      </c>
      <c r="AK123" s="9" t="s">
        <v>48</v>
      </c>
      <c r="AL123" s="9" t="s">
        <v>0</v>
      </c>
      <c r="AM123" s="9" t="s">
        <v>1</v>
      </c>
      <c r="AN123" s="8" t="s">
        <v>2</v>
      </c>
    </row>
    <row r="124" spans="24:40" x14ac:dyDescent="0.25">
      <c r="AA124">
        <f>18*VLOOKUP(C107,Z116:AA119,2,FALSE)+6*VLOOKUP(B107,X116:Y122,2,FALSE)+3</f>
        <v>3</v>
      </c>
      <c r="AD124">
        <f ca="1">INDIRECT("'"&amp;$A$107&amp;"'!"&amp;ADDRESS(AA124,3))</f>
        <v>394.125599999999</v>
      </c>
      <c r="AE124">
        <f t="shared" ref="AE124:AE129" ca="1" si="16">INDIRECT("'"&amp;$A$107&amp;"'!"&amp;ADDRESS(AA124,4))</f>
        <v>50.149497099999998</v>
      </c>
      <c r="AF124">
        <f t="shared" ref="AF124:AF129" ca="1" si="17">INDIRECT("'"&amp;$A$107&amp;"'!"&amp;ADDRESS(AA124,5))</f>
        <v>0</v>
      </c>
      <c r="AG124">
        <f t="shared" ref="AG124:AG129" ca="1" si="18">INDIRECT("'"&amp;$A$107&amp;"'!"&amp;ADDRESS(AA124,6))</f>
        <v>0</v>
      </c>
      <c r="AH124">
        <f t="shared" ref="AH124:AH129" ca="1" si="19">INDIRECT("'"&amp;$A$107&amp;"'!"&amp;ADDRESS(AA124,7))</f>
        <v>0</v>
      </c>
      <c r="AJ124">
        <f t="shared" ref="AJ124:AJ129" ca="1" si="20">INDIRECT("'"&amp;$A$107&amp;"'!"&amp;ADDRESS(AA124,12))</f>
        <v>394.125599999999</v>
      </c>
      <c r="AK124">
        <f t="shared" ref="AK124:AK129" ca="1" si="21">INDIRECT("'"&amp;$A$107&amp;"'!"&amp;ADDRESS(AA124,13))</f>
        <v>50.3397662</v>
      </c>
      <c r="AL124">
        <f t="shared" ref="AL124:AL129" ca="1" si="22">INDIRECT("'"&amp;$A$107&amp;"'!"&amp;ADDRESS(AA124,14))</f>
        <v>0</v>
      </c>
      <c r="AM124">
        <f t="shared" ref="AM124:AM129" ca="1" si="23">INDIRECT("'"&amp;$A$107&amp;"'!"&amp;ADDRESS(AA124,15))</f>
        <v>0</v>
      </c>
      <c r="AN124">
        <f t="shared" ref="AN124:AN129" ca="1" si="24">INDIRECT("'"&amp;$A$107&amp;"'!"&amp;ADDRESS(AA124,16))</f>
        <v>0</v>
      </c>
    </row>
    <row r="125" spans="24:40" x14ac:dyDescent="0.25">
      <c r="AA125">
        <f>AA124+1</f>
        <v>4</v>
      </c>
      <c r="AD125">
        <f t="shared" ref="AD125:AD129" ca="1" si="25">INDIRECT("'"&amp;$A$107&amp;"'!"&amp;ADDRESS(AA125,3))</f>
        <v>271.6472</v>
      </c>
      <c r="AE125">
        <f t="shared" ca="1" si="16"/>
        <v>50.312584899999997</v>
      </c>
      <c r="AF125">
        <f t="shared" ca="1" si="17"/>
        <v>0</v>
      </c>
      <c r="AG125">
        <f t="shared" ca="1" si="18"/>
        <v>0</v>
      </c>
      <c r="AH125">
        <f t="shared" ca="1" si="19"/>
        <v>0</v>
      </c>
      <c r="AJ125">
        <f t="shared" ca="1" si="20"/>
        <v>271.6472</v>
      </c>
      <c r="AK125">
        <f t="shared" ca="1" si="21"/>
        <v>50.394128799999997</v>
      </c>
      <c r="AL125">
        <f t="shared" ca="1" si="22"/>
        <v>0</v>
      </c>
      <c r="AM125">
        <f t="shared" ca="1" si="23"/>
        <v>0</v>
      </c>
      <c r="AN125">
        <f t="shared" ca="1" si="24"/>
        <v>0</v>
      </c>
    </row>
    <row r="126" spans="24:40" x14ac:dyDescent="0.25">
      <c r="AA126">
        <f t="shared" ref="AA126:AA129" si="26">AA125+1</f>
        <v>5</v>
      </c>
      <c r="AD126">
        <f ca="1">INDIRECT("'"&amp;$A$107&amp;"'!"&amp;ADDRESS(AA126,3))</f>
        <v>196.35679999999999</v>
      </c>
      <c r="AE126">
        <f t="shared" ca="1" si="16"/>
        <v>46.099483599999999</v>
      </c>
      <c r="AF126">
        <f t="shared" ca="1" si="17"/>
        <v>0</v>
      </c>
      <c r="AG126">
        <f t="shared" ca="1" si="18"/>
        <v>0</v>
      </c>
      <c r="AH126">
        <f t="shared" ca="1" si="19"/>
        <v>0</v>
      </c>
      <c r="AJ126">
        <f t="shared" ca="1" si="20"/>
        <v>196.35679999999999</v>
      </c>
      <c r="AK126">
        <f t="shared" ca="1" si="21"/>
        <v>46.507202999999997</v>
      </c>
      <c r="AL126">
        <f t="shared" ca="1" si="22"/>
        <v>0</v>
      </c>
      <c r="AM126">
        <f t="shared" ca="1" si="23"/>
        <v>0</v>
      </c>
      <c r="AN126">
        <f t="shared" ca="1" si="24"/>
        <v>0</v>
      </c>
    </row>
    <row r="127" spans="24:40" x14ac:dyDescent="0.25">
      <c r="AA127">
        <f t="shared" si="26"/>
        <v>6</v>
      </c>
      <c r="AD127">
        <f t="shared" ca="1" si="25"/>
        <v>120.356799999999</v>
      </c>
      <c r="AE127">
        <f t="shared" ca="1" si="16"/>
        <v>38.977983100000003</v>
      </c>
      <c r="AF127">
        <f t="shared" ca="1" si="17"/>
        <v>0</v>
      </c>
      <c r="AG127">
        <f t="shared" ca="1" si="18"/>
        <v>0</v>
      </c>
      <c r="AH127">
        <f t="shared" ca="1" si="19"/>
        <v>0</v>
      </c>
      <c r="AJ127">
        <f t="shared" ca="1" si="20"/>
        <v>120.356799999999</v>
      </c>
      <c r="AK127">
        <f t="shared" ca="1" si="21"/>
        <v>39.793422100000001</v>
      </c>
      <c r="AL127">
        <f t="shared" ca="1" si="22"/>
        <v>0</v>
      </c>
      <c r="AM127">
        <f t="shared" ca="1" si="23"/>
        <v>0</v>
      </c>
      <c r="AN127">
        <f t="shared" ca="1" si="24"/>
        <v>0</v>
      </c>
    </row>
    <row r="128" spans="24:40" x14ac:dyDescent="0.25">
      <c r="AA128">
        <f t="shared" si="26"/>
        <v>7</v>
      </c>
      <c r="AD128">
        <f t="shared" ca="1" si="25"/>
        <v>71.049599999999998</v>
      </c>
      <c r="AE128">
        <f t="shared" ca="1" si="16"/>
        <v>32.644740400000003</v>
      </c>
      <c r="AF128">
        <f t="shared" ca="1" si="17"/>
        <v>0</v>
      </c>
      <c r="AG128">
        <f t="shared" ca="1" si="18"/>
        <v>0</v>
      </c>
      <c r="AH128">
        <f t="shared" ca="1" si="19"/>
        <v>0</v>
      </c>
      <c r="AJ128">
        <f t="shared" ca="1" si="20"/>
        <v>71.049599999999998</v>
      </c>
      <c r="AK128">
        <f t="shared" ca="1" si="21"/>
        <v>32.563196499999997</v>
      </c>
      <c r="AL128">
        <f t="shared" ca="1" si="22"/>
        <v>0</v>
      </c>
      <c r="AM128">
        <f t="shared" ca="1" si="23"/>
        <v>0</v>
      </c>
      <c r="AN128">
        <f t="shared" ca="1" si="24"/>
        <v>0</v>
      </c>
    </row>
    <row r="129" spans="27:40" x14ac:dyDescent="0.25">
      <c r="AA129">
        <f t="shared" si="26"/>
        <v>8</v>
      </c>
      <c r="AD129">
        <f t="shared" ca="1" si="25"/>
        <v>44.128799999999998</v>
      </c>
      <c r="AE129">
        <f t="shared" ca="1" si="16"/>
        <v>21.092688200000001</v>
      </c>
      <c r="AF129">
        <f t="shared" ca="1" si="17"/>
        <v>0</v>
      </c>
      <c r="AG129">
        <f t="shared" ca="1" si="18"/>
        <v>0</v>
      </c>
      <c r="AH129">
        <f t="shared" ca="1" si="19"/>
        <v>0</v>
      </c>
      <c r="AJ129">
        <f t="shared" ca="1" si="20"/>
        <v>44.128799999999998</v>
      </c>
      <c r="AK129">
        <f t="shared" ca="1" si="21"/>
        <v>20.684968699999999</v>
      </c>
      <c r="AL129">
        <f t="shared" ca="1" si="22"/>
        <v>0</v>
      </c>
      <c r="AM129">
        <f t="shared" ca="1" si="23"/>
        <v>0</v>
      </c>
      <c r="AN129">
        <f t="shared" ca="1" si="24"/>
        <v>0</v>
      </c>
    </row>
    <row r="131" spans="27:40" x14ac:dyDescent="0.25">
      <c r="AD131" t="str">
        <f>"Sequence: "&amp;$B107 &amp; "     Coding Conditions: " &amp; $C107</f>
        <v>Sequence: TVD-01_1     Coding Conditions: 100</v>
      </c>
    </row>
    <row r="133" spans="27:40" x14ac:dyDescent="0.25">
      <c r="AK133" t="s">
        <v>95</v>
      </c>
    </row>
    <row r="134" spans="27:40" x14ac:dyDescent="0.25">
      <c r="AD134" t="s">
        <v>84</v>
      </c>
      <c r="AE134" t="s">
        <v>48</v>
      </c>
      <c r="AF134" t="s">
        <v>85</v>
      </c>
      <c r="AG134" t="s">
        <v>86</v>
      </c>
      <c r="AH134" t="s">
        <v>87</v>
      </c>
      <c r="AK134" t="s">
        <v>96</v>
      </c>
      <c r="AL134" t="s">
        <v>97</v>
      </c>
      <c r="AM134" t="s">
        <v>98</v>
      </c>
      <c r="AN134" t="s">
        <v>99</v>
      </c>
    </row>
    <row r="135" spans="27:40" x14ac:dyDescent="0.25">
      <c r="AD135" s="123">
        <f ca="1">MAX(AD124:AD129,AJ124:AJ129)</f>
        <v>394.125599999999</v>
      </c>
      <c r="AE135" s="123">
        <f ca="1">MAX(AE124:AE128,AK124:AK128)</f>
        <v>50.394128799999997</v>
      </c>
      <c r="AF135" s="123">
        <f ca="1">MAX(AF124:AF128,AL124:AL128)</f>
        <v>0</v>
      </c>
      <c r="AG135" s="123">
        <f ca="1">MAX(AG124:AG128,AM124:AM128)</f>
        <v>0</v>
      </c>
      <c r="AH135" s="123">
        <f ca="1">MAX(AH124:AH128,AN124:AN128)</f>
        <v>0</v>
      </c>
      <c r="AJ135" s="124">
        <f>VLOOKUP(B107,X116:Y118,2,FALSE)*25+4</f>
        <v>4</v>
      </c>
      <c r="AK135">
        <f ca="1">INDIRECT("'"&amp;$A$107&amp;"'!"&amp;ADDRESS(AA124,41))</f>
        <v>271.6472</v>
      </c>
      <c r="AL135">
        <f ca="1">INDIRECT("'"&amp;$A$107&amp;"'!"&amp;ADDRESS(AA124,42))</f>
        <v>50.312584899999997</v>
      </c>
      <c r="AM135">
        <f ca="1">INDIRECT("'"&amp;$A$107&amp;"'!"&amp;ADDRESS(AA124,43))</f>
        <v>271.6472</v>
      </c>
      <c r="AN135">
        <f ca="1">INDIRECT("'"&amp;$A$107&amp;"'!"&amp;ADDRESS(AA124,44))</f>
        <v>50.394128799999997</v>
      </c>
    </row>
    <row r="136" spans="27:40" x14ac:dyDescent="0.25">
      <c r="AD136" s="123">
        <f ca="1">MIN(AD124:AD129,AJ124:AJ129)</f>
        <v>44.128799999999998</v>
      </c>
      <c r="AE136" s="123">
        <f ca="1">MIN(AE124:AE129,AK124:AK129)</f>
        <v>20.684968699999999</v>
      </c>
      <c r="AF136" s="123">
        <f ca="1">MIN(AF124:AF129,AL124:AL129)</f>
        <v>0</v>
      </c>
      <c r="AG136" s="123">
        <f ca="1">MIN(AG124:AG129,AM124:AM129)</f>
        <v>0</v>
      </c>
      <c r="AH136" s="123">
        <f ca="1">MIN(AH124:AH129,AN124:AN129)</f>
        <v>0</v>
      </c>
      <c r="AJ136" s="124">
        <f>AJ135+1</f>
        <v>5</v>
      </c>
      <c r="AK136">
        <f t="shared" ref="AK136:AK140" ca="1" si="27">INDIRECT("'"&amp;$A$107&amp;"'!"&amp;ADDRESS(AA125,41))</f>
        <v>196.35679999999999</v>
      </c>
      <c r="AL136">
        <f t="shared" ref="AL136:AL140" ca="1" si="28">INDIRECT("'"&amp;$A$107&amp;"'!"&amp;ADDRESS(AA125,42))</f>
        <v>46.099483599999999</v>
      </c>
      <c r="AM136">
        <f t="shared" ref="AM136:AM140" ca="1" si="29">INDIRECT("'"&amp;$A$107&amp;"'!"&amp;ADDRESS(AA125,43))</f>
        <v>196.35679999999999</v>
      </c>
      <c r="AN136">
        <f t="shared" ref="AN136:AN140" ca="1" si="30">INDIRECT("'"&amp;$A$107&amp;"'!"&amp;ADDRESS(AA125,44))</f>
        <v>46.507202999999997</v>
      </c>
    </row>
    <row r="137" spans="27:40" x14ac:dyDescent="0.25">
      <c r="AD137" s="124"/>
      <c r="AE137" s="124"/>
      <c r="AF137" s="124"/>
      <c r="AG137" s="124"/>
      <c r="AH137" s="124"/>
      <c r="AJ137" s="124">
        <f t="shared" ref="AJ137:AJ158" si="31">AJ136+1</f>
        <v>6</v>
      </c>
      <c r="AK137">
        <f t="shared" ca="1" si="27"/>
        <v>120.356799999999</v>
      </c>
      <c r="AL137">
        <f t="shared" ca="1" si="28"/>
        <v>38.977983100000003</v>
      </c>
      <c r="AM137">
        <f t="shared" ca="1" si="29"/>
        <v>120.356799999999</v>
      </c>
      <c r="AN137">
        <f t="shared" ca="1" si="30"/>
        <v>39.793422100000001</v>
      </c>
    </row>
    <row r="138" spans="27:40" x14ac:dyDescent="0.25">
      <c r="AD138" s="124">
        <f ca="1">POWER(10,CEILING(LOG(AD135+1),1))</f>
        <v>1000</v>
      </c>
      <c r="AE138" s="124">
        <f ca="1">CEILING(AE135+0.25,0.5)</f>
        <v>51</v>
      </c>
      <c r="AF138" s="125">
        <f ca="1">CEILING(AF135+0.25,0.5)</f>
        <v>0.5</v>
      </c>
      <c r="AG138" s="125">
        <f ca="1">CEILING(AG135+0.25,0.5)</f>
        <v>0.5</v>
      </c>
      <c r="AH138" s="125">
        <f ca="1">CEILING(AH135+0.25,0.5)</f>
        <v>0.5</v>
      </c>
      <c r="AJ138" s="124">
        <f t="shared" si="31"/>
        <v>7</v>
      </c>
      <c r="AK138">
        <f t="shared" ca="1" si="27"/>
        <v>71.049599999999998</v>
      </c>
      <c r="AL138">
        <f t="shared" ca="1" si="28"/>
        <v>32.644740400000003</v>
      </c>
      <c r="AM138">
        <f t="shared" ca="1" si="29"/>
        <v>71.049599999999998</v>
      </c>
      <c r="AN138">
        <f t="shared" ca="1" si="30"/>
        <v>32.563196499999997</v>
      </c>
    </row>
    <row r="139" spans="27:40" x14ac:dyDescent="0.25">
      <c r="AD139" s="124">
        <f ca="1">POWER(10,FLOOR(LOG(AD136+10),1))</f>
        <v>10</v>
      </c>
      <c r="AE139" s="124">
        <f ca="1">FLOOR(AE136-0.25,0.5)</f>
        <v>20</v>
      </c>
      <c r="AF139" s="125">
        <f ca="1">FLOOR(AF136-0.25,0.5)</f>
        <v>-0.5</v>
      </c>
      <c r="AG139" s="125">
        <f ca="1">FLOOR(AG136-0.25,0.5)</f>
        <v>-0.5</v>
      </c>
      <c r="AH139" s="125">
        <f ca="1">FLOOR(AH136-0.25,0.5)</f>
        <v>-0.5</v>
      </c>
      <c r="AJ139" s="124">
        <f t="shared" si="31"/>
        <v>8</v>
      </c>
      <c r="AK139">
        <f t="shared" ca="1" si="27"/>
        <v>44.128799999999998</v>
      </c>
      <c r="AL139">
        <f t="shared" ca="1" si="28"/>
        <v>21.092688200000001</v>
      </c>
      <c r="AM139">
        <f t="shared" ca="1" si="29"/>
        <v>44.128799999999998</v>
      </c>
      <c r="AN139">
        <f t="shared" ca="1" si="30"/>
        <v>20.684968699999999</v>
      </c>
    </row>
    <row r="140" spans="27:40" x14ac:dyDescent="0.25">
      <c r="AJ140" s="124">
        <f t="shared" si="31"/>
        <v>9</v>
      </c>
      <c r="AK140" t="e">
        <f t="shared" ca="1" si="27"/>
        <v>#N/A</v>
      </c>
      <c r="AL140" t="e">
        <f t="shared" ca="1" si="28"/>
        <v>#N/A</v>
      </c>
      <c r="AM140" t="e">
        <f t="shared" ca="1" si="29"/>
        <v>#N/A</v>
      </c>
      <c r="AN140" t="e">
        <f t="shared" ca="1" si="30"/>
        <v>#N/A</v>
      </c>
    </row>
    <row r="141" spans="27:40" x14ac:dyDescent="0.25">
      <c r="AJ141" s="124">
        <f t="shared" si="31"/>
        <v>10</v>
      </c>
    </row>
    <row r="142" spans="27:40" x14ac:dyDescent="0.25">
      <c r="AJ142" s="124">
        <f t="shared" si="31"/>
        <v>11</v>
      </c>
    </row>
    <row r="143" spans="27:40" x14ac:dyDescent="0.25">
      <c r="AJ143" s="124">
        <f t="shared" si="31"/>
        <v>12</v>
      </c>
    </row>
    <row r="144" spans="27:40" x14ac:dyDescent="0.25">
      <c r="AJ144" s="124">
        <f t="shared" si="31"/>
        <v>13</v>
      </c>
    </row>
    <row r="145" spans="25:36" x14ac:dyDescent="0.25">
      <c r="AJ145" s="124">
        <f>AJ144+1</f>
        <v>14</v>
      </c>
    </row>
    <row r="146" spans="25:36" x14ac:dyDescent="0.25">
      <c r="AJ146" s="124">
        <f t="shared" si="31"/>
        <v>15</v>
      </c>
    </row>
    <row r="147" spans="25:36" x14ac:dyDescent="0.25">
      <c r="AJ147" s="124">
        <f t="shared" si="31"/>
        <v>16</v>
      </c>
    </row>
    <row r="148" spans="25:36" x14ac:dyDescent="0.25">
      <c r="AJ148" s="124">
        <f t="shared" si="31"/>
        <v>17</v>
      </c>
    </row>
    <row r="149" spans="25:36" x14ac:dyDescent="0.25">
      <c r="AJ149" s="124">
        <f t="shared" si="31"/>
        <v>18</v>
      </c>
    </row>
    <row r="150" spans="25:36" x14ac:dyDescent="0.25">
      <c r="AJ150" s="124">
        <f t="shared" si="31"/>
        <v>19</v>
      </c>
    </row>
    <row r="151" spans="25:36" x14ac:dyDescent="0.25">
      <c r="AJ151" s="124">
        <f t="shared" si="31"/>
        <v>20</v>
      </c>
    </row>
    <row r="152" spans="25:36" x14ac:dyDescent="0.25">
      <c r="Y152" s="1"/>
      <c r="AJ152" s="124">
        <f t="shared" si="31"/>
        <v>21</v>
      </c>
    </row>
    <row r="153" spans="25:36" x14ac:dyDescent="0.25">
      <c r="Y153" s="1"/>
      <c r="AJ153" s="124">
        <f t="shared" si="31"/>
        <v>22</v>
      </c>
    </row>
    <row r="154" spans="25:36" x14ac:dyDescent="0.25">
      <c r="Y154" s="1"/>
      <c r="AJ154" s="124">
        <f t="shared" si="31"/>
        <v>23</v>
      </c>
    </row>
    <row r="155" spans="25:36" x14ac:dyDescent="0.25">
      <c r="Y155" s="1"/>
      <c r="AJ155" s="124">
        <f t="shared" si="31"/>
        <v>24</v>
      </c>
    </row>
    <row r="156" spans="25:36" x14ac:dyDescent="0.25">
      <c r="Y156" s="1"/>
      <c r="AJ156" s="124">
        <f t="shared" si="31"/>
        <v>25</v>
      </c>
    </row>
    <row r="157" spans="25:36" x14ac:dyDescent="0.25">
      <c r="Y157" s="1"/>
      <c r="AJ157" s="124">
        <f t="shared" si="31"/>
        <v>26</v>
      </c>
    </row>
    <row r="158" spans="25:36" x14ac:dyDescent="0.25">
      <c r="AJ158" s="124">
        <f t="shared" si="31"/>
        <v>27</v>
      </c>
    </row>
    <row r="205" spans="1:47" x14ac:dyDescent="0.25">
      <c r="A205" t="s">
        <v>182</v>
      </c>
      <c r="B205" t="s">
        <v>183</v>
      </c>
    </row>
    <row r="206" spans="1:47" x14ac:dyDescent="0.25">
      <c r="A206" s="11" t="s">
        <v>159</v>
      </c>
      <c r="B206" s="11" t="s">
        <v>160</v>
      </c>
      <c r="AK206" t="s">
        <v>161</v>
      </c>
      <c r="AQ206" t="s">
        <v>162</v>
      </c>
    </row>
    <row r="207" spans="1:47" x14ac:dyDescent="0.25">
      <c r="A207" t="s">
        <v>142</v>
      </c>
      <c r="B207">
        <v>100</v>
      </c>
      <c r="Y207">
        <v>100</v>
      </c>
      <c r="AC207" t="s">
        <v>163</v>
      </c>
      <c r="AD207" t="s">
        <v>164</v>
      </c>
      <c r="AE207" t="s">
        <v>165</v>
      </c>
      <c r="AF207" t="s">
        <v>166</v>
      </c>
      <c r="AG207" t="s">
        <v>167</v>
      </c>
      <c r="AK207" s="22" t="s">
        <v>126</v>
      </c>
      <c r="AL207" s="23" t="s">
        <v>10</v>
      </c>
      <c r="AM207" s="23" t="s">
        <v>168</v>
      </c>
      <c r="AN207" s="23" t="s">
        <v>169</v>
      </c>
      <c r="AO207" s="24" t="s">
        <v>170</v>
      </c>
      <c r="AQ207" s="22" t="s">
        <v>126</v>
      </c>
      <c r="AR207" s="23" t="s">
        <v>10</v>
      </c>
      <c r="AS207" s="23" t="s">
        <v>168</v>
      </c>
      <c r="AT207" s="23" t="s">
        <v>169</v>
      </c>
      <c r="AU207" s="24" t="s">
        <v>170</v>
      </c>
    </row>
    <row r="208" spans="1:47" x14ac:dyDescent="0.25">
      <c r="Z208" t="s">
        <v>163</v>
      </c>
      <c r="AA208" t="s">
        <v>25</v>
      </c>
      <c r="AB208" t="s">
        <v>126</v>
      </c>
      <c r="AC208" t="s">
        <v>142</v>
      </c>
      <c r="AD208" t="s">
        <v>142</v>
      </c>
      <c r="AE208" s="10"/>
      <c r="AF208" s="10"/>
      <c r="AG208" s="10"/>
      <c r="AH208" t="s">
        <v>171</v>
      </c>
      <c r="AI208">
        <v>3</v>
      </c>
      <c r="AJ208">
        <f>VLOOKUP("Object_Detection_"&amp;A207&amp;"_"&amp;B207,AH208:AI243,2,FALSE)</f>
        <v>3</v>
      </c>
      <c r="AK208">
        <f ca="1">INDIRECT("'"&amp;$B$205&amp;"'!"&amp;ADDRESS($AJ208,3))</f>
        <v>0.86311464562697093</v>
      </c>
      <c r="AL208">
        <f ca="1">INDIRECT("'"&amp;$B$205&amp;"'!"&amp;ADDRESS($AJ208,4))</f>
        <v>78.893175914560445</v>
      </c>
      <c r="AM208">
        <f ca="1">INDIRECT("'"&amp;$B$205&amp;"'!"&amp;ADDRESS($AJ208,5))</f>
        <v>0</v>
      </c>
      <c r="AN208">
        <f ca="1">INDIRECT("'"&amp;$B$205&amp;"'!"&amp;ADDRESS($AJ208,6))</f>
        <v>0</v>
      </c>
      <c r="AO208">
        <f ca="1">INDIRECT("'"&amp;$B$205&amp;"'!"&amp;ADDRESS($AJ208,7))</f>
        <v>0</v>
      </c>
      <c r="AQ208">
        <f ca="1">INDIRECT("'"&amp;$B$205&amp;"'!"&amp;ADDRESS($AJ208,12))</f>
        <v>0</v>
      </c>
      <c r="AR208">
        <f ca="1">INDIRECT("'"&amp;$B$205&amp;"'!"&amp;ADDRESS($AJ208,13))</f>
        <v>0</v>
      </c>
      <c r="AS208">
        <f ca="1">INDIRECT("'"&amp;$B$205&amp;"'!"&amp;ADDRESS($AJ208,14))</f>
        <v>0</v>
      </c>
      <c r="AT208">
        <f ca="1">INDIRECT("'"&amp;$B$205&amp;"'!"&amp;ADDRESS($AJ208,15))</f>
        <v>0</v>
      </c>
      <c r="AU208">
        <f ca="1">INDIRECT("'"&amp;$B$205&amp;"'!"&amp;ADDRESS($AJ208,16))</f>
        <v>0</v>
      </c>
    </row>
    <row r="209" spans="26:47" x14ac:dyDescent="0.25">
      <c r="Z209" t="s">
        <v>164</v>
      </c>
      <c r="AA209" t="s">
        <v>25</v>
      </c>
      <c r="AB209" t="s">
        <v>126</v>
      </c>
      <c r="AC209" t="s">
        <v>143</v>
      </c>
      <c r="AD209" t="s">
        <v>132</v>
      </c>
      <c r="AE209" s="10" t="s">
        <v>132</v>
      </c>
      <c r="AF209" s="10"/>
      <c r="AG209" s="10"/>
      <c r="AH209" t="s">
        <v>172</v>
      </c>
      <c r="AI209">
        <v>9</v>
      </c>
      <c r="AJ209">
        <f>AJ208+1</f>
        <v>4</v>
      </c>
      <c r="AK209">
        <f t="shared" ref="AK209:AK213" ca="1" si="32">INDIRECT("'"&amp;$B$205&amp;"'!"&amp;ADDRESS($AJ209,3))</f>
        <v>0.50970091187041677</v>
      </c>
      <c r="AL209">
        <f t="shared" ref="AL209:AL213" ca="1" si="33">INDIRECT("'"&amp;$B$205&amp;"'!"&amp;ADDRESS($AJ209,4))</f>
        <v>77.927258611746652</v>
      </c>
      <c r="AM209">
        <f t="shared" ref="AM209:AM213" ca="1" si="34">INDIRECT("'"&amp;$B$205&amp;"'!"&amp;ADDRESS($AJ209,5))</f>
        <v>0</v>
      </c>
      <c r="AN209">
        <f t="shared" ref="AN209:AN213" ca="1" si="35">INDIRECT("'"&amp;$B$205&amp;"'!"&amp;ADDRESS($AJ209,6))</f>
        <v>0</v>
      </c>
      <c r="AO209">
        <f t="shared" ref="AO209:AO213" ca="1" si="36">INDIRECT("'"&amp;$B$205&amp;"'!"&amp;ADDRESS($AJ209,7))</f>
        <v>0</v>
      </c>
      <c r="AQ209">
        <f t="shared" ref="AQ209:AQ213" ca="1" si="37">INDIRECT("'"&amp;$B$205&amp;"'!"&amp;ADDRESS($AJ209,12))</f>
        <v>0</v>
      </c>
      <c r="AR209">
        <f t="shared" ref="AR209:AR213" ca="1" si="38">INDIRECT("'"&amp;$B$205&amp;"'!"&amp;ADDRESS($AJ209,13))</f>
        <v>0</v>
      </c>
      <c r="AS209">
        <f t="shared" ref="AS209:AS213" ca="1" si="39">INDIRECT("'"&amp;$B$205&amp;"'!"&amp;ADDRESS($AJ209,14))</f>
        <v>0</v>
      </c>
      <c r="AT209">
        <f t="shared" ref="AT209:AT213" ca="1" si="40">INDIRECT("'"&amp;$B$205&amp;"'!"&amp;ADDRESS($AJ209,15))</f>
        <v>0</v>
      </c>
      <c r="AU209">
        <f t="shared" ref="AU209:AU213" ca="1" si="41">INDIRECT("'"&amp;$B$205&amp;"'!"&amp;ADDRESS($AJ209,16))</f>
        <v>0</v>
      </c>
    </row>
    <row r="210" spans="26:47" x14ac:dyDescent="0.25">
      <c r="Z210" t="s">
        <v>173</v>
      </c>
      <c r="AA210" t="s">
        <v>174</v>
      </c>
      <c r="AB210" t="s">
        <v>126</v>
      </c>
      <c r="AC210" t="s">
        <v>132</v>
      </c>
      <c r="AH210" t="s">
        <v>175</v>
      </c>
      <c r="AI210">
        <v>15</v>
      </c>
      <c r="AJ210">
        <f t="shared" ref="AJ210:AJ213" si="42">AJ209+1</f>
        <v>5</v>
      </c>
      <c r="AK210">
        <f t="shared" ca="1" si="32"/>
        <v>0.28686795080877642</v>
      </c>
      <c r="AL210">
        <f t="shared" ca="1" si="33"/>
        <v>77.22838338193398</v>
      </c>
      <c r="AM210">
        <f t="shared" ca="1" si="34"/>
        <v>0</v>
      </c>
      <c r="AN210">
        <f t="shared" ca="1" si="35"/>
        <v>0</v>
      </c>
      <c r="AO210">
        <f t="shared" ca="1" si="36"/>
        <v>0</v>
      </c>
      <c r="AQ210">
        <f t="shared" ca="1" si="37"/>
        <v>0</v>
      </c>
      <c r="AR210">
        <f t="shared" ca="1" si="38"/>
        <v>0</v>
      </c>
      <c r="AS210">
        <f t="shared" ca="1" si="39"/>
        <v>0</v>
      </c>
      <c r="AT210">
        <f t="shared" ca="1" si="40"/>
        <v>0</v>
      </c>
      <c r="AU210">
        <f t="shared" ca="1" si="41"/>
        <v>0</v>
      </c>
    </row>
    <row r="211" spans="26:47" x14ac:dyDescent="0.25">
      <c r="Z211" t="s">
        <v>165</v>
      </c>
      <c r="AA211" t="s">
        <v>31</v>
      </c>
      <c r="AB211" t="s">
        <v>54</v>
      </c>
      <c r="AI211">
        <f>AI208+IF($A$3=$Z$4,18,6)</f>
        <v>9</v>
      </c>
      <c r="AJ211">
        <f>AJ210+1</f>
        <v>6</v>
      </c>
      <c r="AK211">
        <f t="shared" ca="1" si="32"/>
        <v>0.15318521705622601</v>
      </c>
      <c r="AL211">
        <f t="shared" ca="1" si="33"/>
        <v>74.109698747642497</v>
      </c>
      <c r="AM211">
        <f t="shared" ca="1" si="34"/>
        <v>0</v>
      </c>
      <c r="AN211">
        <f t="shared" ca="1" si="35"/>
        <v>0</v>
      </c>
      <c r="AO211">
        <f t="shared" ca="1" si="36"/>
        <v>0</v>
      </c>
      <c r="AQ211">
        <f t="shared" ca="1" si="37"/>
        <v>0</v>
      </c>
      <c r="AR211">
        <f t="shared" ca="1" si="38"/>
        <v>0</v>
      </c>
      <c r="AS211">
        <f t="shared" ca="1" si="39"/>
        <v>0</v>
      </c>
      <c r="AT211">
        <f t="shared" ca="1" si="40"/>
        <v>0</v>
      </c>
      <c r="AU211">
        <f t="shared" ca="1" si="41"/>
        <v>0</v>
      </c>
    </row>
    <row r="212" spans="26:47" x14ac:dyDescent="0.25">
      <c r="Z212" t="s">
        <v>166</v>
      </c>
      <c r="AA212" t="s">
        <v>10</v>
      </c>
      <c r="AB212" t="s">
        <v>54</v>
      </c>
      <c r="AI212">
        <f>AI209+18</f>
        <v>27</v>
      </c>
      <c r="AJ212">
        <f t="shared" si="42"/>
        <v>7</v>
      </c>
      <c r="AK212">
        <f t="shared" ca="1" si="32"/>
        <v>7.765185437409565E-2</v>
      </c>
      <c r="AL212">
        <f t="shared" ca="1" si="33"/>
        <v>68.866686708606807</v>
      </c>
      <c r="AM212">
        <f t="shared" ca="1" si="34"/>
        <v>0</v>
      </c>
      <c r="AN212">
        <f t="shared" ca="1" si="35"/>
        <v>0</v>
      </c>
      <c r="AO212">
        <f t="shared" ca="1" si="36"/>
        <v>0</v>
      </c>
      <c r="AQ212">
        <f t="shared" ca="1" si="37"/>
        <v>0</v>
      </c>
      <c r="AR212">
        <f t="shared" ca="1" si="38"/>
        <v>0</v>
      </c>
      <c r="AS212">
        <f t="shared" ca="1" si="39"/>
        <v>0</v>
      </c>
      <c r="AT212">
        <f t="shared" ca="1" si="40"/>
        <v>0</v>
      </c>
      <c r="AU212">
        <f t="shared" ca="1" si="41"/>
        <v>0</v>
      </c>
    </row>
    <row r="213" spans="26:47" x14ac:dyDescent="0.25">
      <c r="Z213" t="s">
        <v>167</v>
      </c>
      <c r="AA213" t="s">
        <v>176</v>
      </c>
      <c r="AB213" t="s">
        <v>54</v>
      </c>
      <c r="AI213">
        <v>33</v>
      </c>
      <c r="AJ213">
        <f t="shared" si="42"/>
        <v>8</v>
      </c>
      <c r="AK213">
        <f t="shared" ca="1" si="32"/>
        <v>3.757511201873813E-2</v>
      </c>
      <c r="AL213">
        <f t="shared" ca="1" si="33"/>
        <v>58.081874720680617</v>
      </c>
      <c r="AM213">
        <f t="shared" ca="1" si="34"/>
        <v>0</v>
      </c>
      <c r="AN213">
        <f t="shared" ca="1" si="35"/>
        <v>0</v>
      </c>
      <c r="AO213">
        <f t="shared" ca="1" si="36"/>
        <v>0</v>
      </c>
      <c r="AQ213">
        <f t="shared" ca="1" si="37"/>
        <v>0</v>
      </c>
      <c r="AR213">
        <f t="shared" ca="1" si="38"/>
        <v>0</v>
      </c>
      <c r="AS213">
        <f t="shared" ca="1" si="39"/>
        <v>0</v>
      </c>
      <c r="AT213">
        <f t="shared" ca="1" si="40"/>
        <v>0</v>
      </c>
      <c r="AU213">
        <f t="shared" ca="1" si="41"/>
        <v>0</v>
      </c>
    </row>
    <row r="214" spans="26:47" x14ac:dyDescent="0.25">
      <c r="AI214">
        <f>AI211+IF($A$3=$Z$4,18,6)</f>
        <v>15</v>
      </c>
    </row>
    <row r="215" spans="26:47" x14ac:dyDescent="0.25">
      <c r="AC215">
        <v>100</v>
      </c>
      <c r="AI215">
        <f>AI212+18</f>
        <v>45</v>
      </c>
    </row>
    <row r="216" spans="26:47" x14ac:dyDescent="0.25">
      <c r="AC216">
        <v>75</v>
      </c>
      <c r="AI216">
        <v>51</v>
      </c>
    </row>
    <row r="217" spans="26:47" x14ac:dyDescent="0.25">
      <c r="AC217">
        <v>50</v>
      </c>
      <c r="AI217">
        <f>AI214+IF($A$3=$Z$4,18,6)</f>
        <v>21</v>
      </c>
    </row>
    <row r="218" spans="26:47" x14ac:dyDescent="0.25">
      <c r="AC218">
        <v>25</v>
      </c>
      <c r="AI218">
        <f>AI215+18</f>
        <v>63</v>
      </c>
    </row>
    <row r="219" spans="26:47" x14ac:dyDescent="0.25">
      <c r="AI219">
        <v>69</v>
      </c>
    </row>
    <row r="220" spans="26:47" x14ac:dyDescent="0.25">
      <c r="AH220" s="221"/>
      <c r="AI220">
        <v>3</v>
      </c>
    </row>
    <row r="221" spans="26:47" x14ac:dyDescent="0.25">
      <c r="AH221" s="221"/>
      <c r="AI221">
        <v>9</v>
      </c>
    </row>
    <row r="222" spans="26:47" x14ac:dyDescent="0.25">
      <c r="AH222" s="221"/>
      <c r="AI222">
        <v>15</v>
      </c>
    </row>
    <row r="223" spans="26:47" x14ac:dyDescent="0.25">
      <c r="AH223" s="221"/>
      <c r="AI223">
        <v>21</v>
      </c>
    </row>
    <row r="224" spans="26:47" x14ac:dyDescent="0.25">
      <c r="AA224" t="s">
        <v>90</v>
      </c>
      <c r="AH224" s="221"/>
      <c r="AI224">
        <v>27</v>
      </c>
    </row>
    <row r="225" spans="27:35" x14ac:dyDescent="0.25">
      <c r="AA225" t="s">
        <v>91</v>
      </c>
      <c r="AH225" s="221"/>
      <c r="AI225">
        <v>33</v>
      </c>
    </row>
    <row r="226" spans="27:35" x14ac:dyDescent="0.25">
      <c r="AA226" t="s">
        <v>93</v>
      </c>
      <c r="AH226" s="221"/>
      <c r="AI226">
        <v>39</v>
      </c>
    </row>
    <row r="227" spans="27:35" x14ac:dyDescent="0.25">
      <c r="AA227" t="s">
        <v>94</v>
      </c>
      <c r="AH227" s="221"/>
      <c r="AI227">
        <v>45</v>
      </c>
    </row>
    <row r="228" spans="27:35" x14ac:dyDescent="0.25">
      <c r="AA228" t="s">
        <v>92</v>
      </c>
      <c r="AI228">
        <v>3</v>
      </c>
    </row>
    <row r="229" spans="27:35" x14ac:dyDescent="0.25">
      <c r="AI229">
        <f>AI228+6</f>
        <v>9</v>
      </c>
    </row>
    <row r="230" spans="27:35" x14ac:dyDescent="0.25">
      <c r="AI230">
        <f>AI229+6</f>
        <v>15</v>
      </c>
    </row>
    <row r="231" spans="27:35" x14ac:dyDescent="0.25">
      <c r="AI231">
        <f>AI230+6</f>
        <v>21</v>
      </c>
    </row>
    <row r="232" spans="27:35" x14ac:dyDescent="0.25">
      <c r="AI232">
        <v>27</v>
      </c>
    </row>
    <row r="233" spans="27:35" x14ac:dyDescent="0.25">
      <c r="AI233">
        <v>33</v>
      </c>
    </row>
    <row r="234" spans="27:35" x14ac:dyDescent="0.25">
      <c r="AI234">
        <v>39</v>
      </c>
    </row>
    <row r="235" spans="27:35" x14ac:dyDescent="0.25">
      <c r="AI235">
        <v>45</v>
      </c>
    </row>
    <row r="236" spans="27:35" x14ac:dyDescent="0.25">
      <c r="AH236" s="221"/>
      <c r="AI236">
        <v>3</v>
      </c>
    </row>
    <row r="237" spans="27:35" x14ac:dyDescent="0.25">
      <c r="AH237" s="221"/>
      <c r="AI237">
        <f>AI236+6</f>
        <v>9</v>
      </c>
    </row>
    <row r="238" spans="27:35" x14ac:dyDescent="0.25">
      <c r="AH238" s="221"/>
      <c r="AI238">
        <f>AI237+6</f>
        <v>15</v>
      </c>
    </row>
    <row r="239" spans="27:35" x14ac:dyDescent="0.25">
      <c r="AH239" s="221"/>
      <c r="AI239">
        <f>AI238+6</f>
        <v>21</v>
      </c>
    </row>
    <row r="240" spans="27:35" x14ac:dyDescent="0.25">
      <c r="AI240">
        <v>3</v>
      </c>
    </row>
    <row r="241" spans="34:41" x14ac:dyDescent="0.25">
      <c r="AI241">
        <f>AI240+6</f>
        <v>9</v>
      </c>
    </row>
    <row r="242" spans="34:41" x14ac:dyDescent="0.25">
      <c r="AI242">
        <f>AI241+6</f>
        <v>15</v>
      </c>
    </row>
    <row r="243" spans="34:41" x14ac:dyDescent="0.25">
      <c r="AI243">
        <f>AI242+6</f>
        <v>21</v>
      </c>
    </row>
    <row r="245" spans="34:41" x14ac:dyDescent="0.25">
      <c r="AL245" t="s">
        <v>23</v>
      </c>
      <c r="AN245" t="s">
        <v>177</v>
      </c>
    </row>
    <row r="246" spans="34:41" x14ac:dyDescent="0.25">
      <c r="AH246" t="s">
        <v>178</v>
      </c>
      <c r="AI246">
        <v>4</v>
      </c>
      <c r="AL246" t="s">
        <v>179</v>
      </c>
      <c r="AM246" t="s">
        <v>25</v>
      </c>
      <c r="AN246" t="s">
        <v>179</v>
      </c>
      <c r="AO246" t="s">
        <v>25</v>
      </c>
    </row>
    <row r="247" spans="34:41" x14ac:dyDescent="0.25">
      <c r="AH247" t="s">
        <v>180</v>
      </c>
      <c r="AI247">
        <v>29</v>
      </c>
      <c r="AK247">
        <f>VLOOKUP("Object_detection"&amp;"_"&amp;A207,AH246:AI254,2,FALSE)</f>
        <v>4</v>
      </c>
      <c r="AL247">
        <f ca="1">INDIRECT("'"&amp;$B$205&amp;"'!"&amp;ADDRESS($AJ208,41))</f>
        <v>0.86311464562697093</v>
      </c>
      <c r="AM247">
        <f ca="1">INDIRECT("'"&amp;$B$205&amp;"'!"&amp;ADDRESS($AJ208,42))</f>
        <v>78.893175914560445</v>
      </c>
      <c r="AN247" t="e">
        <f ca="1">INDIRECT("'"&amp;$B$205&amp;"'!"&amp;ADDRESS($AJ208,43))</f>
        <v>#N/A</v>
      </c>
      <c r="AO247" t="e">
        <f ca="1">INDIRECT("'"&amp;$B$205&amp;"'!"&amp;ADDRESS($AJ208,44))</f>
        <v>#N/A</v>
      </c>
    </row>
    <row r="248" spans="34:41" x14ac:dyDescent="0.25">
      <c r="AH248" t="s">
        <v>181</v>
      </c>
      <c r="AI248">
        <v>54</v>
      </c>
      <c r="AK248">
        <f t="shared" ref="AK248:AK270" si="43">AK247+1</f>
        <v>5</v>
      </c>
      <c r="AL248">
        <f t="shared" ref="AL248:AL252" ca="1" si="44">INDIRECT("'"&amp;$B$205&amp;"'!"&amp;ADDRESS($AJ209,41))</f>
        <v>0.50970091187041677</v>
      </c>
      <c r="AM248">
        <f t="shared" ref="AM248:AM252" ca="1" si="45">INDIRECT("'"&amp;$B$205&amp;"'!"&amp;ADDRESS($AJ209,42))</f>
        <v>77.927258611746652</v>
      </c>
      <c r="AN248" t="e">
        <f t="shared" ref="AN248:AN252" ca="1" si="46">INDIRECT("'"&amp;$B$205&amp;"'!"&amp;ADDRESS($AJ209,43))</f>
        <v>#N/A</v>
      </c>
      <c r="AO248" t="e">
        <f t="shared" ref="AO248:AO252" ca="1" si="47">INDIRECT("'"&amp;$B$205&amp;"'!"&amp;ADDRESS($AJ209,44))</f>
        <v>#N/A</v>
      </c>
    </row>
    <row r="249" spans="34:41" x14ac:dyDescent="0.25">
      <c r="AI249">
        <v>4</v>
      </c>
      <c r="AK249">
        <f t="shared" si="43"/>
        <v>6</v>
      </c>
      <c r="AL249">
        <f t="shared" ca="1" si="44"/>
        <v>0.28686795080877642</v>
      </c>
      <c r="AM249">
        <f t="shared" ca="1" si="45"/>
        <v>77.22838338193398</v>
      </c>
      <c r="AN249" t="e">
        <f t="shared" ca="1" si="46"/>
        <v>#N/A</v>
      </c>
      <c r="AO249" t="e">
        <f t="shared" ca="1" si="47"/>
        <v>#N/A</v>
      </c>
    </row>
    <row r="250" spans="34:41" x14ac:dyDescent="0.25">
      <c r="AI250">
        <v>29</v>
      </c>
      <c r="AK250">
        <f t="shared" si="43"/>
        <v>7</v>
      </c>
      <c r="AL250">
        <f t="shared" ca="1" si="44"/>
        <v>0.15318521705622601</v>
      </c>
      <c r="AM250">
        <f t="shared" ca="1" si="45"/>
        <v>74.109698747642497</v>
      </c>
      <c r="AN250" t="e">
        <f t="shared" ca="1" si="46"/>
        <v>#N/A</v>
      </c>
      <c r="AO250" t="e">
        <f t="shared" ca="1" si="47"/>
        <v>#N/A</v>
      </c>
    </row>
    <row r="251" spans="34:41" x14ac:dyDescent="0.25">
      <c r="AI251">
        <v>4</v>
      </c>
      <c r="AK251">
        <f t="shared" si="43"/>
        <v>8</v>
      </c>
      <c r="AL251">
        <f t="shared" ca="1" si="44"/>
        <v>7.765185437409565E-2</v>
      </c>
      <c r="AM251">
        <f t="shared" ca="1" si="45"/>
        <v>68.866686708606807</v>
      </c>
      <c r="AN251" t="e">
        <f t="shared" ca="1" si="46"/>
        <v>#N/A</v>
      </c>
      <c r="AO251" t="e">
        <f t="shared" ca="1" si="47"/>
        <v>#N/A</v>
      </c>
    </row>
    <row r="252" spans="34:41" x14ac:dyDescent="0.25">
      <c r="AI252">
        <v>29</v>
      </c>
      <c r="AK252">
        <f t="shared" si="43"/>
        <v>9</v>
      </c>
      <c r="AL252">
        <f t="shared" ca="1" si="44"/>
        <v>3.757511201873813E-2</v>
      </c>
      <c r="AM252">
        <f t="shared" ca="1" si="45"/>
        <v>58.081874720680617</v>
      </c>
      <c r="AN252" t="e">
        <f t="shared" ca="1" si="46"/>
        <v>#N/A</v>
      </c>
      <c r="AO252" t="e">
        <f t="shared" ca="1" si="47"/>
        <v>#N/A</v>
      </c>
    </row>
    <row r="253" spans="34:41" x14ac:dyDescent="0.25">
      <c r="AH253" s="221"/>
      <c r="AI253">
        <v>4</v>
      </c>
      <c r="AK253">
        <f t="shared" si="43"/>
        <v>10</v>
      </c>
    </row>
    <row r="254" spans="34:41" x14ac:dyDescent="0.25">
      <c r="AI254">
        <v>4</v>
      </c>
      <c r="AK254">
        <f t="shared" si="43"/>
        <v>11</v>
      </c>
    </row>
    <row r="255" spans="34:41" x14ac:dyDescent="0.25">
      <c r="AI255">
        <v>4</v>
      </c>
      <c r="AK255">
        <f t="shared" si="43"/>
        <v>12</v>
      </c>
    </row>
    <row r="256" spans="34:41" x14ac:dyDescent="0.25">
      <c r="AI256">
        <v>14</v>
      </c>
      <c r="AK256">
        <f t="shared" si="43"/>
        <v>13</v>
      </c>
    </row>
    <row r="257" spans="35:37" x14ac:dyDescent="0.25">
      <c r="AI257">
        <v>24</v>
      </c>
      <c r="AK257">
        <f t="shared" si="43"/>
        <v>14</v>
      </c>
    </row>
    <row r="258" spans="35:37" x14ac:dyDescent="0.25">
      <c r="AI258">
        <v>34</v>
      </c>
      <c r="AK258">
        <f t="shared" si="43"/>
        <v>15</v>
      </c>
    </row>
    <row r="259" spans="35:37" x14ac:dyDescent="0.25">
      <c r="AI259">
        <v>44</v>
      </c>
      <c r="AK259">
        <f t="shared" si="43"/>
        <v>16</v>
      </c>
    </row>
    <row r="260" spans="35:37" x14ac:dyDescent="0.25">
      <c r="AK260">
        <f t="shared" si="43"/>
        <v>17</v>
      </c>
    </row>
    <row r="261" spans="35:37" x14ac:dyDescent="0.25">
      <c r="AK261">
        <f t="shared" si="43"/>
        <v>18</v>
      </c>
    </row>
    <row r="262" spans="35:37" x14ac:dyDescent="0.25">
      <c r="AK262">
        <f t="shared" si="43"/>
        <v>19</v>
      </c>
    </row>
    <row r="263" spans="35:37" x14ac:dyDescent="0.25">
      <c r="AK263">
        <f t="shared" si="43"/>
        <v>20</v>
      </c>
    </row>
    <row r="264" spans="35:37" x14ac:dyDescent="0.25">
      <c r="AK264">
        <f t="shared" si="43"/>
        <v>21</v>
      </c>
    </row>
    <row r="265" spans="35:37" x14ac:dyDescent="0.25">
      <c r="AK265">
        <f t="shared" si="43"/>
        <v>22</v>
      </c>
    </row>
    <row r="266" spans="35:37" x14ac:dyDescent="0.25">
      <c r="AK266">
        <f t="shared" si="43"/>
        <v>23</v>
      </c>
    </row>
    <row r="267" spans="35:37" x14ac:dyDescent="0.25">
      <c r="AK267">
        <f t="shared" si="43"/>
        <v>24</v>
      </c>
    </row>
    <row r="268" spans="35:37" x14ac:dyDescent="0.25">
      <c r="AK268">
        <f t="shared" si="43"/>
        <v>25</v>
      </c>
    </row>
    <row r="269" spans="35:37" x14ac:dyDescent="0.25">
      <c r="AK269">
        <f t="shared" si="43"/>
        <v>26</v>
      </c>
    </row>
    <row r="270" spans="35:37" x14ac:dyDescent="0.25">
      <c r="AK270">
        <f t="shared" si="43"/>
        <v>27</v>
      </c>
    </row>
    <row r="296" spans="27:28" x14ac:dyDescent="0.25">
      <c r="AA296">
        <v>100</v>
      </c>
      <c r="AB296">
        <v>0</v>
      </c>
    </row>
    <row r="297" spans="27:28" x14ac:dyDescent="0.25">
      <c r="AA297">
        <v>75</v>
      </c>
      <c r="AB297">
        <v>1</v>
      </c>
    </row>
    <row r="298" spans="27:28" x14ac:dyDescent="0.25">
      <c r="AA298">
        <v>50</v>
      </c>
      <c r="AB298">
        <v>2</v>
      </c>
    </row>
    <row r="299" spans="27:28" x14ac:dyDescent="0.25">
      <c r="AA299">
        <v>25</v>
      </c>
      <c r="AB299">
        <v>3</v>
      </c>
    </row>
  </sheetData>
  <dataConsolidate/>
  <phoneticPr fontId="8" type="noConversion"/>
  <dataValidations count="11">
    <dataValidation type="list" allowBlank="1" showInputMessage="1" showErrorMessage="1" sqref="B3" xr:uid="{00000000-0002-0000-0800-000000000000}">
      <formula1>INDIRECT($A$3)</formula1>
    </dataValidation>
    <dataValidation type="list" allowBlank="1" showInputMessage="1" showErrorMessage="1" sqref="C3" xr:uid="{00000000-0002-0000-0800-000001000000}">
      <formula1>$AC$11:$AC$12</formula1>
    </dataValidation>
    <dataValidation type="list" allowBlank="1" showInputMessage="1" showErrorMessage="1" promptTitle="Machine Task" sqref="A3" xr:uid="{00000000-0002-0000-0800-000002000000}">
      <formula1>$AC$3:$AD$3</formula1>
    </dataValidation>
    <dataValidation type="list" allowBlank="1" showInputMessage="1" showErrorMessage="1" sqref="C107" xr:uid="{00000000-0002-0000-0800-000003000000}">
      <formula1>$Z$116</formula1>
    </dataValidation>
    <dataValidation type="list" allowBlank="1" showInputMessage="1" showErrorMessage="1" sqref="C7" xr:uid="{00000000-0002-0000-0800-000004000000}">
      <formula1>$AA$6</formula1>
    </dataValidation>
    <dataValidation type="list" showInputMessage="1" showErrorMessage="1" sqref="A7" xr:uid="{00000000-0002-0000-0800-000005000000}">
      <formula1>$X$15:$X$20</formula1>
    </dataValidation>
    <dataValidation type="list" allowBlank="1" showInputMessage="1" showErrorMessage="1" sqref="B207" xr:uid="{00000000-0002-0000-0800-000006000000}">
      <formula1>$Y$207</formula1>
    </dataValidation>
    <dataValidation type="list" allowBlank="1" showInputMessage="1" showErrorMessage="1" sqref="A207" xr:uid="{00000000-0002-0000-0800-000007000000}">
      <formula1>$AC$208:$AC$210</formula1>
    </dataValidation>
    <dataValidation type="list" showInputMessage="1" showErrorMessage="1" sqref="B7" xr:uid="{00000000-0002-0000-0800-000008000000}">
      <formula1>IF(OR(A7=X15,A7=X16,A7=X17),AA15:$AA$28,$AA$32:$AA$34)</formula1>
    </dataValidation>
    <dataValidation type="list" allowBlank="1" showInputMessage="1" showErrorMessage="1" sqref="A107" xr:uid="{00000000-0002-0000-0800-000009000000}">
      <formula1>$X$112:$X$114</formula1>
    </dataValidation>
    <dataValidation type="list" allowBlank="1" showInputMessage="1" showErrorMessage="1" sqref="B107" xr:uid="{00000000-0002-0000-0800-00000A000000}">
      <formula1>$X$116:$X$122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BG363"/>
  <sheetViews>
    <sheetView zoomScale="70" zoomScaleNormal="70" workbookViewId="0">
      <selection activeCell="E5" sqref="E5"/>
    </sheetView>
  </sheetViews>
  <sheetFormatPr defaultColWidth="10.625" defaultRowHeight="16.5" x14ac:dyDescent="0.25"/>
  <cols>
    <col min="1" max="1" width="13.125" customWidth="1"/>
    <col min="11" max="11" width="13.5" customWidth="1"/>
    <col min="31" max="31" width="17.5" customWidth="1"/>
    <col min="32" max="32" width="12" bestFit="1" customWidth="1"/>
    <col min="41" max="41" width="15" customWidth="1"/>
  </cols>
  <sheetData>
    <row r="1" spans="1:59" x14ac:dyDescent="0.25">
      <c r="A1" t="s">
        <v>147</v>
      </c>
    </row>
    <row r="2" spans="1:59" x14ac:dyDescent="0.25">
      <c r="A2" t="s">
        <v>57</v>
      </c>
      <c r="B2" s="312" t="s">
        <v>26</v>
      </c>
      <c r="C2" s="312"/>
      <c r="D2" s="312" t="s">
        <v>27</v>
      </c>
      <c r="E2" s="312"/>
      <c r="F2" s="312" t="s">
        <v>28</v>
      </c>
      <c r="G2" s="312"/>
      <c r="H2" s="312" t="s">
        <v>29</v>
      </c>
      <c r="I2" s="312"/>
      <c r="K2" s="35" t="s">
        <v>59</v>
      </c>
      <c r="L2" s="312" t="s">
        <v>26</v>
      </c>
      <c r="M2" s="312"/>
      <c r="N2" s="312" t="s">
        <v>27</v>
      </c>
      <c r="O2" s="312"/>
      <c r="P2" s="312" t="s">
        <v>28</v>
      </c>
      <c r="Q2" s="312"/>
      <c r="R2" s="312" t="s">
        <v>29</v>
      </c>
      <c r="S2" s="312"/>
      <c r="U2" t="s">
        <v>65</v>
      </c>
      <c r="V2" s="312" t="s">
        <v>26</v>
      </c>
      <c r="W2" s="312"/>
      <c r="X2" s="312" t="s">
        <v>27</v>
      </c>
      <c r="Y2" s="312"/>
      <c r="Z2" s="312" t="s">
        <v>28</v>
      </c>
      <c r="AA2" s="312"/>
      <c r="AB2" s="312" t="s">
        <v>29</v>
      </c>
      <c r="AC2" s="312"/>
      <c r="AD2" s="17"/>
      <c r="AE2" t="s">
        <v>70</v>
      </c>
      <c r="AF2" s="312" t="s">
        <v>26</v>
      </c>
      <c r="AG2" s="312"/>
      <c r="AH2" s="312" t="s">
        <v>27</v>
      </c>
      <c r="AI2" s="312"/>
      <c r="AJ2" s="312" t="s">
        <v>28</v>
      </c>
      <c r="AK2" s="312"/>
      <c r="AL2" s="312" t="s">
        <v>29</v>
      </c>
      <c r="AM2" s="312"/>
      <c r="AO2" t="s">
        <v>78</v>
      </c>
      <c r="AP2" s="312" t="s">
        <v>26</v>
      </c>
      <c r="AQ2" s="312"/>
      <c r="AR2" s="312" t="s">
        <v>27</v>
      </c>
      <c r="AS2" s="312"/>
      <c r="AT2" s="312" t="s">
        <v>28</v>
      </c>
      <c r="AU2" s="312"/>
      <c r="AV2" s="312" t="s">
        <v>29</v>
      </c>
      <c r="AW2" s="312"/>
      <c r="AY2" t="s">
        <v>102</v>
      </c>
      <c r="AZ2" s="312" t="s">
        <v>26</v>
      </c>
      <c r="BA2" s="312"/>
      <c r="BB2" s="312" t="s">
        <v>27</v>
      </c>
      <c r="BC2" s="312"/>
      <c r="BD2" s="312" t="s">
        <v>28</v>
      </c>
      <c r="BE2" s="312"/>
      <c r="BF2" s="312" t="s">
        <v>29</v>
      </c>
      <c r="BG2" s="312"/>
    </row>
    <row r="3" spans="1:59" x14ac:dyDescent="0.25">
      <c r="B3" t="s">
        <v>24</v>
      </c>
      <c r="C3" t="s">
        <v>25</v>
      </c>
      <c r="D3" t="s">
        <v>24</v>
      </c>
      <c r="E3" t="s">
        <v>25</v>
      </c>
      <c r="F3" t="s">
        <v>24</v>
      </c>
      <c r="G3" t="s">
        <v>25</v>
      </c>
      <c r="H3" t="s">
        <v>24</v>
      </c>
      <c r="I3" t="s">
        <v>25</v>
      </c>
      <c r="L3" t="s">
        <v>24</v>
      </c>
      <c r="M3" t="s">
        <v>25</v>
      </c>
      <c r="N3" t="s">
        <v>24</v>
      </c>
      <c r="O3" t="s">
        <v>25</v>
      </c>
      <c r="P3" t="s">
        <v>24</v>
      </c>
      <c r="Q3" t="s">
        <v>25</v>
      </c>
      <c r="R3" t="s">
        <v>24</v>
      </c>
      <c r="S3" t="s">
        <v>25</v>
      </c>
      <c r="V3" t="s">
        <v>24</v>
      </c>
      <c r="W3" t="s">
        <v>25</v>
      </c>
      <c r="X3" t="s">
        <v>24</v>
      </c>
      <c r="Y3" t="s">
        <v>25</v>
      </c>
      <c r="Z3" t="s">
        <v>24</v>
      </c>
      <c r="AA3" t="s">
        <v>25</v>
      </c>
      <c r="AB3" t="s">
        <v>24</v>
      </c>
      <c r="AC3" t="s">
        <v>25</v>
      </c>
      <c r="AF3" t="s">
        <v>24</v>
      </c>
      <c r="AG3" t="s">
        <v>53</v>
      </c>
      <c r="AH3" t="s">
        <v>24</v>
      </c>
      <c r="AI3" t="s">
        <v>53</v>
      </c>
      <c r="AJ3" t="s">
        <v>24</v>
      </c>
      <c r="AK3" t="s">
        <v>53</v>
      </c>
      <c r="AL3" t="s">
        <v>24</v>
      </c>
      <c r="AM3" t="s">
        <v>53</v>
      </c>
      <c r="AP3" t="s">
        <v>24</v>
      </c>
      <c r="AQ3" t="s">
        <v>25</v>
      </c>
      <c r="AR3" t="s">
        <v>24</v>
      </c>
      <c r="AS3" t="s">
        <v>25</v>
      </c>
      <c r="AT3" t="s">
        <v>24</v>
      </c>
      <c r="AU3" t="s">
        <v>25</v>
      </c>
      <c r="AV3" t="s">
        <v>24</v>
      </c>
      <c r="AW3" t="s">
        <v>25</v>
      </c>
      <c r="AZ3" t="s">
        <v>24</v>
      </c>
      <c r="BA3" t="s">
        <v>25</v>
      </c>
      <c r="BB3" t="s">
        <v>24</v>
      </c>
      <c r="BC3" t="s">
        <v>25</v>
      </c>
      <c r="BD3" t="s">
        <v>24</v>
      </c>
      <c r="BE3" t="s">
        <v>25</v>
      </c>
      <c r="BF3" t="s">
        <v>24</v>
      </c>
      <c r="BG3" t="s">
        <v>25</v>
      </c>
    </row>
    <row r="4" spans="1:59" x14ac:dyDescent="0.25">
      <c r="A4" t="s">
        <v>58</v>
      </c>
      <c r="B4" t="s">
        <v>40</v>
      </c>
      <c r="C4">
        <v>44.241199000000002</v>
      </c>
      <c r="D4" t="s">
        <v>44</v>
      </c>
      <c r="E4">
        <v>20</v>
      </c>
      <c r="K4" t="s">
        <v>60</v>
      </c>
      <c r="L4" t="s">
        <v>40</v>
      </c>
      <c r="M4">
        <v>77.041349999999994</v>
      </c>
      <c r="N4" t="s">
        <v>44</v>
      </c>
      <c r="O4">
        <v>20</v>
      </c>
      <c r="Q4" s="36"/>
      <c r="U4" t="s">
        <v>66</v>
      </c>
      <c r="V4" t="s">
        <v>40</v>
      </c>
      <c r="W4">
        <v>27.288250999999999</v>
      </c>
      <c r="X4" t="s">
        <v>44</v>
      </c>
      <c r="Y4">
        <v>20</v>
      </c>
      <c r="AE4" t="s">
        <v>71</v>
      </c>
      <c r="AF4" t="s">
        <v>40</v>
      </c>
      <c r="AG4">
        <v>34.423498000000002</v>
      </c>
      <c r="AH4" t="s">
        <v>44</v>
      </c>
      <c r="AI4">
        <v>20</v>
      </c>
      <c r="AO4" t="s">
        <v>75</v>
      </c>
      <c r="AP4" t="s">
        <v>40</v>
      </c>
      <c r="AQ4" s="71">
        <v>23.965539</v>
      </c>
      <c r="AR4" t="s">
        <v>44</v>
      </c>
      <c r="AS4">
        <v>20</v>
      </c>
      <c r="AY4" t="s">
        <v>100</v>
      </c>
      <c r="AZ4" t="s">
        <v>40</v>
      </c>
      <c r="BA4" s="71">
        <v>44.790391999999997</v>
      </c>
      <c r="BB4" t="s">
        <v>44</v>
      </c>
      <c r="BC4">
        <v>20</v>
      </c>
    </row>
    <row r="5" spans="1:59" x14ac:dyDescent="0.25">
      <c r="B5">
        <f>'SFU-HW_RA'!D4</f>
        <v>402.6327273</v>
      </c>
      <c r="C5">
        <f>'SFU-HW_RA'!E4</f>
        <v>37.580471000000003</v>
      </c>
      <c r="D5" t="e" cm="1">
        <f t="array" ref="D5">pareto($B$5:$B$10,$C$5:$C$10,1,"rate",Summary!#REF!,$C$4,$E$4)</f>
        <v>#VALUE!</v>
      </c>
      <c r="E5" t="e" cm="1">
        <f t="array" ref="E5">pareto($B$5:$B$10,$C$5:$C$10,1,"dist",Summary!#REF!,$C$4,$E$4)</f>
        <v>#VALUE!</v>
      </c>
      <c r="F5">
        <f>'SFU-HW_RA'!M4</f>
        <v>402.63272727272698</v>
      </c>
      <c r="G5">
        <f>'SFU-HW_RA'!N4</f>
        <v>37.580471000000003</v>
      </c>
      <c r="H5" t="e" cm="1">
        <f t="array" ref="H5">pareto($F$5:$F$10,$G$5:$G$10,1,"rate",Summary!#REF!,$C$4,$E$4)</f>
        <v>#VALUE!</v>
      </c>
      <c r="I5" t="e" cm="1">
        <f t="array" ref="I5">pareto($F$5:$F$10,$G$5:$G$10,1,"dist",Summary!#REF!,$C$4,$E$4)</f>
        <v>#VALUE!</v>
      </c>
      <c r="L5" t="e">
        <f>'SFU-HW_RA'!#REF!</f>
        <v>#REF!</v>
      </c>
      <c r="M5" t="e">
        <f>'SFU-HW_RA'!#REF!</f>
        <v>#REF!</v>
      </c>
      <c r="N5" t="e" cm="1">
        <f t="array" ref="N5">pareto($L$5:$L$10,$M$5:$M$10,1,"rate",Summary!#REF!,$M$4,$O$4)</f>
        <v>#VALUE!</v>
      </c>
      <c r="O5" t="e" cm="1">
        <f t="array" ref="O5">pareto($L$5:$L$10,$M$5:$M$10,1,"dist",Summary!#REF!,$M$4,$O$4)</f>
        <v>#VALUE!</v>
      </c>
      <c r="P5" t="e">
        <f>'SFU-HW_RA'!#REF!</f>
        <v>#REF!</v>
      </c>
      <c r="Q5" t="e">
        <f>'SFU-HW_RA'!#REF!</f>
        <v>#REF!</v>
      </c>
      <c r="R5" t="e" cm="1">
        <f t="array" ref="R5">pareto($P$5:$P$28,$Q$5:$Q$28,1,"rate",Summary!#REF!,$M$4,$O$4)</f>
        <v>#VALUE!</v>
      </c>
      <c r="S5" t="e" cm="1">
        <f t="array" ref="S5">pareto($P$5:$P$28,$Q$5:$Q$28,1,"dist",Summary!#REF!,$M$4,$O$4)</f>
        <v>#VALUE!</v>
      </c>
      <c r="V5">
        <f>'SFU-HW_RA'!D34</f>
        <v>541.38556700000004</v>
      </c>
      <c r="W5">
        <f>'SFU-HW_RA'!E34</f>
        <v>20.077542999999999</v>
      </c>
      <c r="X5" t="e" cm="1">
        <f t="array" ref="X5">pareto($V$5:$V$28,$W$5:$W$28,1,"rate",Summary!#REF!,$W$4,$Y$4)</f>
        <v>#VALUE!</v>
      </c>
      <c r="Y5" t="e" cm="1">
        <f t="array" ref="Y5">pareto($V$5:$V$28,$W$5:$W$28,1,"dist",Summary!#REF!,$W$4,$Y$4)</f>
        <v>#VALUE!</v>
      </c>
      <c r="Z5">
        <f>'SFU-HW_RA'!M34</f>
        <v>541.38556701030905</v>
      </c>
      <c r="AA5">
        <f>'SFU-HW_RA'!N34</f>
        <v>20.077542999999999</v>
      </c>
      <c r="AB5" t="e" cm="1">
        <f t="array" ref="AB5">pareto($Z$5:$Z$28,$AA$5:$AA$28,1,"rate",Summary!#REF!,$W$4,$Y$4)</f>
        <v>#VALUE!</v>
      </c>
      <c r="AC5" t="e" cm="1">
        <f t="array" ref="AC5">pareto($Z$5:$Z$28,$AA$5:$AA$28,1,"dist",Summary!#REF!,$W$4,$Y$4)</f>
        <v>#VALUE!</v>
      </c>
      <c r="AF5">
        <f>'SFU-HW_RA'!D58</f>
        <v>473.97525769999999</v>
      </c>
      <c r="AG5">
        <f>'SFU-HW_RA'!E58</f>
        <v>21.702840999999999</v>
      </c>
      <c r="AH5" t="e" cm="1">
        <f t="array" ref="AH5">pareto($AF$5:$AF$28,$AG$5:$AG$28,1,"rate",Summary!#REF!,$AG$4,$AI$4)</f>
        <v>#VALUE!</v>
      </c>
      <c r="AI5" t="e" cm="1">
        <f t="array" ref="AI5">pareto($AF$5:$AF$28,$AG$5:$AG$28,1,"dist",Summary!#REF!,$AG$4,$AI$4)</f>
        <v>#VALUE!</v>
      </c>
      <c r="AJ5">
        <f>'SFU-HW_RA'!M58</f>
        <v>473.97525773195798</v>
      </c>
      <c r="AK5">
        <f>'SFU-HW_RA'!N58</f>
        <v>21.702840999999999</v>
      </c>
      <c r="AL5" t="e" cm="1">
        <f t="array" ref="AL5">pareto($AJ$5:$AJ$28,$AK$5:$AK$28,1,"rate",Summary!#REF!,$AG$4,$AI$4)</f>
        <v>#VALUE!</v>
      </c>
      <c r="AM5" t="e" cm="1">
        <f t="array" ref="AM5">pareto($AJ$5:$AJ$28,$AK$5:$AK$28,1,"dist",Summary!#REF!,$AG$4,$AI$4)</f>
        <v>#VALUE!</v>
      </c>
      <c r="AP5" t="e">
        <f>'SFU-HW_RA'!#REF!</f>
        <v>#REF!</v>
      </c>
      <c r="AQ5" t="e">
        <f>'SFU-HW_RA'!#REF!</f>
        <v>#REF!</v>
      </c>
      <c r="AR5" t="e" cm="1">
        <f t="array" ref="AR5">pareto($AP$5:$AP$28,$AQ$5:$AQ$28,1,"rate",Summary!#REF!,$AQ$4,$AS$4)</f>
        <v>#VALUE!</v>
      </c>
      <c r="AS5" t="e" cm="1">
        <f t="array" ref="AS5">pareto($AP$5:$AP$28,$AQ$5:$AQ$28,1,"dist",Summary!#REF!,$AQ$4,$AS$4)</f>
        <v>#VALUE!</v>
      </c>
      <c r="AT5" t="e">
        <f>'SFU-HW_RA'!#REF!</f>
        <v>#REF!</v>
      </c>
      <c r="AU5" t="e">
        <f>'SFU-HW_RA'!#REF!</f>
        <v>#REF!</v>
      </c>
      <c r="AV5" t="e" cm="1">
        <f t="array" ref="AV5">pareto($AT$5:$AT$28,$AU$5:$AU$28,1,"rate",Summary!#REF!,$AQ$4,$AS$4)</f>
        <v>#VALUE!</v>
      </c>
      <c r="AW5" t="e" cm="1">
        <f t="array" ref="AW5">pareto($AT$5:$AT$28,$AU$5:$AU$28,1,"dist",Summary!#REF!,$AQ$4,$AS$4)</f>
        <v>#VALUE!</v>
      </c>
      <c r="AZ5" t="e">
        <f>#REF!</f>
        <v>#REF!</v>
      </c>
      <c r="BA5" t="e">
        <f>#REF!</f>
        <v>#REF!</v>
      </c>
      <c r="BB5" t="e" cm="1">
        <f t="array" ref="BB5">pareto($AZ$5:$AZ$28,$BA$5:$BA$28,1,"rate",Summary!#REF!,$BA$4,$BC$4)</f>
        <v>#VALUE!</v>
      </c>
      <c r="BC5" t="e" cm="1">
        <f t="array" ref="BC5">pareto($AZ$5:$AZ$28,$BA$5:$BA$28,1,"dist",Summary!#REF!,$BA$4,$BC$4)</f>
        <v>#VALUE!</v>
      </c>
      <c r="BD5" s="36" t="e">
        <f>#REF!</f>
        <v>#REF!</v>
      </c>
      <c r="BE5" s="36" t="e">
        <f>#REF!</f>
        <v>#REF!</v>
      </c>
      <c r="BF5" t="e" cm="1">
        <f t="array" ref="BF5">pareto($BD$5:$BD$28,$BE$5:$BE$28,1,"rate",Summary!#REF!,$BA$4,$BC$4)</f>
        <v>#VALUE!</v>
      </c>
      <c r="BG5" t="e" cm="1">
        <f t="array" ref="BG5">pareto($BD$5:$BD$28,$BE$5:$BE$28,1,"dist",Summary!#REF!,$BA$4,$BC$4)</f>
        <v>#VALUE!</v>
      </c>
    </row>
    <row r="6" spans="1:59" x14ac:dyDescent="0.25">
      <c r="B6">
        <f>'SFU-HW_RA'!D5</f>
        <v>323.70909089999998</v>
      </c>
      <c r="C6">
        <f>'SFU-HW_RA'!E5</f>
        <v>36.137171000000002</v>
      </c>
      <c r="D6" t="e" cm="1">
        <f t="array" ref="D6">pareto($B$5:$B$10,$C$5:$C$10,2,"rate",Summary!#REF!,$C$4,$E$4)</f>
        <v>#VALUE!</v>
      </c>
      <c r="E6" t="e" cm="1">
        <f t="array" ref="E6">pareto($B$5:$B$10,$C$5:$C$10,2,"dist",Summary!#REF!,$C$4,$E$4)</f>
        <v>#VALUE!</v>
      </c>
      <c r="F6">
        <f>'SFU-HW_RA'!M5</f>
        <v>323.70909090908998</v>
      </c>
      <c r="G6">
        <f>'SFU-HW_RA'!N5</f>
        <v>36.137171000000002</v>
      </c>
      <c r="H6" t="e" cm="1">
        <f t="array" ref="H6">pareto($F$5:$F$10,$G$5:$G$10,2,"rate",Summary!#REF!,$C$4,$E$4)</f>
        <v>#VALUE!</v>
      </c>
      <c r="I6" t="e" cm="1">
        <f t="array" ref="I6">pareto($F$5:$F$10,$G$5:$G$10,2,"dist",Summary!#REF!,$C$4,$E$4)</f>
        <v>#VALUE!</v>
      </c>
      <c r="L6" t="e">
        <f>'SFU-HW_RA'!#REF!</f>
        <v>#REF!</v>
      </c>
      <c r="M6" t="e">
        <f>'SFU-HW_RA'!#REF!</f>
        <v>#REF!</v>
      </c>
      <c r="N6" t="e" cm="1">
        <f t="array" ref="N6">pareto($L$5:$L$10,$M$5:$M$10,2,"rate",Summary!#REF!,$M$4,$O$4)</f>
        <v>#VALUE!</v>
      </c>
      <c r="O6" t="e" cm="1">
        <f t="array" ref="O6">pareto($L$5:$L$10,$M$5:$M$10,2,"dist",Summary!#REF!,$M$4,$O$4)</f>
        <v>#VALUE!</v>
      </c>
      <c r="P6" t="e">
        <f>'SFU-HW_RA'!#REF!</f>
        <v>#REF!</v>
      </c>
      <c r="Q6" t="e">
        <f>'SFU-HW_RA'!#REF!</f>
        <v>#REF!</v>
      </c>
      <c r="R6" t="e" cm="1">
        <f t="array" ref="R6">pareto($P$5:$P$28,$Q$5:$Q$28,2,"rate",Summary!#REF!,$M$4,$O$4)</f>
        <v>#VALUE!</v>
      </c>
      <c r="S6" t="e" cm="1">
        <f t="array" ref="S6">pareto($P$5:$P$28,$Q$5:$Q$28,2,"dist",Summary!#REF!,$M$4,$O$4)</f>
        <v>#VALUE!</v>
      </c>
      <c r="V6">
        <f>'SFU-HW_RA'!D35</f>
        <v>319.49690720000001</v>
      </c>
      <c r="W6">
        <f>'SFU-HW_RA'!E35</f>
        <v>15.667185999999999</v>
      </c>
      <c r="X6" t="e" cm="1">
        <f t="array" ref="X6">pareto($V$5:$V$28,$W$5:$W$28,2,"rate",Summary!#REF!,$W$4,$Y$4)</f>
        <v>#VALUE!</v>
      </c>
      <c r="Y6" t="e" cm="1">
        <f t="array" ref="Y6">pareto($V$5:$V$28,$W$5:$W$28,2,"dist",Summary!#REF!,$W$4,$Y$4)</f>
        <v>#VALUE!</v>
      </c>
      <c r="Z6">
        <f>'SFU-HW_RA'!M35</f>
        <v>319.49690721649398</v>
      </c>
      <c r="AA6">
        <f>'SFU-HW_RA'!N35</f>
        <v>15.667185999999999</v>
      </c>
      <c r="AB6" t="e" cm="1">
        <f t="array" ref="AB6">pareto($Z$5:$Z$28,$AA$5:$AA$28,2,"rate",Summary!#REF!,$W$4,$Y$4)</f>
        <v>#VALUE!</v>
      </c>
      <c r="AC6" t="e" cm="1">
        <f t="array" ref="AC6">pareto($Z$5:$Z$28,$AA$5:$AA$28,2,"dist",Summary!#REF!,$W$4,$Y$4)</f>
        <v>#VALUE!</v>
      </c>
      <c r="AF6">
        <f>'SFU-HW_RA'!D59</f>
        <v>277.1587629</v>
      </c>
      <c r="AG6">
        <f>'SFU-HW_RA'!E59</f>
        <v>18.121452999999999</v>
      </c>
      <c r="AH6" t="e" cm="1">
        <f t="array" ref="AH6">pareto($AF$5:$AF$28,$AG$5:$AG$28,2,"rate",Summary!#REF!,$AG$4,$AI$4)</f>
        <v>#VALUE!</v>
      </c>
      <c r="AI6" t="e" cm="1">
        <f t="array" ref="AI6">pareto($AF$5:$AF$28,$AG$5:$AG$28,2,"dist",Summary!#REF!,$AG$4,$AI$4)</f>
        <v>#VALUE!</v>
      </c>
      <c r="AJ6">
        <f>'SFU-HW_RA'!M59</f>
        <v>277.158762886597</v>
      </c>
      <c r="AK6">
        <f>'SFU-HW_RA'!N59</f>
        <v>18.121452999999999</v>
      </c>
      <c r="AL6" t="e" cm="1">
        <f t="array" ref="AL6">pareto($AJ$5:$AJ$28,$AK$5:$AK$28,2,"rate",Summary!#REF!,$AG$4,$AI$4)</f>
        <v>#VALUE!</v>
      </c>
      <c r="AM6" t="e" cm="1">
        <f t="array" ref="AM6">pareto($AJ$5:$AJ$28,$AK$5:$AK$28,2,"dist",Summary!#REF!,$AG$4,$AI$4)</f>
        <v>#VALUE!</v>
      </c>
      <c r="AP6" t="e">
        <f>'SFU-HW_RA'!#REF!</f>
        <v>#REF!</v>
      </c>
      <c r="AQ6" t="e">
        <f>'SFU-HW_RA'!#REF!</f>
        <v>#REF!</v>
      </c>
      <c r="AR6" t="e" cm="1">
        <f t="array" ref="AR6">pareto($AP$5:$AP$28,$AQ$5:$AQ$28,2,"rate",Summary!#REF!,$AQ$4,$AS$4)</f>
        <v>#VALUE!</v>
      </c>
      <c r="AS6" t="e" cm="1">
        <f t="array" ref="AS6">pareto($AP$5:$AP$28,$AQ$5:$AQ$28,2,"dist",Summary!#REF!,$AQ$4,$AS$4)</f>
        <v>#VALUE!</v>
      </c>
      <c r="AT6" t="e">
        <f>'SFU-HW_RA'!#REF!</f>
        <v>#REF!</v>
      </c>
      <c r="AU6" t="e">
        <f>'SFU-HW_RA'!#REF!</f>
        <v>#REF!</v>
      </c>
      <c r="AV6" t="e" cm="1">
        <f t="array" ref="AV6">pareto($AT$5:$AT$28,$AU$5:$AU$28,2,"rate",Summary!#REF!,$AQ$4,$AS$4)</f>
        <v>#VALUE!</v>
      </c>
      <c r="AW6" t="e" cm="1">
        <f t="array" ref="AW6">pareto($AT$5:$AT$28,$AU$5:$AU$28,2,"dist",Summary!#REF!,$AQ$4,$AS$4)</f>
        <v>#VALUE!</v>
      </c>
      <c r="AZ6" t="e">
        <f>#REF!</f>
        <v>#REF!</v>
      </c>
      <c r="BA6" t="e">
        <f>#REF!</f>
        <v>#REF!</v>
      </c>
      <c r="BB6" t="e" cm="1">
        <f t="array" ref="BB6">pareto($AZ$5:$AZ$28,$BA$5:$BA$28,2,"rate",Summary!#REF!,$BA$4,$BC$4)</f>
        <v>#VALUE!</v>
      </c>
      <c r="BC6" t="e" cm="1">
        <f t="array" ref="BC6">pareto($AZ$5:$AZ$28,$BA$5:$BA$28,2,"dist",Summary!#REF!,$BA$4,$BC$4)</f>
        <v>#VALUE!</v>
      </c>
      <c r="BD6" s="36" t="e">
        <f>#REF!</f>
        <v>#REF!</v>
      </c>
      <c r="BE6" s="36" t="e">
        <f>#REF!</f>
        <v>#REF!</v>
      </c>
      <c r="BF6" t="e" cm="1">
        <f t="array" ref="BF6">pareto($BD$5:$BD$28,$BE$5:$BE$28,2,"rate",Summary!#REF!,$BA$4,$BC$4)</f>
        <v>#VALUE!</v>
      </c>
      <c r="BG6" t="e" cm="1">
        <f t="array" ref="BG6">pareto($BD$5:$BD$28,$BE$5:$BE$28,2,"dist",Summary!#REF!,$BA$4,$BC$4)</f>
        <v>#VALUE!</v>
      </c>
    </row>
    <row r="7" spans="1:59" x14ac:dyDescent="0.25">
      <c r="B7">
        <f>'SFU-HW_RA'!D6</f>
        <v>161.80363639999999</v>
      </c>
      <c r="C7">
        <f>'SFU-HW_RA'!E6</f>
        <v>36.807102</v>
      </c>
      <c r="D7" t="e" cm="1">
        <f t="array" ref="D7">pareto($B$5:$B$10,$C$5:$C$10,3,"rate",Summary!#REF!,$C$4,$E$4)</f>
        <v>#VALUE!</v>
      </c>
      <c r="E7" t="e" cm="1">
        <f t="array" ref="E7">pareto($B$5:$B$10,$C$5:$C$10,3,"dist",Summary!#REF!,$C$4,$E$4)</f>
        <v>#VALUE!</v>
      </c>
      <c r="F7">
        <f>'SFU-HW_RA'!M6</f>
        <v>161.803636363636</v>
      </c>
      <c r="G7">
        <f>'SFU-HW_RA'!N6</f>
        <v>36.807102</v>
      </c>
      <c r="H7" t="e" cm="1">
        <f t="array" ref="H7">pareto($F$5:$F$10,$G$5:$G$10,3,"rate",Summary!#REF!,$C$4,$E$4)</f>
        <v>#VALUE!</v>
      </c>
      <c r="I7" t="e" cm="1">
        <f t="array" ref="I7">pareto($F$5:$F$10,$G$5:$G$10,3,"dist",Summary!#REF!,$C$4,$E$4)</f>
        <v>#VALUE!</v>
      </c>
      <c r="L7" t="e">
        <f>'SFU-HW_RA'!#REF!</f>
        <v>#REF!</v>
      </c>
      <c r="M7" t="e">
        <f>'SFU-HW_RA'!#REF!</f>
        <v>#REF!</v>
      </c>
      <c r="N7" t="e" cm="1">
        <f t="array" ref="N7">pareto($L$5:$L$10,$M$5:$M$10,3,"rate",Summary!#REF!,$M$4,$O$4)</f>
        <v>#VALUE!</v>
      </c>
      <c r="O7" t="e" cm="1">
        <f t="array" ref="O7">pareto($L$5:$L$10,$M$5:$M$10,3,"dist",Summary!#REF!,$M$4,$O$4)</f>
        <v>#VALUE!</v>
      </c>
      <c r="P7" t="e">
        <f>'SFU-HW_RA'!#REF!</f>
        <v>#REF!</v>
      </c>
      <c r="Q7" t="e">
        <f>'SFU-HW_RA'!#REF!</f>
        <v>#REF!</v>
      </c>
      <c r="R7" t="e" cm="1">
        <f t="array" ref="R7">pareto($P$5:$P$28,$Q$5:$Q$28,3,"rate",Summary!#REF!,$M$4,$O$4)</f>
        <v>#VALUE!</v>
      </c>
      <c r="S7" t="e" cm="1">
        <f t="array" ref="S7">pareto($P$5:$P$28,$Q$5:$Q$28,3,"dist",Summary!#REF!,$M$4,$O$4)</f>
        <v>#VALUE!</v>
      </c>
      <c r="V7">
        <f>'SFU-HW_RA'!D36</f>
        <v>198.7175258</v>
      </c>
      <c r="W7">
        <f>'SFU-HW_RA'!E36</f>
        <v>13.090206</v>
      </c>
      <c r="X7" t="e" cm="1">
        <f t="array" ref="X7">pareto($V$5:$V$28,$W$5:$W$28,3,"rate",Summary!#REF!,$W$4,$Y$4)</f>
        <v>#VALUE!</v>
      </c>
      <c r="Y7" t="e" cm="1">
        <f t="array" ref="Y7">pareto($V$5:$V$28,$W$5:$W$28,3,"dist",Summary!#REF!,$W$4,$Y$4)</f>
        <v>#VALUE!</v>
      </c>
      <c r="Z7">
        <f>'SFU-HW_RA'!M36</f>
        <v>198.71752577319501</v>
      </c>
      <c r="AA7">
        <f>'SFU-HW_RA'!N36</f>
        <v>13.090206</v>
      </c>
      <c r="AB7" t="e" cm="1">
        <f t="array" ref="AB7">pareto($Z$5:$Z$28,$AA$5:$AA$28,3,"rate",Summary!#REF!,$W$4,$Y$4)</f>
        <v>#VALUE!</v>
      </c>
      <c r="AC7" t="e" cm="1">
        <f t="array" ref="AC7">pareto($Z$5:$Z$28,$AA$5:$AA$28,3,"dist",Summary!#REF!,$W$4,$Y$4)</f>
        <v>#VALUE!</v>
      </c>
      <c r="AF7">
        <f>'SFU-HW_RA'!D60</f>
        <v>162.3670103</v>
      </c>
      <c r="AG7">
        <f>'SFU-HW_RA'!E60</f>
        <v>17.194559000000002</v>
      </c>
      <c r="AH7" t="e" cm="1">
        <f t="array" ref="AH7">pareto($AF$5:$AF$28,$AG$5:$AG$28,3,"rate",Summary!#REF!,$AG$4,$AI$4)</f>
        <v>#VALUE!</v>
      </c>
      <c r="AI7" t="e" cm="1">
        <f t="array" ref="AI7">pareto($AF$5:$AF$28,$AG$5:$AG$28,3,"dist",Summary!#REF!,$AG$4,$AI$4)</f>
        <v>#VALUE!</v>
      </c>
      <c r="AJ7">
        <f>'SFU-HW_RA'!M60</f>
        <v>162.36701030927799</v>
      </c>
      <c r="AK7">
        <f>'SFU-HW_RA'!N60</f>
        <v>17.194559000000002</v>
      </c>
      <c r="AL7" t="e" cm="1">
        <f t="array" ref="AL7">pareto($AJ$5:$AJ$28,$AK$5:$AK$28,3,"rate",Summary!#REF!,$AG$4,$AI$4)</f>
        <v>#VALUE!</v>
      </c>
      <c r="AM7" t="e" cm="1">
        <f t="array" ref="AM7">pareto($AJ$5:$AJ$28,$AK$5:$AK$28,3,"dist",Summary!#REF!,$AG$4,$AI$4)</f>
        <v>#VALUE!</v>
      </c>
      <c r="AP7" t="e">
        <f>'SFU-HW_RA'!#REF!</f>
        <v>#REF!</v>
      </c>
      <c r="AQ7" t="e">
        <f>'SFU-HW_RA'!#REF!</f>
        <v>#REF!</v>
      </c>
      <c r="AR7" t="e" cm="1">
        <f t="array" ref="AR7">pareto($AP$5:$AP$28,$AQ$5:$AQ$28,3,"rate",Summary!#REF!,$AQ$4,$AS$4)</f>
        <v>#VALUE!</v>
      </c>
      <c r="AS7" t="e" cm="1">
        <f t="array" ref="AS7">pareto($AP$5:$AP$28,$AQ$5:$AQ$28,3,"dist",Summary!#REF!,$AQ$4,$AS$4)</f>
        <v>#VALUE!</v>
      </c>
      <c r="AT7" t="e">
        <f>'SFU-HW_RA'!#REF!</f>
        <v>#REF!</v>
      </c>
      <c r="AU7" t="e">
        <f>'SFU-HW_RA'!#REF!</f>
        <v>#REF!</v>
      </c>
      <c r="AV7" t="e" cm="1">
        <f t="array" ref="AV7">pareto($AT$5:$AT$28,$AU$5:$AU$28,3,"rate",Summary!#REF!,$AQ$4,$AS$4)</f>
        <v>#VALUE!</v>
      </c>
      <c r="AW7" t="e" cm="1">
        <f t="array" ref="AW7">pareto($AT$5:$AT$28,$AU$5:$AU$28,3,"dist",Summary!#REF!,$AQ$4,$AS$4)</f>
        <v>#VALUE!</v>
      </c>
      <c r="AZ7" t="e">
        <f>#REF!</f>
        <v>#REF!</v>
      </c>
      <c r="BA7" t="e">
        <f>#REF!</f>
        <v>#REF!</v>
      </c>
      <c r="BB7" t="e" cm="1">
        <f t="array" ref="BB7">pareto($AZ$5:$AZ$28,$BA$5:$BA$28,3,"rate",Summary!#REF!,$BA$4,$BC$4)</f>
        <v>#VALUE!</v>
      </c>
      <c r="BC7" t="e" cm="1">
        <f t="array" ref="BC7">pareto($AZ$5:$AZ$28,$BA$5:$BA$28,3,"dist",Summary!#REF!,$BA$4,$BC$4)</f>
        <v>#VALUE!</v>
      </c>
      <c r="BD7" s="36" t="e">
        <f>#REF!</f>
        <v>#REF!</v>
      </c>
      <c r="BE7" s="36" t="e">
        <f>#REF!</f>
        <v>#REF!</v>
      </c>
      <c r="BF7" t="e" cm="1">
        <f t="array" ref="BF7">pareto($BD$5:$BD$28,$BE$5:$BE$28,3,"rate",Summary!#REF!,$BA$4,$BC$4)</f>
        <v>#VALUE!</v>
      </c>
      <c r="BG7" t="e" cm="1">
        <f t="array" ref="BG7">pareto($BD$5:$BD$28,$BE$5:$BE$28,3,"dist",Summary!#REF!,$BA$4,$BC$4)</f>
        <v>#VALUE!</v>
      </c>
    </row>
    <row r="8" spans="1:59" x14ac:dyDescent="0.25">
      <c r="B8">
        <f>'SFU-HW_RA'!D7</f>
        <v>124.6763636</v>
      </c>
      <c r="C8">
        <f>'SFU-HW_RA'!E7</f>
        <v>34.678351999999997</v>
      </c>
      <c r="D8" t="e" cm="1">
        <f t="array" ref="D8">pareto($B$5:$B$10,$C$5:$C$10,4,"rate",Summary!#REF!,$C$4,$E$4)</f>
        <v>#VALUE!</v>
      </c>
      <c r="E8" t="e" cm="1">
        <f t="array" ref="E8">pareto($B$5:$B$10,$C$5:$C$10,4,"dist",Summary!#REF!,$C$4,$E$4)</f>
        <v>#VALUE!</v>
      </c>
      <c r="F8">
        <f>'SFU-HW_RA'!M7</f>
        <v>124.67636363636301</v>
      </c>
      <c r="G8">
        <f>'SFU-HW_RA'!N7</f>
        <v>34.678351999999997</v>
      </c>
      <c r="H8" t="e" cm="1">
        <f t="array" ref="H8">pareto($F$5:$F$10,$G$5:$G$10,4,"rate",Summary!#REF!,$C$4,$E$4)</f>
        <v>#VALUE!</v>
      </c>
      <c r="I8" t="e" cm="1">
        <f t="array" ref="I8">pareto($F$5:$F$10,$G$5:$G$10,4,"dist",Summary!#REF!,$C$4,$E$4)</f>
        <v>#VALUE!</v>
      </c>
      <c r="L8" t="e">
        <f>'SFU-HW_RA'!#REF!</f>
        <v>#REF!</v>
      </c>
      <c r="M8" t="e">
        <f>'SFU-HW_RA'!#REF!</f>
        <v>#REF!</v>
      </c>
      <c r="N8" t="e" cm="1">
        <f t="array" ref="N8">pareto($L$5:$L$10,$M$5:$M$10,4,"rate",Summary!#REF!,$M$4,$O$4)</f>
        <v>#VALUE!</v>
      </c>
      <c r="O8" t="e" cm="1">
        <f t="array" ref="O8">pareto($L$5:$L$10,$M$5:$M$10,4,"dist",Summary!#REF!,$M$4,$O$4)</f>
        <v>#VALUE!</v>
      </c>
      <c r="P8" t="e">
        <f>'SFU-HW_RA'!#REF!</f>
        <v>#REF!</v>
      </c>
      <c r="Q8" t="e">
        <f>'SFU-HW_RA'!#REF!</f>
        <v>#REF!</v>
      </c>
      <c r="R8" t="e" cm="1">
        <f t="array" ref="R8">pareto($P$5:$P$28,$Q$5:$Q$28,4,"rate",Summary!#REF!,$M$4,$O$4)</f>
        <v>#VALUE!</v>
      </c>
      <c r="S8" t="e" cm="1">
        <f t="array" ref="S8">pareto($P$5:$P$28,$Q$5:$Q$28,4,"dist",Summary!#REF!,$M$4,$O$4)</f>
        <v>#VALUE!</v>
      </c>
      <c r="V8">
        <f>'SFU-HW_RA'!D37</f>
        <v>121.2948454</v>
      </c>
      <c r="W8">
        <f>'SFU-HW_RA'!E37</f>
        <v>10.139939</v>
      </c>
      <c r="X8" t="e" cm="1">
        <f t="array" ref="X8">pareto($V$5:$V$28,$W$5:$W$28,4,"rate",Summary!#REF!,$W$4,$Y$4)</f>
        <v>#VALUE!</v>
      </c>
      <c r="Y8" t="e" cm="1">
        <f t="array" ref="Y8">pareto($V$5:$V$28,$W$5:$W$28,4,"dist",Summary!#REF!,$W$4,$Y$4)</f>
        <v>#VALUE!</v>
      </c>
      <c r="Z8">
        <f>'SFU-HW_RA'!M37</f>
        <v>121.294845360824</v>
      </c>
      <c r="AA8">
        <f>'SFU-HW_RA'!N37</f>
        <v>10.139939</v>
      </c>
      <c r="AB8" t="e" cm="1">
        <f t="array" ref="AB8">pareto($Z$5:$Z$28,$AA$5:$AA$28,4,"rate",Summary!#REF!,$W$4,$Y$4)</f>
        <v>#VALUE!</v>
      </c>
      <c r="AC8" t="e" cm="1">
        <f t="array" ref="AC8">pareto($Z$5:$Z$28,$AA$5:$AA$28,4,"dist",Summary!#REF!,$W$4,$Y$4)</f>
        <v>#VALUE!</v>
      </c>
      <c r="AF8">
        <f>'SFU-HW_RA'!D61</f>
        <v>98.259793810000005</v>
      </c>
      <c r="AG8">
        <f>'SFU-HW_RA'!E61</f>
        <v>13.111616</v>
      </c>
      <c r="AH8" t="e" cm="1">
        <f t="array" ref="AH8">pareto($AF$5:$AF$28,$AG$5:$AG$28,4,"rate",Summary!#REF!,$AG$4,$AI$4)</f>
        <v>#VALUE!</v>
      </c>
      <c r="AI8" t="e" cm="1">
        <f t="array" ref="AI8">pareto($AF$5:$AF$28,$AG$5:$AG$28,4,"dist",Summary!#REF!,$AG$4,$AI$4)</f>
        <v>#VALUE!</v>
      </c>
      <c r="AJ8">
        <f>'SFU-HW_RA'!M61</f>
        <v>98.259793814432996</v>
      </c>
      <c r="AK8">
        <f>'SFU-HW_RA'!N61</f>
        <v>13.111616</v>
      </c>
      <c r="AL8" t="e" cm="1">
        <f t="array" ref="AL8">pareto($AJ$5:$AJ$28,$AK$5:$AK$28,4,"rate",Summary!#REF!,$AG$4,$AI$4)</f>
        <v>#VALUE!</v>
      </c>
      <c r="AM8" t="e" cm="1">
        <f t="array" ref="AM8">pareto($AJ$5:$AJ$28,$AK$5:$AK$28,4,"dist",Summary!#REF!,$AG$4,$AI$4)</f>
        <v>#VALUE!</v>
      </c>
      <c r="AP8" t="e">
        <f>'SFU-HW_RA'!#REF!</f>
        <v>#REF!</v>
      </c>
      <c r="AQ8" t="e">
        <f>'SFU-HW_RA'!#REF!</f>
        <v>#REF!</v>
      </c>
      <c r="AR8" t="e" cm="1">
        <f t="array" ref="AR8">pareto($AP$5:$AP$28,$AQ$5:$AQ$28,4,"rate",Summary!#REF!,$AQ$4,$AS$4)</f>
        <v>#VALUE!</v>
      </c>
      <c r="AS8" t="e" cm="1">
        <f t="array" ref="AS8">pareto($AP$5:$AP$28,$AQ$5:$AQ$28,4,"dist",Summary!#REF!,$AQ$4,$AS$4)</f>
        <v>#VALUE!</v>
      </c>
      <c r="AT8" t="e">
        <f>'SFU-HW_RA'!#REF!</f>
        <v>#REF!</v>
      </c>
      <c r="AU8" t="e">
        <f>'SFU-HW_RA'!#REF!</f>
        <v>#REF!</v>
      </c>
      <c r="AV8" t="e" cm="1">
        <f t="array" ref="AV8">pareto($AT$5:$AT$28,$AU$5:$AU$28,4,"rate",Summary!#REF!,$AQ$4,$AS$4)</f>
        <v>#VALUE!</v>
      </c>
      <c r="AW8" t="e" cm="1">
        <f t="array" ref="AW8">pareto($AT$5:$AT$28,$AU$5:$AU$28,4,"dist",Summary!#REF!,$AQ$4,$AS$4)</f>
        <v>#VALUE!</v>
      </c>
      <c r="AZ8" t="e">
        <f>#REF!</f>
        <v>#REF!</v>
      </c>
      <c r="BA8" t="e">
        <f>#REF!</f>
        <v>#REF!</v>
      </c>
      <c r="BB8" t="e" cm="1">
        <f t="array" ref="BB8">pareto($AZ$5:$AZ$28,$BA$5:$BA$28,4,"rate",Summary!#REF!,$BA$4,$BC$4)</f>
        <v>#VALUE!</v>
      </c>
      <c r="BC8" t="e" cm="1">
        <f t="array" ref="BC8">pareto($AZ$5:$AZ$28,$BA$5:$BA$28,4,"dist",Summary!#REF!,$BA$4,$BC$4)</f>
        <v>#VALUE!</v>
      </c>
      <c r="BD8" s="36" t="e">
        <f>#REF!</f>
        <v>#REF!</v>
      </c>
      <c r="BE8" s="36" t="e">
        <f>#REF!</f>
        <v>#REF!</v>
      </c>
      <c r="BF8" t="e" cm="1">
        <f t="array" ref="BF8">pareto($BD$5:$BD$28,$BE$5:$BE$28,4,"rate",Summary!#REF!,$BA$4,$BC$4)</f>
        <v>#VALUE!</v>
      </c>
      <c r="BG8" t="e" cm="1">
        <f t="array" ref="BG8">pareto($BD$5:$BD$28,$BE$5:$BE$28,4,"dist",Summary!#REF!,$BA$4,$BC$4)</f>
        <v>#VALUE!</v>
      </c>
    </row>
    <row r="9" spans="1:59" x14ac:dyDescent="0.25">
      <c r="B9">
        <f>'SFU-HW_RA'!D8</f>
        <v>49.090909089999997</v>
      </c>
      <c r="C9">
        <f>'SFU-HW_RA'!E8</f>
        <v>24.654803000000001</v>
      </c>
      <c r="D9" t="e" cm="1">
        <f t="array" ref="D9">pareto($B$5:$B$10,$C$5:$C$10,5,"rate",Summary!#REF!,$C$4,$E$4)</f>
        <v>#VALUE!</v>
      </c>
      <c r="E9" t="e" cm="1">
        <f t="array" ref="E9">pareto($B$5:$B$10,$C$5:$C$10,5,"dist",Summary!#REF!,$C$4,$E$4)</f>
        <v>#VALUE!</v>
      </c>
      <c r="F9">
        <f>'SFU-HW_RA'!M8</f>
        <v>49.090909090909001</v>
      </c>
      <c r="G9">
        <f>'SFU-HW_RA'!N8</f>
        <v>24.654803000000001</v>
      </c>
      <c r="H9" t="e" cm="1">
        <f t="array" ref="H9">pareto($F$5:$F$10,$G$5:$G$10,5,"rate",Summary!#REF!,$C$4,$E$4)</f>
        <v>#VALUE!</v>
      </c>
      <c r="I9" t="e" cm="1">
        <f t="array" ref="I9">pareto($F$5:$F$10,$G$5:$G$10,5,"dist",Summary!#REF!,$C$4,$E$4)</f>
        <v>#VALUE!</v>
      </c>
      <c r="L9" t="e">
        <f>'SFU-HW_RA'!#REF!</f>
        <v>#REF!</v>
      </c>
      <c r="M9" t="e">
        <f>'SFU-HW_RA'!#REF!</f>
        <v>#REF!</v>
      </c>
      <c r="N9" t="e" cm="1">
        <f t="array" ref="N9">pareto($L$5:$L$10,$M$5:$M$10,5,"rate",Summary!#REF!,$M$4,$O$4)</f>
        <v>#VALUE!</v>
      </c>
      <c r="O9" t="e" cm="1">
        <f t="array" ref="O9">pareto($L$5:$L$10,$M$5:$M$10,5,"dist",Summary!#REF!,$M$4,$O$4)</f>
        <v>#VALUE!</v>
      </c>
      <c r="P9" t="e">
        <f>'SFU-HW_RA'!#REF!</f>
        <v>#REF!</v>
      </c>
      <c r="Q9" t="e">
        <f>'SFU-HW_RA'!#REF!</f>
        <v>#REF!</v>
      </c>
      <c r="R9" t="e" cm="1">
        <f t="array" ref="R9">pareto($P$5:$P$28,$Q$5:$Q$28,5,"rate",Summary!#REF!,$M$4,$O$4)</f>
        <v>#VALUE!</v>
      </c>
      <c r="S9" t="e" cm="1">
        <f t="array" ref="S9">pareto($P$5:$P$28,$Q$5:$Q$28,5,"dist",Summary!#REF!,$M$4,$O$4)</f>
        <v>#VALUE!</v>
      </c>
      <c r="V9">
        <f>'SFU-HW_RA'!D38</f>
        <v>73.373195879999997</v>
      </c>
      <c r="W9">
        <f>'SFU-HW_RA'!E38</f>
        <v>5.4141579999999996</v>
      </c>
      <c r="X9" t="e" cm="1">
        <f t="array" ref="X9">pareto($V$5:$V$28,$W$5:$W$28,5,"rate",Summary!#REF!,$W$4,$Y$4)</f>
        <v>#VALUE!</v>
      </c>
      <c r="Y9" t="e" cm="1">
        <f t="array" ref="Y9">pareto($V$5:$V$28,$W$5:$W$28,5,"dist",Summary!#REF!,$W$4,$Y$4)</f>
        <v>#VALUE!</v>
      </c>
      <c r="Z9">
        <f>'SFU-HW_RA'!M38</f>
        <v>73.373195876288605</v>
      </c>
      <c r="AA9">
        <f>'SFU-HW_RA'!N38</f>
        <v>5.4141579999999996</v>
      </c>
      <c r="AB9" t="e" cm="1">
        <f t="array" ref="AB9">pareto($Z$5:$Z$28,$AA$5:$AA$28,5,"rate",Summary!#REF!,$W$4,$Y$4)</f>
        <v>#VALUE!</v>
      </c>
      <c r="AC9" t="e" cm="1">
        <f t="array" ref="AC9">pareto($Z$5:$Z$28,$AA$5:$AA$28,5,"dist",Summary!#REF!,$W$4,$Y$4)</f>
        <v>#VALUE!</v>
      </c>
      <c r="AF9">
        <f>'SFU-HW_RA'!D62</f>
        <v>59.6742268</v>
      </c>
      <c r="AG9">
        <f>'SFU-HW_RA'!E62</f>
        <v>10.099366</v>
      </c>
      <c r="AH9" t="e" cm="1">
        <f t="array" ref="AH9">pareto($AF$5:$AF$28,$AG$5:$AG$28,5,"rate",Summary!#REF!,$AG$4,$AI$4)</f>
        <v>#VALUE!</v>
      </c>
      <c r="AI9" t="e" cm="1">
        <f t="array" ref="AI9">pareto($AF$5:$AF$28,$AG$5:$AG$28,5,"dist",Summary!#REF!,$AG$4,$AI$4)</f>
        <v>#VALUE!</v>
      </c>
      <c r="AJ9">
        <f>'SFU-HW_RA'!M62</f>
        <v>59.674226804123698</v>
      </c>
      <c r="AK9">
        <f>'SFU-HW_RA'!N62</f>
        <v>10.099366</v>
      </c>
      <c r="AL9" t="e" cm="1">
        <f t="array" ref="AL9">pareto($AJ$5:$AJ$28,$AK$5:$AK$28,5,"rate",Summary!#REF!,$AG$4,$AI$4)</f>
        <v>#VALUE!</v>
      </c>
      <c r="AM9" t="e" cm="1">
        <f t="array" ref="AM9">pareto($AJ$5:$AJ$28,$AK$5:$AK$28,5,"dist",Summary!#REF!,$AG$4,$AI$4)</f>
        <v>#VALUE!</v>
      </c>
      <c r="AP9" t="e">
        <f>'SFU-HW_RA'!#REF!</f>
        <v>#REF!</v>
      </c>
      <c r="AQ9" t="e">
        <f>'SFU-HW_RA'!#REF!</f>
        <v>#REF!</v>
      </c>
      <c r="AR9" t="e" cm="1">
        <f t="array" ref="AR9">pareto($AP$5:$AP$28,$AQ$5:$AQ$28,5,"rate",Summary!#REF!,$AQ$4,$AS$4)</f>
        <v>#VALUE!</v>
      </c>
      <c r="AS9" t="e" cm="1">
        <f t="array" ref="AS9">pareto($AP$5:$AP$28,$AQ$5:$AQ$28,5,"dist",Summary!#REF!,$AQ$4,$AS$4)</f>
        <v>#VALUE!</v>
      </c>
      <c r="AT9" t="e">
        <f>'SFU-HW_RA'!#REF!</f>
        <v>#REF!</v>
      </c>
      <c r="AU9" t="e">
        <f>'SFU-HW_RA'!#REF!</f>
        <v>#REF!</v>
      </c>
      <c r="AV9" t="e" cm="1">
        <f t="array" ref="AV9">pareto($AT$5:$AT$28,$AU$5:$AU$28,5,"rate",Summary!#REF!,$AQ$4,$AS$4)</f>
        <v>#VALUE!</v>
      </c>
      <c r="AW9" t="e" cm="1">
        <f t="array" ref="AW9">pareto($AT$5:$AT$28,$AU$5:$AU$28,5,"dist",Summary!#REF!,$AQ$4,$AS$4)</f>
        <v>#VALUE!</v>
      </c>
      <c r="AZ9" t="e">
        <f>#REF!</f>
        <v>#REF!</v>
      </c>
      <c r="BA9" t="e">
        <f>#REF!</f>
        <v>#REF!</v>
      </c>
      <c r="BB9" t="e" cm="1">
        <f t="array" ref="BB9">pareto($AZ$5:$AZ$28,$BA$5:$BA$28,5,"rate",Summary!#REF!,$BA$4,$BC$4)</f>
        <v>#VALUE!</v>
      </c>
      <c r="BC9" t="e" cm="1">
        <f t="array" ref="BC9">pareto($AZ$5:$AZ$28,$BA$5:$BA$28,5,"dist",Summary!#REF!,$BA$4,$BC$4)</f>
        <v>#VALUE!</v>
      </c>
      <c r="BD9" s="36" t="e">
        <f>#REF!</f>
        <v>#REF!</v>
      </c>
      <c r="BE9" s="36" t="e">
        <f>#REF!</f>
        <v>#REF!</v>
      </c>
      <c r="BF9" t="e" cm="1">
        <f t="array" ref="BF9">pareto($BD$5:$BD$28,$BE$5:$BE$28,5,"rate",Summary!#REF!,$BA$4,$BC$4)</f>
        <v>#VALUE!</v>
      </c>
      <c r="BG9" t="e" cm="1">
        <f t="array" ref="BG9">pareto($BD$5:$BD$28,$BE$5:$BE$28,5,"dist",Summary!#REF!,$BA$4,$BC$4)</f>
        <v>#VALUE!</v>
      </c>
    </row>
    <row r="10" spans="1:59" x14ac:dyDescent="0.25">
      <c r="B10">
        <f>'SFU-HW_RA'!D9</f>
        <v>34.669090910000001</v>
      </c>
      <c r="C10">
        <f>'SFU-HW_RA'!E9</f>
        <v>13.598659</v>
      </c>
      <c r="D10" t="e" cm="1">
        <f t="array" ref="D10">pareto($B$5:$B$10,$C$5:$C$10,6,"rate",Summary!#REF!,$C$4,$E$4)</f>
        <v>#VALUE!</v>
      </c>
      <c r="E10" t="e" cm="1">
        <f t="array" ref="E10">pareto($B$5:$B$10,$C$5:$C$10,6,"dist",Summary!#REF!,$C$4,$E$4)</f>
        <v>#VALUE!</v>
      </c>
      <c r="F10">
        <f>'SFU-HW_RA'!M9</f>
        <v>34.669090909090897</v>
      </c>
      <c r="G10">
        <f>'SFU-HW_RA'!N9</f>
        <v>13.598659</v>
      </c>
      <c r="H10" t="e" cm="1">
        <f t="array" ref="H10">pareto($F$5:$F$10,$G$5:$G$10,6,"rate",Summary!#REF!,$C$4,$E$4)</f>
        <v>#VALUE!</v>
      </c>
      <c r="I10" t="e" cm="1">
        <f t="array" ref="I10">pareto($F$5:$F$10,$G$5:$G$10,6,"dist",Summary!#REF!,$C$4,$E$4)</f>
        <v>#VALUE!</v>
      </c>
      <c r="L10" t="e">
        <f>'SFU-HW_RA'!#REF!</f>
        <v>#REF!</v>
      </c>
      <c r="M10" t="e">
        <f>'SFU-HW_RA'!#REF!</f>
        <v>#REF!</v>
      </c>
      <c r="N10" t="e" cm="1">
        <f t="array" ref="N10">pareto($L$5:$L$10,$M$5:$M$10,6,"rate",Summary!#REF!,$M$4,$O$4)</f>
        <v>#VALUE!</v>
      </c>
      <c r="O10" t="e" cm="1">
        <f t="array" ref="O10">pareto($L$5:$L$10,$M$5:$M$10,6,"dist",Summary!#REF!,$M$4,$O$4)</f>
        <v>#VALUE!</v>
      </c>
      <c r="P10" t="e">
        <f>'SFU-HW_RA'!#REF!</f>
        <v>#REF!</v>
      </c>
      <c r="Q10" t="e">
        <f>'SFU-HW_RA'!#REF!</f>
        <v>#REF!</v>
      </c>
      <c r="R10" t="e" cm="1">
        <f t="array" ref="R10">pareto($P$5:$P$28,$Q$5:$Q$28,6,"rate",Summary!#REF!,$M$4,$O$4)</f>
        <v>#VALUE!</v>
      </c>
      <c r="S10" t="e" cm="1">
        <f t="array" ref="S10">pareto($P$5:$P$28,$Q$5:$Q$28,6,"dist",Summary!#REF!,$M$4,$O$4)</f>
        <v>#VALUE!</v>
      </c>
      <c r="V10">
        <f>'SFU-HW_RA'!D39</f>
        <v>43.00618557</v>
      </c>
      <c r="W10">
        <f>'SFU-HW_RA'!E39</f>
        <v>3.173953</v>
      </c>
      <c r="X10" t="e" cm="1">
        <f t="array" ref="X10">pareto($V$5:$V$28,$W$5:$W$28,6,"rate",Summary!#REF!,$W$4,$Y$4)</f>
        <v>#VALUE!</v>
      </c>
      <c r="Y10" t="e" cm="1">
        <f t="array" ref="Y10">pareto($V$5:$V$28,$W$5:$W$28,6,"dist",Summary!#REF!,$W$4,$Y$4)</f>
        <v>#VALUE!</v>
      </c>
      <c r="Z10">
        <f>'SFU-HW_RA'!M39</f>
        <v>43.006185567010299</v>
      </c>
      <c r="AA10">
        <f>'SFU-HW_RA'!N39</f>
        <v>3.173953</v>
      </c>
      <c r="AB10" t="e" cm="1">
        <f t="array" ref="AB10">pareto($Z$5:$Z$28,$AA$5:$AA$28,6,"rate",Summary!#REF!,$W$4,$Y$4)</f>
        <v>#VALUE!</v>
      </c>
      <c r="AC10" t="e" cm="1">
        <f t="array" ref="AC10">pareto($Z$5:$Z$28,$AA$5:$AA$28,6,"dist",Summary!#REF!,$W$4,$Y$4)</f>
        <v>#VALUE!</v>
      </c>
      <c r="AF10">
        <f>'SFU-HW_RA'!D63</f>
        <v>35.6</v>
      </c>
      <c r="AG10">
        <f>'SFU-HW_RA'!E63</f>
        <v>7.0605739999999999</v>
      </c>
      <c r="AH10" t="e" cm="1">
        <f t="array" ref="AH10">pareto($AF$5:$AF$28,$AG$5:$AG$28,6,"rate",Summary!#REF!,$AG$4,$AI$4)</f>
        <v>#VALUE!</v>
      </c>
      <c r="AI10" t="e" cm="1">
        <f t="array" ref="AI10">pareto($AF$5:$AF$28,$AG$5:$AG$28,6,"dist",Summary!#REF!,$AG$4,$AI$4)</f>
        <v>#VALUE!</v>
      </c>
      <c r="AJ10">
        <f>'SFU-HW_RA'!M63</f>
        <v>35.6</v>
      </c>
      <c r="AK10">
        <f>'SFU-HW_RA'!N63</f>
        <v>7.0605739999999999</v>
      </c>
      <c r="AL10" t="e" cm="1">
        <f t="array" ref="AL10">pareto($AJ$5:$AJ$28,$AK$5:$AK$28,6,"rate",Summary!#REF!,$AG$4,$AI$4)</f>
        <v>#VALUE!</v>
      </c>
      <c r="AM10" t="e" cm="1">
        <f t="array" ref="AM10">pareto($AJ$5:$AJ$28,$AK$5:$AK$28,6,"dist",Summary!#REF!,$AG$4,$AI$4)</f>
        <v>#VALUE!</v>
      </c>
      <c r="AP10" t="e">
        <f>'SFU-HW_RA'!#REF!</f>
        <v>#REF!</v>
      </c>
      <c r="AQ10" t="e">
        <f>'SFU-HW_RA'!#REF!</f>
        <v>#REF!</v>
      </c>
      <c r="AR10" t="e" cm="1">
        <f t="array" ref="AR10">pareto($AP$5:$AP$28,$AQ$5:$AQ$28,6,"rate",Summary!#REF!,$AQ$4,$AS$4)</f>
        <v>#VALUE!</v>
      </c>
      <c r="AS10" t="e" cm="1">
        <f t="array" ref="AS10">pareto($AP$5:$AP$28,$AQ$5:$AQ$28,6,"dist",Summary!#REF!,$AQ$4,$AS$4)</f>
        <v>#VALUE!</v>
      </c>
      <c r="AT10" t="e">
        <f>'SFU-HW_RA'!#REF!</f>
        <v>#REF!</v>
      </c>
      <c r="AU10" t="e">
        <f>'SFU-HW_RA'!#REF!</f>
        <v>#REF!</v>
      </c>
      <c r="AV10" t="e" cm="1">
        <f t="array" ref="AV10">pareto($AT$5:$AT$28,$AU$5:$AU$28,6,"rate",Summary!#REF!,$AQ$4,$AS$4)</f>
        <v>#VALUE!</v>
      </c>
      <c r="AW10" t="e" cm="1">
        <f t="array" ref="AW10">pareto($AT$5:$AT$28,$AU$5:$AU$28,6,"dist",Summary!#REF!,$AQ$4,$AS$4)</f>
        <v>#VALUE!</v>
      </c>
      <c r="AZ10" t="e">
        <f>#REF!</f>
        <v>#REF!</v>
      </c>
      <c r="BA10" t="e">
        <f>#REF!</f>
        <v>#REF!</v>
      </c>
      <c r="BB10" t="e" cm="1">
        <f t="array" ref="BB10">pareto($AZ$5:$AZ$28,$BA$5:$BA$28,6,"rate",Summary!#REF!,$BA$4,$BC$4)</f>
        <v>#VALUE!</v>
      </c>
      <c r="BC10" t="e" cm="1">
        <f t="array" ref="BC10">pareto($AZ$5:$AZ$28,$BA$5:$BA$28,6,"dist",Summary!#REF!,$BA$4,$BC$4)</f>
        <v>#VALUE!</v>
      </c>
      <c r="BD10" s="36" t="e">
        <f>#REF!</f>
        <v>#REF!</v>
      </c>
      <c r="BE10" s="36" t="e">
        <f>#REF!</f>
        <v>#REF!</v>
      </c>
      <c r="BF10" t="e" cm="1">
        <f t="array" ref="BF10">pareto($BD$5:$BD$28,$BE$5:$BE$28,6,"rate",Summary!#REF!,$BA$4,$BC$4)</f>
        <v>#VALUE!</v>
      </c>
      <c r="BG10" t="e" cm="1">
        <f t="array" ref="BG10">pareto($BD$5:$BD$28,$BE$5:$BE$28,6,"dist",Summary!#REF!,$BA$4,$BC$4)</f>
        <v>#VALUE!</v>
      </c>
    </row>
    <row r="11" spans="1:59" x14ac:dyDescent="0.25">
      <c r="BD11" s="36"/>
      <c r="BE11" s="36"/>
    </row>
    <row r="12" spans="1:59" x14ac:dyDescent="0.25">
      <c r="BD12" s="36"/>
      <c r="BE12" s="36"/>
    </row>
    <row r="13" spans="1:59" x14ac:dyDescent="0.25">
      <c r="BD13" s="36"/>
      <c r="BE13" s="36"/>
    </row>
    <row r="14" spans="1:59" x14ac:dyDescent="0.25">
      <c r="BD14" s="36"/>
      <c r="BE14" s="36"/>
    </row>
    <row r="15" spans="1:59" x14ac:dyDescent="0.25">
      <c r="BD15" s="36"/>
      <c r="BE15" s="36"/>
    </row>
    <row r="16" spans="1:59" x14ac:dyDescent="0.25">
      <c r="BD16" s="36"/>
      <c r="BE16" s="36"/>
    </row>
    <row r="17" spans="11:59" x14ac:dyDescent="0.25">
      <c r="BD17" s="36"/>
      <c r="BE17" s="36"/>
    </row>
    <row r="18" spans="11:59" x14ac:dyDescent="0.25">
      <c r="BD18" s="36"/>
      <c r="BE18" s="36"/>
    </row>
    <row r="19" spans="11:59" x14ac:dyDescent="0.25">
      <c r="BD19" s="36"/>
      <c r="BE19" s="36"/>
    </row>
    <row r="20" spans="11:59" x14ac:dyDescent="0.25">
      <c r="BD20" s="36"/>
      <c r="BE20" s="36"/>
    </row>
    <row r="21" spans="11:59" x14ac:dyDescent="0.25">
      <c r="BD21" s="36"/>
      <c r="BE21" s="36"/>
    </row>
    <row r="22" spans="11:59" x14ac:dyDescent="0.25">
      <c r="BD22" s="36"/>
      <c r="BE22" s="36"/>
    </row>
    <row r="23" spans="11:59" x14ac:dyDescent="0.25">
      <c r="BD23" s="36"/>
      <c r="BE23" s="36"/>
    </row>
    <row r="24" spans="11:59" x14ac:dyDescent="0.25">
      <c r="BD24" s="36"/>
      <c r="BE24" s="36"/>
    </row>
    <row r="25" spans="11:59" x14ac:dyDescent="0.25">
      <c r="BD25" s="36"/>
      <c r="BE25" s="36"/>
    </row>
    <row r="26" spans="11:59" x14ac:dyDescent="0.25">
      <c r="BD26" s="36"/>
      <c r="BE26" s="36"/>
    </row>
    <row r="27" spans="11:59" x14ac:dyDescent="0.25">
      <c r="BD27" s="36"/>
      <c r="BE27" s="36"/>
    </row>
    <row r="28" spans="11:59" x14ac:dyDescent="0.25">
      <c r="BD28" s="36"/>
      <c r="BE28" s="36"/>
    </row>
    <row r="29" spans="11:59" x14ac:dyDescent="0.25">
      <c r="K29" t="s">
        <v>61</v>
      </c>
      <c r="L29" t="s">
        <v>40</v>
      </c>
      <c r="M29">
        <v>57.383850000000002</v>
      </c>
      <c r="N29" t="s">
        <v>44</v>
      </c>
      <c r="O29">
        <v>20</v>
      </c>
      <c r="U29" t="s">
        <v>67</v>
      </c>
      <c r="V29" t="s">
        <v>40</v>
      </c>
      <c r="W29">
        <v>45.630575</v>
      </c>
      <c r="X29" t="s">
        <v>44</v>
      </c>
      <c r="Y29">
        <v>20</v>
      </c>
      <c r="AE29" t="s">
        <v>72</v>
      </c>
      <c r="AF29" t="s">
        <v>40</v>
      </c>
      <c r="AG29">
        <v>37.037838999999998</v>
      </c>
      <c r="AH29" t="s">
        <v>44</v>
      </c>
      <c r="AI29">
        <v>20</v>
      </c>
      <c r="AO29" t="s">
        <v>76</v>
      </c>
      <c r="AP29" t="s">
        <v>40</v>
      </c>
      <c r="AQ29" s="71">
        <v>62.044910000000002</v>
      </c>
      <c r="AR29" t="s">
        <v>44</v>
      </c>
      <c r="AS29">
        <v>20</v>
      </c>
      <c r="AT29" t="s">
        <v>40</v>
      </c>
      <c r="AU29" s="71"/>
      <c r="AY29" t="s">
        <v>65</v>
      </c>
      <c r="AZ29" t="s">
        <v>40</v>
      </c>
      <c r="BA29" s="71">
        <v>44.789563000000001</v>
      </c>
      <c r="BB29" t="s">
        <v>44</v>
      </c>
      <c r="BC29">
        <v>20</v>
      </c>
    </row>
    <row r="30" spans="11:59" x14ac:dyDescent="0.25">
      <c r="L30">
        <f>'SFU-HW_RA'!D10</f>
        <v>163.136</v>
      </c>
      <c r="M30">
        <f>'SFU-HW_RA'!E10</f>
        <v>42.821987</v>
      </c>
      <c r="N30" t="e" cm="1">
        <f t="array" ref="N30">pareto($L$30:$L$53,$M$30:$M$53,1,"rate",Summary!#REF!,$M$29,$O$29)</f>
        <v>#VALUE!</v>
      </c>
      <c r="O30" t="e" cm="1">
        <f t="array" ref="O30">pareto($L$30:$L$53,$M$30:$M$53,1,"dist",Summary!#REF!,$M$29,$O$29)</f>
        <v>#VALUE!</v>
      </c>
      <c r="P30">
        <f>'SFU-HW_RA'!M10</f>
        <v>163.136</v>
      </c>
      <c r="Q30">
        <f>'SFU-HW_RA'!N10</f>
        <v>42.821987</v>
      </c>
      <c r="R30" t="e" cm="1">
        <f t="array" ref="R30">pareto($P$30:$P$53,$Q$30:$Q$53,1,"rate",Summary!#REF!,$M$29,$O$29)</f>
        <v>#VALUE!</v>
      </c>
      <c r="S30" t="e" cm="1">
        <f t="array" ref="S30">pareto($P$30:$P$53,$Q$30:$Q$53,1,"dist",Summary!#REF!,$M$29,$O$29)</f>
        <v>#VALUE!</v>
      </c>
      <c r="V30">
        <f>'SFU-HW_RA'!D40</f>
        <v>833.41023259999997</v>
      </c>
      <c r="W30">
        <f>'SFU-HW_RA'!E40</f>
        <v>43.65916</v>
      </c>
      <c r="X30" t="e" cm="1">
        <f t="array" ref="X30">pareto($V$30:$V$53,$W$30:$W$53,1,"rate",Summary!#REF!,$W$29,$Y$29)</f>
        <v>#VALUE!</v>
      </c>
      <c r="Y30" t="e" cm="1">
        <f t="array" ref="Y30">pareto($V$30:$V$53,$W$30:$W$53,1,"dist",Summary!#REF!,$W$29,$Y$29)</f>
        <v>#VALUE!</v>
      </c>
      <c r="Z30">
        <f>'SFU-HW_RA'!M40</f>
        <v>833.410232558139</v>
      </c>
      <c r="AA30">
        <f>'SFU-HW_RA'!N40</f>
        <v>43.65916</v>
      </c>
      <c r="AB30" t="e" cm="1">
        <f t="array" ref="AB30">pareto($Z$30:$Z$53,$AA$30:$AA$53,1,"rate",Summary!#REF!,$W$29,$Y$29)</f>
        <v>#VALUE!</v>
      </c>
      <c r="AC30" t="e" cm="1">
        <f t="array" ref="AC30">pareto($Z$30:$Z$53,$AA$30:$AA$53,1,"dist",Summary!#REF!,$W$29,$Y$29)</f>
        <v>#VALUE!</v>
      </c>
      <c r="AF30">
        <f>'SFU-HW_RA'!D64</f>
        <v>471.9925581</v>
      </c>
      <c r="AG30">
        <f>'SFU-HW_RA'!E64</f>
        <v>35.216191000000002</v>
      </c>
      <c r="AH30" t="e" cm="1">
        <f t="array" ref="AH30">pareto($AF$30:$AF$53,$AG$30:$AG$53,1,"rate",Summary!#REF!,$AG$29,$AI$29)</f>
        <v>#VALUE!</v>
      </c>
      <c r="AI30" t="e" cm="1">
        <f t="array" ref="AI30">pareto($AF$30:$AF$53,$AG$30:$AG$53,1,"dist",Summary!#REF!,$AG$29,$AI$29)</f>
        <v>#VALUE!</v>
      </c>
      <c r="AJ30">
        <f>'SFU-HW_RA'!M64</f>
        <v>471.99255813953403</v>
      </c>
      <c r="AK30">
        <f>'SFU-HW_RA'!N64</f>
        <v>35.216191000000002</v>
      </c>
      <c r="AL30" t="e" cm="1">
        <f t="array" ref="AL30">pareto($AJ$30:$AJ$53,$AK$30:$AK$53,1,"rate",Summary!#REF!,$AG$29,$AI$29)</f>
        <v>#VALUE!</v>
      </c>
      <c r="AM30" t="e" cm="1">
        <f t="array" ref="AM30">pareto($AJ$30:$AJ$53,$AK$30:$AK$53,1,"dist",Summary!#REF!,$AG$29,$AI$29)</f>
        <v>#VALUE!</v>
      </c>
      <c r="AP30" t="e">
        <f>'SFU-HW_RA'!#REF!</f>
        <v>#REF!</v>
      </c>
      <c r="AQ30" t="e">
        <f>'SFU-HW_RA'!#REF!</f>
        <v>#REF!</v>
      </c>
      <c r="AR30" t="e" cm="1">
        <f t="array" ref="AR30">pareto($AP$30:$AP$53,$AQ$30:$AQ$53,1,"rate",Summary!#REF!,$AQ$29,$AS$29)</f>
        <v>#VALUE!</v>
      </c>
      <c r="AS30" t="e" cm="1">
        <f t="array" ref="AS30">pareto($AP$30:$AP$53,$AQ$30:$AQ$53,1,"dist",Summary!#REF!,$AQ$29,$AS$29)</f>
        <v>#VALUE!</v>
      </c>
      <c r="AT30" t="e">
        <f>'SFU-HW_RA'!#REF!</f>
        <v>#REF!</v>
      </c>
      <c r="AU30" t="e">
        <f>'SFU-HW_RA'!#REF!</f>
        <v>#REF!</v>
      </c>
      <c r="AV30" t="e" cm="1">
        <f t="array" ref="AV30">pareto($AT$30:$AT$53,$AU$30:$AU$53,1,"rate",Summary!#REF!,$AQ$29,$AS$29)</f>
        <v>#VALUE!</v>
      </c>
      <c r="AW30" t="e" cm="1">
        <f t="array" ref="AW30">pareto($AT$30:$AT$53,$AU$30:$AU$53,1,"dist",Summary!#REF!,$AQ$29,$AS$29)</f>
        <v>#VALUE!</v>
      </c>
      <c r="AZ30" t="e">
        <f>#REF!</f>
        <v>#REF!</v>
      </c>
      <c r="BA30" t="e">
        <f>#REF!</f>
        <v>#REF!</v>
      </c>
      <c r="BB30" t="e" cm="1">
        <f t="array" ref="BB30">pareto($AZ$30:$AZ$53,$BA$30:$BA$53,1,"rate",Summary!#REF!,$BA$29,$BC$29)</f>
        <v>#VALUE!</v>
      </c>
      <c r="BC30" t="e" cm="1">
        <f t="array" ref="BC30">pareto($AZ$30:$AZ$53,$BA$30:$BA$53,1,"dist",Summary!#REF!,$BA$29,$BC$29)</f>
        <v>#VALUE!</v>
      </c>
      <c r="BD30" s="36" t="e">
        <f>#REF!</f>
        <v>#REF!</v>
      </c>
      <c r="BE30" s="36" t="e">
        <f>#REF!</f>
        <v>#REF!</v>
      </c>
      <c r="BF30" t="e" cm="1">
        <f t="array" ref="BF30">pareto($BD$30:$BD$53,$BE$30:$BE$53,1,"rate",Summary!#REF!,$BA$29,$BC$29)</f>
        <v>#VALUE!</v>
      </c>
      <c r="BG30" t="e" cm="1">
        <f t="array" ref="BG30">pareto($BD$30:$BD$53,$BE$30:$BE$53,1,"dist",Summary!#REF!,$BA$29,$BC$29)</f>
        <v>#VALUE!</v>
      </c>
    </row>
    <row r="31" spans="11:59" x14ac:dyDescent="0.25">
      <c r="L31">
        <f>'SFU-HW_RA'!D11</f>
        <v>87.784727270000005</v>
      </c>
      <c r="M31">
        <f>'SFU-HW_RA'!E11</f>
        <v>41.161876999999997</v>
      </c>
      <c r="N31" t="e" cm="1">
        <f t="array" ref="N31">pareto($L$30:$L$53,$M$30:$M$53,2,"rate",Summary!#REF!,$M$29,$O$29)</f>
        <v>#VALUE!</v>
      </c>
      <c r="O31" t="e" cm="1">
        <f t="array" ref="O31">pareto($L$30:$L$53,$M$30:$M$53,2,"dist",Summary!#REF!,$M$29,$O$29)</f>
        <v>#VALUE!</v>
      </c>
      <c r="P31">
        <f>'SFU-HW_RA'!M11</f>
        <v>87.784727272727196</v>
      </c>
      <c r="Q31">
        <f>'SFU-HW_RA'!N11</f>
        <v>41.161876999999997</v>
      </c>
      <c r="R31" t="e" cm="1">
        <f t="array" ref="R31">pareto($P$30:$P$53,$Q$30:$Q$53,2,"rate",Summary!#REF!,$M$29,$O$29)</f>
        <v>#VALUE!</v>
      </c>
      <c r="S31" t="e" cm="1">
        <f t="array" ref="S31">pareto($P$30:$P$53,$Q$30:$Q$53,2,"dist",Summary!#REF!,$M$29,$O$29)</f>
        <v>#VALUE!</v>
      </c>
      <c r="V31">
        <f>'SFU-HW_RA'!D41</f>
        <v>436.45767439999997</v>
      </c>
      <c r="W31">
        <f>'SFU-HW_RA'!E41</f>
        <v>41.473875999999997</v>
      </c>
      <c r="X31" t="e" cm="1">
        <f t="array" ref="X31">pareto($V$30:$V$53,$W$30:$W$53,2,"rate",Summary!#REF!,$W$29,$Y$29)</f>
        <v>#VALUE!</v>
      </c>
      <c r="Y31" t="e" cm="1">
        <f t="array" ref="Y31">pareto($V$30:$V$53,$W$30:$W$53,2,"dist",Summary!#REF!,$W$29,$Y$29)</f>
        <v>#VALUE!</v>
      </c>
      <c r="Z31">
        <f>'SFU-HW_RA'!M41</f>
        <v>436.45767441860397</v>
      </c>
      <c r="AA31">
        <f>'SFU-HW_RA'!N41</f>
        <v>41.473875999999997</v>
      </c>
      <c r="AB31" t="e" cm="1">
        <f t="array" ref="AB31">pareto($Z$30:$Z$53,$AA$30:$AA$53,2,"rate",Summary!#REF!,$W$29,$Y$29)</f>
        <v>#VALUE!</v>
      </c>
      <c r="AC31" t="e" cm="1">
        <f t="array" ref="AC31">pareto($Z$30:$Z$53,$AA$30:$AA$53,2,"dist",Summary!#REF!,$W$29,$Y$29)</f>
        <v>#VALUE!</v>
      </c>
      <c r="AF31">
        <f>'SFU-HW_RA'!D65</f>
        <v>225.02697670000001</v>
      </c>
      <c r="AG31">
        <f>'SFU-HW_RA'!E65</f>
        <v>33.371211000000002</v>
      </c>
      <c r="AH31" t="e" cm="1">
        <f t="array" ref="AH31">pareto($AF$30:$AF$53,$AG$30:$AG$53,2,"rate",Summary!#REF!,$AG$29,$AI$29)</f>
        <v>#VALUE!</v>
      </c>
      <c r="AI31" t="e" cm="1">
        <f t="array" ref="AI31">pareto($AF$30:$AF$53,$AG$30:$AG$53,2,"dist",Summary!#REF!,$AG$29,$AI$29)</f>
        <v>#VALUE!</v>
      </c>
      <c r="AJ31">
        <f>'SFU-HW_RA'!M65</f>
        <v>225.02697674418599</v>
      </c>
      <c r="AK31">
        <f>'SFU-HW_RA'!N65</f>
        <v>33.371211000000002</v>
      </c>
      <c r="AL31" t="e" cm="1">
        <f t="array" ref="AL31">pareto($AJ$30:$AJ$53,$AK$30:$AK$53,2,"rate",Summary!#REF!,$AG$29,$AI$29)</f>
        <v>#VALUE!</v>
      </c>
      <c r="AM31" t="e" cm="1">
        <f t="array" ref="AM31">pareto($AJ$30:$AJ$53,$AK$30:$AK$53,2,"dist",Summary!#REF!,$AG$29,$AI$29)</f>
        <v>#VALUE!</v>
      </c>
      <c r="AP31" t="e">
        <f>'SFU-HW_RA'!#REF!</f>
        <v>#REF!</v>
      </c>
      <c r="AQ31" t="e">
        <f>'SFU-HW_RA'!#REF!</f>
        <v>#REF!</v>
      </c>
      <c r="AR31" t="e" cm="1">
        <f t="array" ref="AR31">pareto($AP$30:$AP$53,$AQ$30:$AQ$53,2,"rate",Summary!#REF!,$AQ$29,$AS$29)</f>
        <v>#VALUE!</v>
      </c>
      <c r="AS31" t="e" cm="1">
        <f t="array" ref="AS31">pareto($AP$30:$AP$53,$AQ$30:$AQ$53,2,"dist",Summary!#REF!,$AQ$29,$AS$29)</f>
        <v>#VALUE!</v>
      </c>
      <c r="AT31" t="e">
        <f>'SFU-HW_RA'!#REF!</f>
        <v>#REF!</v>
      </c>
      <c r="AU31" t="e">
        <f>'SFU-HW_RA'!#REF!</f>
        <v>#REF!</v>
      </c>
      <c r="AV31" t="e" cm="1">
        <f t="array" ref="AV31">pareto($AT$30:$AT$53,$AU$30:$AU$53,2,"rate",Summary!#REF!,$AQ$29,$AS$29)</f>
        <v>#VALUE!</v>
      </c>
      <c r="AW31" t="e" cm="1">
        <f t="array" ref="AW31">pareto($AT$30:$AT$53,$AU$30:$AU$53,2,"dist",Summary!#REF!,$AQ$29,$AS$29)</f>
        <v>#VALUE!</v>
      </c>
      <c r="AZ31" t="e">
        <f>#REF!</f>
        <v>#REF!</v>
      </c>
      <c r="BA31" t="e">
        <f>#REF!</f>
        <v>#REF!</v>
      </c>
      <c r="BB31" t="e" cm="1">
        <f t="array" ref="BB31">pareto($AZ$30:$AZ$53,$BA$30:$BA$53,2,"rate",Summary!#REF!,$BA$29,$BC$29)</f>
        <v>#VALUE!</v>
      </c>
      <c r="BC31" t="e" cm="1">
        <f t="array" ref="BC31">pareto($AZ$30:$AZ$53,$BA$30:$BA$53,2,"dist",Summary!#REF!,$BA$29,$BC$29)</f>
        <v>#VALUE!</v>
      </c>
      <c r="BD31" s="36" t="e">
        <f>#REF!</f>
        <v>#REF!</v>
      </c>
      <c r="BE31" s="36" t="e">
        <f>#REF!</f>
        <v>#REF!</v>
      </c>
      <c r="BF31" t="e" cm="1">
        <f t="array" ref="BF31">pareto($BD$30:$BD$53,$BE$30:$BE$53,2,"rate",Summary!#REF!,$BA$29,$BC$29)</f>
        <v>#VALUE!</v>
      </c>
      <c r="BG31" t="e" cm="1">
        <f t="array" ref="BG31">pareto($BD$30:$BD$53,$BE$30:$BE$53,2,"dist",Summary!#REF!,$BA$29,$BC$29)</f>
        <v>#VALUE!</v>
      </c>
    </row>
    <row r="32" spans="11:59" x14ac:dyDescent="0.25">
      <c r="L32">
        <f>'SFU-HW_RA'!D12</f>
        <v>60.829090909999998</v>
      </c>
      <c r="M32">
        <f>'SFU-HW_RA'!E12</f>
        <v>33.652537000000002</v>
      </c>
      <c r="N32" t="e" cm="1">
        <f t="array" ref="N32">pareto($L$30:$L$53,$M$30:$M$53,3,"rate",Summary!#REF!,$M$29,$O$29)</f>
        <v>#VALUE!</v>
      </c>
      <c r="O32" t="e" cm="1">
        <f t="array" ref="O32">pareto($L$30:$L$53,$M$30:$M$53,3,"dist",Summary!#REF!,$M$29,$O$29)</f>
        <v>#VALUE!</v>
      </c>
      <c r="P32">
        <f>'SFU-HW_RA'!M12</f>
        <v>60.829090909090901</v>
      </c>
      <c r="Q32">
        <f>'SFU-HW_RA'!N12</f>
        <v>33.652537000000002</v>
      </c>
      <c r="R32" t="e" cm="1">
        <f t="array" ref="R32">pareto($P$30:$P$53,$Q$30:$Q$53,3,"rate",Summary!#REF!,$M$29,$O$29)</f>
        <v>#VALUE!</v>
      </c>
      <c r="S32" t="e" cm="1">
        <f t="array" ref="S32">pareto($P$30:$P$53,$Q$30:$Q$53,3,"dist",Summary!#REF!,$M$29,$O$29)</f>
        <v>#VALUE!</v>
      </c>
      <c r="V32">
        <f>'SFU-HW_RA'!D42</f>
        <v>234.77953489999999</v>
      </c>
      <c r="W32">
        <f>'SFU-HW_RA'!E42</f>
        <v>37.508572999999998</v>
      </c>
      <c r="X32" t="e" cm="1">
        <f t="array" ref="X32">pareto($V$30:$V$53,$W$30:$W$53,3,"rate",Summary!#REF!,$W$29,$Y$29)</f>
        <v>#VALUE!</v>
      </c>
      <c r="Y32" t="e" cm="1">
        <f t="array" ref="Y32">pareto($V$30:$V$53,$W$30:$W$53,3,"dist",Summary!#REF!,$W$29,$Y$29)</f>
        <v>#VALUE!</v>
      </c>
      <c r="Z32">
        <f>'SFU-HW_RA'!M42</f>
        <v>234.77953488372</v>
      </c>
      <c r="AA32">
        <f>'SFU-HW_RA'!N42</f>
        <v>37.508572999999998</v>
      </c>
      <c r="AB32" t="e" cm="1">
        <f t="array" ref="AB32">pareto($Z$30:$Z$53,$AA$30:$AA$53,3,"rate",Summary!#REF!,$W$29,$Y$29)</f>
        <v>#VALUE!</v>
      </c>
      <c r="AC32" t="e" cm="1">
        <f t="array" ref="AC32">pareto($Z$30:$Z$53,$AA$30:$AA$53,3,"dist",Summary!#REF!,$W$29,$Y$29)</f>
        <v>#VALUE!</v>
      </c>
      <c r="AF32">
        <f>'SFU-HW_RA'!D66</f>
        <v>122.2623256</v>
      </c>
      <c r="AG32">
        <f>'SFU-HW_RA'!E66</f>
        <v>32.559953</v>
      </c>
      <c r="AH32" t="e" cm="1">
        <f t="array" ref="AH32">pareto($AF$30:$AF$53,$AG$30:$AG$53,3,"rate",Summary!#REF!,$AG$29,$AI$29)</f>
        <v>#VALUE!</v>
      </c>
      <c r="AI32" t="e" cm="1">
        <f t="array" ref="AI32">pareto($AF$30:$AF$53,$AG$30:$AG$53,3,"dist",Summary!#REF!,$AG$29,$AI$29)</f>
        <v>#VALUE!</v>
      </c>
      <c r="AJ32">
        <f>'SFU-HW_RA'!M66</f>
        <v>122.262325581395</v>
      </c>
      <c r="AK32">
        <f>'SFU-HW_RA'!N66</f>
        <v>32.559953</v>
      </c>
      <c r="AL32" t="e" cm="1">
        <f t="array" ref="AL32">pareto($AJ$30:$AJ$53,$AK$30:$AK$53,3,"rate",Summary!#REF!,$AG$29,$AI$29)</f>
        <v>#VALUE!</v>
      </c>
      <c r="AM32" t="e" cm="1">
        <f t="array" ref="AM32">pareto($AJ$30:$AJ$53,$AK$30:$AK$53,3,"dist",Summary!#REF!,$AG$29,$AI$29)</f>
        <v>#VALUE!</v>
      </c>
      <c r="AP32" t="e">
        <f>'SFU-HW_RA'!#REF!</f>
        <v>#REF!</v>
      </c>
      <c r="AQ32" t="e">
        <f>'SFU-HW_RA'!#REF!</f>
        <v>#REF!</v>
      </c>
      <c r="AR32" t="e" cm="1">
        <f t="array" ref="AR32">pareto($AP$30:$AP$53,$AQ$30:$AQ$53,3,"rate",Summary!#REF!,$AQ$29,$AS$29)</f>
        <v>#VALUE!</v>
      </c>
      <c r="AS32" t="e" cm="1">
        <f t="array" ref="AS32">pareto($AP$30:$AP$53,$AQ$30:$AQ$53,3,"dist",Summary!#REF!,$AQ$29,$AS$29)</f>
        <v>#VALUE!</v>
      </c>
      <c r="AT32" t="e">
        <f>'SFU-HW_RA'!#REF!</f>
        <v>#REF!</v>
      </c>
      <c r="AU32" t="e">
        <f>'SFU-HW_RA'!#REF!</f>
        <v>#REF!</v>
      </c>
      <c r="AV32" t="e" cm="1">
        <f t="array" ref="AV32">pareto($AT$30:$AT$53,$AU$30:$AU$53,3,"rate",Summary!#REF!,$AQ$29,$AS$29)</f>
        <v>#VALUE!</v>
      </c>
      <c r="AW32" t="e" cm="1">
        <f t="array" ref="AW32">pareto($AT$30:$AT$53,$AU$30:$AU$53,3,"dist",Summary!#REF!,$AQ$29,$AS$29)</f>
        <v>#VALUE!</v>
      </c>
      <c r="AZ32" t="e">
        <f>#REF!</f>
        <v>#REF!</v>
      </c>
      <c r="BA32" t="e">
        <f>#REF!</f>
        <v>#REF!</v>
      </c>
      <c r="BB32" t="e" cm="1">
        <f t="array" ref="BB32">pareto($AZ$30:$AZ$53,$BA$30:$BA$53,3,"rate",Summary!#REF!,$BA$29,$BC$29)</f>
        <v>#VALUE!</v>
      </c>
      <c r="BC32" t="e" cm="1">
        <f t="array" ref="BC32">pareto($AZ$30:$AZ$53,$BA$30:$BA$53,3,"dist",Summary!#REF!,$BA$29,$BC$29)</f>
        <v>#VALUE!</v>
      </c>
      <c r="BD32" s="36" t="e">
        <f>#REF!</f>
        <v>#REF!</v>
      </c>
      <c r="BE32" s="36" t="e">
        <f>#REF!</f>
        <v>#REF!</v>
      </c>
      <c r="BF32" t="e" cm="1">
        <f t="array" ref="BF32">pareto($BD$30:$BD$53,$BE$30:$BE$53,3,"rate",Summary!#REF!,$BA$29,$BC$29)</f>
        <v>#VALUE!</v>
      </c>
      <c r="BG32" t="e" cm="1">
        <f t="array" ref="BG32">pareto($BD$30:$BD$53,$BE$30:$BE$53,3,"dist",Summary!#REF!,$BA$29,$BC$29)</f>
        <v>#VALUE!</v>
      </c>
    </row>
    <row r="33" spans="12:59" x14ac:dyDescent="0.25">
      <c r="L33">
        <f>'SFU-HW_RA'!D13</f>
        <v>37.690181819999999</v>
      </c>
      <c r="M33">
        <f>'SFU-HW_RA'!E13</f>
        <v>28.845535999999999</v>
      </c>
      <c r="N33" t="e" cm="1">
        <f t="array" ref="N33">pareto($L$30:$L$53,$M$30:$M$53,4,"rate",Summary!#REF!,$M$29,$O$29)</f>
        <v>#VALUE!</v>
      </c>
      <c r="O33" t="e" cm="1">
        <f t="array" ref="O33">pareto($L$30:$L$53,$M$30:$M$53,4,"dist",Summary!#REF!,$M$29,$O$29)</f>
        <v>#VALUE!</v>
      </c>
      <c r="P33">
        <f>'SFU-HW_RA'!M13</f>
        <v>37.690181818181799</v>
      </c>
      <c r="Q33">
        <f>'SFU-HW_RA'!N13</f>
        <v>28.845535999999999</v>
      </c>
      <c r="R33" t="e" cm="1">
        <f t="array" ref="R33">pareto($P$30:$P$53,$Q$30:$Q$53,4,"rate",Summary!#REF!,$M$29,$O$29)</f>
        <v>#VALUE!</v>
      </c>
      <c r="S33" t="e" cm="1">
        <f t="array" ref="S33">pareto($P$30:$P$53,$Q$30:$Q$53,4,"dist",Summary!#REF!,$M$29,$O$29)</f>
        <v>#VALUE!</v>
      </c>
      <c r="V33">
        <f>'SFU-HW_RA'!D43</f>
        <v>124.2790698</v>
      </c>
      <c r="W33">
        <f>'SFU-HW_RA'!E43</f>
        <v>33.63588</v>
      </c>
      <c r="X33" t="e" cm="1">
        <f t="array" ref="X33">pareto($V$30:$V$53,$W$30:$W$53,4,"rate",Summary!#REF!,$W$29,$Y$29)</f>
        <v>#VALUE!</v>
      </c>
      <c r="Y33" t="e" cm="1">
        <f t="array" ref="Y33">pareto($V$30:$V$53,$W$30:$W$53,4,"dist",Summary!#REF!,$W$29,$Y$29)</f>
        <v>#VALUE!</v>
      </c>
      <c r="Z33">
        <f>'SFU-HW_RA'!M43</f>
        <v>124.279069767441</v>
      </c>
      <c r="AA33">
        <f>'SFU-HW_RA'!N43</f>
        <v>33.63588</v>
      </c>
      <c r="AB33" t="e" cm="1">
        <f t="array" ref="AB33">pareto($Z$30:$Z$53,$AA$30:$AA$53,4,"rate",Summary!#REF!,$W$29,$Y$29)</f>
        <v>#VALUE!</v>
      </c>
      <c r="AC33" t="e" cm="1">
        <f t="array" ref="AC33">pareto($Z$30:$Z$53,$AA$30:$AA$53,4,"dist",Summary!#REF!,$W$29,$Y$29)</f>
        <v>#VALUE!</v>
      </c>
      <c r="AF33">
        <f>'SFU-HW_RA'!D67</f>
        <v>71.944186049999999</v>
      </c>
      <c r="AG33">
        <f>'SFU-HW_RA'!E67</f>
        <v>29.538333999999999</v>
      </c>
      <c r="AH33" t="e" cm="1">
        <f t="array" ref="AH33">pareto($AF$30:$AF$53,$AG$30:$AG$53,4,"rate",Summary!#REF!,$AG$29,$AI$29)</f>
        <v>#VALUE!</v>
      </c>
      <c r="AI33" t="e" cm="1">
        <f t="array" ref="AI33">pareto($AF$30:$AF$53,$AG$30:$AG$53,4,"dist",Summary!#REF!,$AG$29,$AI$29)</f>
        <v>#VALUE!</v>
      </c>
      <c r="AJ33">
        <f>'SFU-HW_RA'!M67</f>
        <v>71.944186046511604</v>
      </c>
      <c r="AK33">
        <f>'SFU-HW_RA'!N67</f>
        <v>29.538333999999999</v>
      </c>
      <c r="AL33" t="e" cm="1">
        <f t="array" ref="AL33">pareto($AJ$30:$AJ$53,$AK$30:$AK$53,4,"rate",Summary!#REF!,$AG$29,$AI$29)</f>
        <v>#VALUE!</v>
      </c>
      <c r="AM33" t="e" cm="1">
        <f t="array" ref="AM33">pareto($AJ$30:$AJ$53,$AK$30:$AK$53,4,"dist",Summary!#REF!,$AG$29,$AI$29)</f>
        <v>#VALUE!</v>
      </c>
      <c r="AP33" t="e">
        <f>'SFU-HW_RA'!#REF!</f>
        <v>#REF!</v>
      </c>
      <c r="AQ33" t="e">
        <f>'SFU-HW_RA'!#REF!</f>
        <v>#REF!</v>
      </c>
      <c r="AR33" t="e" cm="1">
        <f t="array" ref="AR33">pareto($AP$30:$AP$53,$AQ$30:$AQ$53,4,"rate",Summary!#REF!,$AQ$29,$AS$29)</f>
        <v>#VALUE!</v>
      </c>
      <c r="AS33" t="e" cm="1">
        <f t="array" ref="AS33">pareto($AP$30:$AP$53,$AQ$30:$AQ$53,4,"dist",Summary!#REF!,$AQ$29,$AS$29)</f>
        <v>#VALUE!</v>
      </c>
      <c r="AT33" t="e">
        <f>'SFU-HW_RA'!#REF!</f>
        <v>#REF!</v>
      </c>
      <c r="AU33" t="e">
        <f>'SFU-HW_RA'!#REF!</f>
        <v>#REF!</v>
      </c>
      <c r="AV33" t="e" cm="1">
        <f t="array" ref="AV33">pareto($AT$30:$AT$53,$AU$30:$AU$53,4,"rate",Summary!#REF!,$AQ$29,$AS$29)</f>
        <v>#VALUE!</v>
      </c>
      <c r="AW33" t="e" cm="1">
        <f t="array" ref="AW33">pareto($AT$30:$AT$53,$AU$30:$AU$53,4,"dist",Summary!#REF!,$AQ$29,$AS$29)</f>
        <v>#VALUE!</v>
      </c>
      <c r="AZ33" t="e">
        <f>#REF!</f>
        <v>#REF!</v>
      </c>
      <c r="BA33" t="e">
        <f>#REF!</f>
        <v>#REF!</v>
      </c>
      <c r="BB33" t="e" cm="1">
        <f t="array" ref="BB33">pareto($AZ$30:$AZ$53,$BA$30:$BA$53,4,"rate",Summary!#REF!,$BA$29,$BC$29)</f>
        <v>#VALUE!</v>
      </c>
      <c r="BC33" t="e" cm="1">
        <f t="array" ref="BC33">pareto($AZ$30:$AZ$53,$BA$30:$BA$53,4,"dist",Summary!#REF!,$BA$29,$BC$29)</f>
        <v>#VALUE!</v>
      </c>
      <c r="BD33" s="36" t="e">
        <f>#REF!</f>
        <v>#REF!</v>
      </c>
      <c r="BE33" s="36" t="e">
        <f>#REF!</f>
        <v>#REF!</v>
      </c>
      <c r="BF33" t="e" cm="1">
        <f t="array" ref="BF33">pareto($BD$30:$BD$53,$BE$30:$BE$53,4,"rate",Summary!#REF!,$BA$29,$BC$29)</f>
        <v>#VALUE!</v>
      </c>
      <c r="BG33" t="e" cm="1">
        <f t="array" ref="BG33">pareto($BD$30:$BD$53,$BE$30:$BE$53,4,"dist",Summary!#REF!,$BA$29,$BC$29)</f>
        <v>#VALUE!</v>
      </c>
    </row>
    <row r="34" spans="12:59" x14ac:dyDescent="0.25">
      <c r="L34">
        <f>'SFU-HW_RA'!D14</f>
        <v>23.284363639999999</v>
      </c>
      <c r="M34">
        <f>'SFU-HW_RA'!E14</f>
        <v>21.336998000000001</v>
      </c>
      <c r="N34" t="e" cm="1">
        <f t="array" ref="N34">pareto($L$30:$L$53,$M$30:$M$53,5,"rate",Summary!#REF!,$M$29,$O$29)</f>
        <v>#VALUE!</v>
      </c>
      <c r="O34" t="e" cm="1">
        <f t="array" ref="O34">pareto($L$30:$L$53,$M$30:$M$53,5,"dist",Summary!#REF!,$M$29,$O$29)</f>
        <v>#VALUE!</v>
      </c>
      <c r="P34">
        <f>'SFU-HW_RA'!M14</f>
        <v>23.284363636363601</v>
      </c>
      <c r="Q34">
        <f>'SFU-HW_RA'!N14</f>
        <v>21.336998000000001</v>
      </c>
      <c r="R34" t="e" cm="1">
        <f t="array" ref="R34">pareto($P$30:$P$53,$Q$30:$Q$53,5,"rate",Summary!#REF!,$M$29,$O$29)</f>
        <v>#VALUE!</v>
      </c>
      <c r="S34" t="e" cm="1">
        <f t="array" ref="S34">pareto($P$30:$P$53,$Q$30:$Q$53,5,"dist",Summary!#REF!,$M$29,$O$29)</f>
        <v>#VALUE!</v>
      </c>
      <c r="V34">
        <f>'SFU-HW_RA'!D44</f>
        <v>62.969302329999998</v>
      </c>
      <c r="W34">
        <f>'SFU-HW_RA'!E44</f>
        <v>26.234352000000001</v>
      </c>
      <c r="X34" t="e" cm="1">
        <f t="array" ref="X34">pareto($V$30:$V$53,$W$30:$W$53,5,"rate",Summary!#REF!,$W$29,$Y$29)</f>
        <v>#VALUE!</v>
      </c>
      <c r="Y34" t="e" cm="1">
        <f t="array" ref="Y34">pareto($V$30:$V$53,$W$30:$W$53,5,"dist",Summary!#REF!,$W$29,$Y$29)</f>
        <v>#VALUE!</v>
      </c>
      <c r="Z34">
        <f>'SFU-HW_RA'!M44</f>
        <v>62.969302325581303</v>
      </c>
      <c r="AA34">
        <f>'SFU-HW_RA'!N44</f>
        <v>26.234352000000001</v>
      </c>
      <c r="AB34" t="e" cm="1">
        <f t="array" ref="AB34">pareto($Z$30:$Z$53,$AA$30:$AA$53,5,"rate",Summary!#REF!,$W$29,$Y$29)</f>
        <v>#VALUE!</v>
      </c>
      <c r="AC34" t="e" cm="1">
        <f t="array" ref="AC34">pareto($Z$30:$Z$53,$AA$30:$AA$53,5,"dist",Summary!#REF!,$W$29,$Y$29)</f>
        <v>#VALUE!</v>
      </c>
      <c r="AF34">
        <f>'SFU-HW_RA'!D68</f>
        <v>44.145116280000003</v>
      </c>
      <c r="AG34">
        <f>'SFU-HW_RA'!E68</f>
        <v>25.763054</v>
      </c>
      <c r="AH34" t="e" cm="1">
        <f t="array" ref="AH34">pareto($AF$30:$AF$53,$AG$30:$AG$53,5,"rate",Summary!#REF!,$AG$29,$AI$29)</f>
        <v>#VALUE!</v>
      </c>
      <c r="AI34" t="e" cm="1">
        <f t="array" ref="AI34">pareto($AF$30:$AF$53,$AG$30:$AG$53,5,"dist",Summary!#REF!,$AG$29,$AI$29)</f>
        <v>#VALUE!</v>
      </c>
      <c r="AJ34">
        <f>'SFU-HW_RA'!M68</f>
        <v>44.145116279069697</v>
      </c>
      <c r="AK34">
        <f>'SFU-HW_RA'!N68</f>
        <v>25.763054</v>
      </c>
      <c r="AL34" t="e" cm="1">
        <f t="array" ref="AL34">pareto($AJ$30:$AJ$53,$AK$30:$AK$53,5,"rate",Summary!#REF!,$AG$29,$AI$29)</f>
        <v>#VALUE!</v>
      </c>
      <c r="AM34" t="e" cm="1">
        <f t="array" ref="AM34">pareto($AJ$30:$AJ$53,$AK$30:$AK$53,5,"dist",Summary!#REF!,$AG$29,$AI$29)</f>
        <v>#VALUE!</v>
      </c>
      <c r="AP34" t="e">
        <f>'SFU-HW_RA'!#REF!</f>
        <v>#REF!</v>
      </c>
      <c r="AQ34" t="e">
        <f>'SFU-HW_RA'!#REF!</f>
        <v>#REF!</v>
      </c>
      <c r="AR34" t="e" cm="1">
        <f t="array" ref="AR34">pareto($AP$30:$AP$53,$AQ$30:$AQ$53,5,"rate",Summary!#REF!,$AQ$29,$AS$29)</f>
        <v>#VALUE!</v>
      </c>
      <c r="AS34" t="e" cm="1">
        <f t="array" ref="AS34">pareto($AP$30:$AP$53,$AQ$30:$AQ$53,5,"dist",Summary!#REF!,$AQ$29,$AS$29)</f>
        <v>#VALUE!</v>
      </c>
      <c r="AT34" t="e">
        <f>'SFU-HW_RA'!#REF!</f>
        <v>#REF!</v>
      </c>
      <c r="AU34" t="e">
        <f>'SFU-HW_RA'!#REF!</f>
        <v>#REF!</v>
      </c>
      <c r="AV34" t="e" cm="1">
        <f t="array" ref="AV34">pareto($AT$30:$AT$53,$AU$30:$AU$53,5,"rate",Summary!#REF!,$AQ$29,$AS$29)</f>
        <v>#VALUE!</v>
      </c>
      <c r="AW34" t="e" cm="1">
        <f t="array" ref="AW34">pareto($AT$30:$AT$53,$AU$30:$AU$53,5,"dist",Summary!#REF!,$AQ$29,$AS$29)</f>
        <v>#VALUE!</v>
      </c>
      <c r="AZ34" t="e">
        <f>#REF!</f>
        <v>#REF!</v>
      </c>
      <c r="BA34" t="e">
        <f>#REF!</f>
        <v>#REF!</v>
      </c>
      <c r="BB34" t="e" cm="1">
        <f t="array" ref="BB34">pareto($AZ$30:$AZ$53,$BA$30:$BA$53,5,"rate",Summary!#REF!,$BA$29,$BC$29)</f>
        <v>#VALUE!</v>
      </c>
      <c r="BC34" t="e" cm="1">
        <f t="array" ref="BC34">pareto($AZ$30:$AZ$53,$BA$30:$BA$53,5,"dist",Summary!#REF!,$BA$29,$BC$29)</f>
        <v>#VALUE!</v>
      </c>
      <c r="BD34" s="36" t="e">
        <f>#REF!</f>
        <v>#REF!</v>
      </c>
      <c r="BE34" s="36" t="e">
        <f>#REF!</f>
        <v>#REF!</v>
      </c>
      <c r="BF34" t="e" cm="1">
        <f t="array" ref="BF34">pareto($BD$30:$BD$53,$BE$30:$BE$53,5,"rate",Summary!#REF!,$BA$29,$BC$29)</f>
        <v>#VALUE!</v>
      </c>
      <c r="BG34" t="e" cm="1">
        <f t="array" ref="BG34">pareto($BD$30:$BD$53,$BE$30:$BE$53,5,"dist",Summary!#REF!,$BA$29,$BC$29)</f>
        <v>#VALUE!</v>
      </c>
    </row>
    <row r="35" spans="12:59" x14ac:dyDescent="0.25">
      <c r="L35">
        <f>'SFU-HW_RA'!D15</f>
        <v>14.295272730000001</v>
      </c>
      <c r="M35">
        <f>'SFU-HW_RA'!E15</f>
        <v>21.502386999999999</v>
      </c>
      <c r="N35" t="e" cm="1">
        <f t="array" ref="N35">pareto($L$30:$L$53,$M$30:$M$53,6,"rate",Summary!#REF!,$M$29,$O$29)</f>
        <v>#VALUE!</v>
      </c>
      <c r="O35" t="e" cm="1">
        <f t="array" ref="O35">pareto($L$30:$L$53,$M$30:$M$53,6,"dist",Summary!#REF!,$M$29,$O$29)</f>
        <v>#VALUE!</v>
      </c>
      <c r="P35">
        <f>'SFU-HW_RA'!M15</f>
        <v>14.2952727272727</v>
      </c>
      <c r="Q35">
        <f>'SFU-HW_RA'!N15</f>
        <v>21.502386999999999</v>
      </c>
      <c r="R35" t="e" cm="1">
        <f t="array" ref="R35">pareto($P$30:$P$53,$Q$30:$Q$53,6,"rate",Summary!#REF!,$M$29,$O$29)</f>
        <v>#VALUE!</v>
      </c>
      <c r="S35" t="e" cm="1">
        <f t="array" ref="S35">pareto($P$30:$P$53,$Q$30:$Q$53,6,"dist",Summary!#REF!,$M$29,$O$29)</f>
        <v>#VALUE!</v>
      </c>
      <c r="V35">
        <f>'SFU-HW_RA'!D45</f>
        <v>30.701395349999999</v>
      </c>
      <c r="W35">
        <f>'SFU-HW_RA'!E45</f>
        <v>15.582312</v>
      </c>
      <c r="X35" t="e" cm="1">
        <f t="array" ref="X35">pareto($V$30:$V$53,$W$30:$W$53,6,"rate",Summary!#REF!,$W$29,$Y$29)</f>
        <v>#VALUE!</v>
      </c>
      <c r="Y35" t="e" cm="1">
        <f t="array" ref="Y35">pareto($V$30:$V$53,$W$30:$W$53,6,"dist",Summary!#REF!,$W$29,$Y$29)</f>
        <v>#VALUE!</v>
      </c>
      <c r="Z35">
        <f>'SFU-HW_RA'!M45</f>
        <v>30.701395348837199</v>
      </c>
      <c r="AA35">
        <f>'SFU-HW_RA'!N45</f>
        <v>15.582312</v>
      </c>
      <c r="AB35" t="e" cm="1">
        <f t="array" ref="AB35">pareto($Z$30:$Z$53,$AA$30:$AA$53,6,"rate",Summary!#REF!,$W$29,$Y$29)</f>
        <v>#VALUE!</v>
      </c>
      <c r="AC35" t="e" cm="1">
        <f t="array" ref="AC35">pareto($Z$30:$Z$53,$AA$30:$AA$53,6,"dist",Summary!#REF!,$W$29,$Y$29)</f>
        <v>#VALUE!</v>
      </c>
      <c r="AF35">
        <f>'SFU-HW_RA'!D69</f>
        <v>27.352558139999999</v>
      </c>
      <c r="AG35">
        <f>'SFU-HW_RA'!E69</f>
        <v>18.092714000000001</v>
      </c>
      <c r="AH35" t="e" cm="1">
        <f t="array" ref="AH35">pareto($AF$30:$AF$53,$AG$30:$AG$53,6,"rate",Summary!#REF!,$AG$29,$AI$29)</f>
        <v>#VALUE!</v>
      </c>
      <c r="AI35" t="e" cm="1">
        <f t="array" ref="AI35">pareto($AF$30:$AF$53,$AG$30:$AG$53,6,"dist",Summary!#REF!,$AG$29,$AI$29)</f>
        <v>#VALUE!</v>
      </c>
      <c r="AJ35">
        <f>'SFU-HW_RA'!M69</f>
        <v>27.3525581395348</v>
      </c>
      <c r="AK35">
        <f>'SFU-HW_RA'!N69</f>
        <v>18.092714000000001</v>
      </c>
      <c r="AL35" t="e" cm="1">
        <f t="array" ref="AL35">pareto($AJ$30:$AJ$53,$AK$30:$AK$53,6,"rate",Summary!#REF!,$AG$29,$AI$29)</f>
        <v>#VALUE!</v>
      </c>
      <c r="AM35" t="e" cm="1">
        <f t="array" ref="AM35">pareto($AJ$30:$AJ$53,$AK$30:$AK$53,6,"dist",Summary!#REF!,$AG$29,$AI$29)</f>
        <v>#VALUE!</v>
      </c>
      <c r="AP35" t="e">
        <f>'SFU-HW_RA'!#REF!</f>
        <v>#REF!</v>
      </c>
      <c r="AQ35" t="e">
        <f>'SFU-HW_RA'!#REF!</f>
        <v>#REF!</v>
      </c>
      <c r="AR35" t="e" cm="1">
        <f t="array" ref="AR35">pareto($AP$30:$AP$53,$AQ$30:$AQ$53,6,"rate",Summary!#REF!,$AQ$29,$AS$29)</f>
        <v>#VALUE!</v>
      </c>
      <c r="AS35" t="e" cm="1">
        <f t="array" ref="AS35">pareto($AP$30:$AP$53,$AQ$30:$AQ$53,6,"dist",Summary!#REF!,$AQ$29,$AS$29)</f>
        <v>#VALUE!</v>
      </c>
      <c r="AT35" t="e">
        <f>'SFU-HW_RA'!#REF!</f>
        <v>#REF!</v>
      </c>
      <c r="AU35" t="e">
        <f>'SFU-HW_RA'!#REF!</f>
        <v>#REF!</v>
      </c>
      <c r="AV35" t="e" cm="1">
        <f t="array" ref="AV35">pareto($AT$30:$AT$53,$AU$30:$AU$53,6,"rate",Summary!#REF!,$AQ$29,$AS$29)</f>
        <v>#VALUE!</v>
      </c>
      <c r="AW35" t="e" cm="1">
        <f t="array" ref="AW35">pareto($AT$30:$AT$53,$AU$30:$AU$53,6,"dist",Summary!#REF!,$AQ$29,$AS$29)</f>
        <v>#VALUE!</v>
      </c>
      <c r="AZ35" t="e">
        <f>#REF!</f>
        <v>#REF!</v>
      </c>
      <c r="BA35" t="e">
        <f>#REF!</f>
        <v>#REF!</v>
      </c>
      <c r="BB35" t="e" cm="1">
        <f t="array" ref="BB35">pareto($AZ$30:$AZ$53,$BA$30:$BA$53,6,"rate",Summary!#REF!,$BA$29,$BC$29)</f>
        <v>#VALUE!</v>
      </c>
      <c r="BC35" t="e" cm="1">
        <f t="array" ref="BC35">pareto($AZ$30:$AZ$53,$BA$30:$BA$53,6,"dist",Summary!#REF!,$BA$29,$BC$29)</f>
        <v>#VALUE!</v>
      </c>
      <c r="BD35" s="36" t="e">
        <f>#REF!</f>
        <v>#REF!</v>
      </c>
      <c r="BE35" s="36" t="e">
        <f>#REF!</f>
        <v>#REF!</v>
      </c>
      <c r="BF35" t="e" cm="1">
        <f t="array" ref="BF35">pareto($BD$30:$BD$53,$BE$30:$BE$53,6,"rate",Summary!#REF!,$BA$29,$BC$29)</f>
        <v>#VALUE!</v>
      </c>
      <c r="BG35" t="e" cm="1">
        <f t="array" ref="BG35">pareto($BD$30:$BD$53,$BE$30:$BE$53,6,"dist",Summary!#REF!,$BA$29,$BC$29)</f>
        <v>#VALUE!</v>
      </c>
    </row>
    <row r="36" spans="12:59" x14ac:dyDescent="0.25">
      <c r="BD36" s="36"/>
      <c r="BE36" s="36"/>
    </row>
    <row r="37" spans="12:59" x14ac:dyDescent="0.25">
      <c r="BD37" s="36"/>
      <c r="BE37" s="36"/>
    </row>
    <row r="38" spans="12:59" x14ac:dyDescent="0.25">
      <c r="BD38" s="36"/>
      <c r="BE38" s="36"/>
    </row>
    <row r="39" spans="12:59" x14ac:dyDescent="0.25">
      <c r="BD39" s="36"/>
      <c r="BE39" s="36"/>
    </row>
    <row r="40" spans="12:59" x14ac:dyDescent="0.25">
      <c r="BD40" s="36"/>
      <c r="BE40" s="36"/>
    </row>
    <row r="41" spans="12:59" x14ac:dyDescent="0.25">
      <c r="BD41" s="36"/>
      <c r="BE41" s="36"/>
    </row>
    <row r="42" spans="12:59" x14ac:dyDescent="0.25">
      <c r="BD42" s="36"/>
      <c r="BE42" s="36"/>
    </row>
    <row r="43" spans="12:59" x14ac:dyDescent="0.25">
      <c r="BD43" s="36"/>
      <c r="BE43" s="36"/>
    </row>
    <row r="44" spans="12:59" x14ac:dyDescent="0.25">
      <c r="BD44" s="36"/>
      <c r="BE44" s="36"/>
    </row>
    <row r="45" spans="12:59" x14ac:dyDescent="0.25">
      <c r="BD45" s="36"/>
      <c r="BE45" s="36"/>
    </row>
    <row r="46" spans="12:59" x14ac:dyDescent="0.25">
      <c r="BD46" s="36"/>
      <c r="BE46" s="36"/>
    </row>
    <row r="47" spans="12:59" x14ac:dyDescent="0.25">
      <c r="BD47" s="36"/>
      <c r="BE47" s="36"/>
    </row>
    <row r="48" spans="12:59" x14ac:dyDescent="0.25">
      <c r="BD48" s="36"/>
      <c r="BE48" s="36"/>
    </row>
    <row r="49" spans="11:59" x14ac:dyDescent="0.25">
      <c r="BD49" s="36"/>
      <c r="BE49" s="36"/>
    </row>
    <row r="50" spans="11:59" x14ac:dyDescent="0.25">
      <c r="BD50" s="36"/>
      <c r="BE50" s="36"/>
    </row>
    <row r="51" spans="11:59" x14ac:dyDescent="0.25">
      <c r="BD51" s="36"/>
      <c r="BE51" s="36"/>
    </row>
    <row r="52" spans="11:59" x14ac:dyDescent="0.25">
      <c r="BD52" s="36"/>
      <c r="BE52" s="36"/>
    </row>
    <row r="53" spans="11:59" x14ac:dyDescent="0.25">
      <c r="BD53" s="36"/>
      <c r="BE53" s="36"/>
    </row>
    <row r="54" spans="11:59" x14ac:dyDescent="0.25">
      <c r="K54" t="s">
        <v>62</v>
      </c>
      <c r="L54" t="s">
        <v>40</v>
      </c>
      <c r="M54">
        <v>70.148171000000005</v>
      </c>
      <c r="N54" t="s">
        <v>44</v>
      </c>
      <c r="O54">
        <v>20</v>
      </c>
      <c r="U54" t="s">
        <v>68</v>
      </c>
      <c r="V54" t="s">
        <v>40</v>
      </c>
      <c r="W54">
        <v>70.180002000000002</v>
      </c>
      <c r="X54" t="s">
        <v>44</v>
      </c>
      <c r="Y54">
        <v>20</v>
      </c>
      <c r="AE54" t="s">
        <v>73</v>
      </c>
      <c r="AF54" t="s">
        <v>40</v>
      </c>
      <c r="AG54">
        <v>66.903647000000007</v>
      </c>
      <c r="AH54" t="s">
        <v>44</v>
      </c>
      <c r="AI54">
        <v>20</v>
      </c>
      <c r="AO54" t="s">
        <v>77</v>
      </c>
      <c r="AP54" t="s">
        <v>40</v>
      </c>
      <c r="AQ54" s="71">
        <v>20.888005</v>
      </c>
      <c r="AR54" t="s">
        <v>44</v>
      </c>
      <c r="AS54">
        <v>20</v>
      </c>
      <c r="AT54" t="s">
        <v>40</v>
      </c>
      <c r="AU54" s="71"/>
      <c r="AY54" t="s">
        <v>70</v>
      </c>
      <c r="AZ54" t="s">
        <v>40</v>
      </c>
      <c r="BA54" s="71">
        <v>40.451067000000002</v>
      </c>
      <c r="BB54" t="s">
        <v>44</v>
      </c>
      <c r="BC54">
        <v>20</v>
      </c>
    </row>
    <row r="55" spans="11:59" x14ac:dyDescent="0.25">
      <c r="L55">
        <f>'SFU-HW_RA'!D16</f>
        <v>128.34639179999999</v>
      </c>
      <c r="M55">
        <f>'SFU-HW_RA'!E16</f>
        <v>61.539408999999999</v>
      </c>
      <c r="N55" t="e" cm="1">
        <f t="array" ref="N55">pareto($L$55:$L$78,$M$55:$M$78,1,"rate",Summary!#REF!,$M$54,$O$54)</f>
        <v>#VALUE!</v>
      </c>
      <c r="O55" t="e" cm="1">
        <f t="array" ref="O55">pareto($L$55:$L$78,$M$55:$M$78,1,"dist",Summary!#REF!,$M$54,$O$54)</f>
        <v>#VALUE!</v>
      </c>
      <c r="P55">
        <f>'SFU-HW_RA'!M16</f>
        <v>128.34639175257701</v>
      </c>
      <c r="Q55">
        <f>'SFU-HW_RA'!N16</f>
        <v>61.539408999999999</v>
      </c>
      <c r="R55" t="e" cm="1">
        <f t="array" ref="R55">pareto($P$55:$P$78,$Q$55:$Q$78,1,"rate",Summary!#REF!,$M$54,$O$54)</f>
        <v>#VALUE!</v>
      </c>
      <c r="S55" t="e" cm="1">
        <f t="array" ref="S55">pareto($P$55:$P$78,$Q$55:$Q$78,1,"dist",Summary!#REF!,$M$54,$O$54)</f>
        <v>#VALUE!</v>
      </c>
      <c r="V55">
        <f>'SFU-HW_RA'!D46</f>
        <v>421.66597940000003</v>
      </c>
      <c r="W55">
        <f>'SFU-HW_RA'!E46</f>
        <v>65.719301000000002</v>
      </c>
      <c r="X55" t="e" cm="1">
        <f t="array" ref="X55">pareto($V$55:$V$78,$W$55:$W$78,1,"rate",Summary!#REF!,$W$54,$Y$54)</f>
        <v>#VALUE!</v>
      </c>
      <c r="Y55" t="e" cm="1">
        <f t="array" ref="Y55">pareto($V$55:$V$78,$W$55:$W$78,1,"dist",Summary!#REF!,$W$54,$Y$54)</f>
        <v>#VALUE!</v>
      </c>
      <c r="Z55">
        <f>'SFU-HW_RA'!M46</f>
        <v>421.66597938144298</v>
      </c>
      <c r="AA55">
        <f>'SFU-HW_RA'!N46</f>
        <v>65.719301000000002</v>
      </c>
      <c r="AB55" t="e" cm="1">
        <f t="array" ref="AB55">pareto($Z$55:$Z$78,$AA$55:$AA$78,1,"rate",Summary!#REF!,$W$54,$Y$54)</f>
        <v>#VALUE!</v>
      </c>
      <c r="AC55" t="e" cm="1">
        <f t="array" ref="AC55">pareto($Z$55:$Z$78,$AA$55:$AA$78,1,"dist",Summary!#REF!,$W$54,$Y$54)</f>
        <v>#VALUE!</v>
      </c>
      <c r="AF55">
        <f>'SFU-HW_RA'!D70</f>
        <v>373.75257729999998</v>
      </c>
      <c r="AG55">
        <f>'SFU-HW_RA'!E70</f>
        <v>67.940392000000003</v>
      </c>
      <c r="AH55" t="e" cm="1">
        <f t="array" ref="AH55">pareto($AF$55:$AF$78,$AG$55:$AG$78,1,"rate",Summary!#REF!,$AG$54,$AI$54)</f>
        <v>#VALUE!</v>
      </c>
      <c r="AI55" t="e" cm="1">
        <f t="array" ref="AI55">pareto($AF$55:$AF$78,$AG$55:$AG$78,1,"dist",Summary!#REF!,$AG$54,$AI$54)</f>
        <v>#VALUE!</v>
      </c>
      <c r="AJ55">
        <f>'SFU-HW_RA'!M70</f>
        <v>373.75257731958698</v>
      </c>
      <c r="AK55">
        <f>'SFU-HW_RA'!N70</f>
        <v>67.940392000000003</v>
      </c>
      <c r="AL55" t="e" cm="1">
        <f t="array" ref="AL55">pareto($AJ$55:$AJ$78,$AK$55:$AK$78,1,"rate",Summary!#REF!,$AG$54,$AI$54)</f>
        <v>#VALUE!</v>
      </c>
      <c r="AM55" t="e" cm="1">
        <f t="array" ref="AM55">pareto($AJ$55:$AJ$78,$AK$55:$AK$78,1,"dist",Summary!#REF!,$AG$54,$AI$54)</f>
        <v>#VALUE!</v>
      </c>
      <c r="AP55" t="e">
        <f>'SFU-HW_RA'!#REF!</f>
        <v>#REF!</v>
      </c>
      <c r="AQ55" t="e">
        <f>'SFU-HW_RA'!#REF!</f>
        <v>#REF!</v>
      </c>
      <c r="AR55" t="e" cm="1">
        <f t="array" ref="AR55">pareto($AP$55:$AP$78,$AQ$55:$AQ$78,1,"rate",Summary!#REF!,$AQ$54,$AS$54)</f>
        <v>#VALUE!</v>
      </c>
      <c r="AS55" t="e" cm="1">
        <f t="array" ref="AS55">pareto($AP$55:$AP$78,$AQ$55:$AQ$78,1,"dist",Summary!#REF!,$AQ$54,$AS$54)</f>
        <v>#VALUE!</v>
      </c>
      <c r="AT55" t="e">
        <f>'SFU-HW_RA'!#REF!</f>
        <v>#REF!</v>
      </c>
      <c r="AU55" t="e">
        <f>'SFU-HW_RA'!#REF!</f>
        <v>#REF!</v>
      </c>
      <c r="AV55" t="e" cm="1">
        <f t="array" ref="AV55">pareto($AT$55:$AT$78,$AU$55:$AU$78,1,"rate",Summary!#REF!,$AQ$54,$AS$54)</f>
        <v>#VALUE!</v>
      </c>
      <c r="AW55" t="e" cm="1">
        <f t="array" ref="AW55">pareto($AT$55:$AT$78,$AU$55:$AU$78,1,"dist",Summary!#REF!,$AQ$54,$AS$54)</f>
        <v>#VALUE!</v>
      </c>
      <c r="AZ55" t="e">
        <f>#REF!</f>
        <v>#REF!</v>
      </c>
      <c r="BA55" t="e">
        <f>#REF!</f>
        <v>#REF!</v>
      </c>
      <c r="BB55" t="e" cm="1">
        <f t="array" ref="BB55">pareto($AZ$55:$AZ$78,$BA$55:$BA$78,1,"rate",Summary!#REF!,$BA$54,$BC$54)</f>
        <v>#VALUE!</v>
      </c>
      <c r="BC55" t="e" cm="1">
        <f t="array" ref="BC55">pareto($AZ$55:$AZ$78,$BA$55:$BA$78,1,"dist",Summary!#REF!,$BA$54,$BC$54)</f>
        <v>#VALUE!</v>
      </c>
      <c r="BD55" s="36" t="e">
        <f>#REF!</f>
        <v>#REF!</v>
      </c>
      <c r="BE55" s="36" t="e">
        <f>#REF!</f>
        <v>#REF!</v>
      </c>
      <c r="BF55" t="e" cm="1">
        <f t="array" ref="BF55">pareto($BD$55:$BD$78,$BE$55:$BE$78,1,"rate",Summary!#REF!,$BA$54,$BC$54)</f>
        <v>#VALUE!</v>
      </c>
      <c r="BG55" t="e" cm="1">
        <f t="array" ref="BG55">pareto($BD$55:$BD$78,$BE$55:$BE$78,1,"dist",Summary!#REF!,$BA$54,$BC$54)</f>
        <v>#VALUE!</v>
      </c>
    </row>
    <row r="56" spans="11:59" x14ac:dyDescent="0.25">
      <c r="L56">
        <f>'SFU-HW_RA'!D17</f>
        <v>97.311340209999997</v>
      </c>
      <c r="M56">
        <f>'SFU-HW_RA'!E17</f>
        <v>55.852423000000002</v>
      </c>
      <c r="N56" t="e" cm="1">
        <f t="array" ref="N56">pareto($L$55:$L$78,$M$55:$M$78,2,"rate",Summary!#REF!,$M$54,$O$54)</f>
        <v>#VALUE!</v>
      </c>
      <c r="O56" t="e" cm="1">
        <f t="array" ref="O56">pareto($L$55:$L$78,$M$55:$M$78,2,"dist",Summary!#REF!,$M$54,$O$54)</f>
        <v>#VALUE!</v>
      </c>
      <c r="P56">
        <f>'SFU-HW_RA'!M17</f>
        <v>97.311340206185506</v>
      </c>
      <c r="Q56">
        <f>'SFU-HW_RA'!N17</f>
        <v>55.852423000000002</v>
      </c>
      <c r="R56" t="e" cm="1">
        <f t="array" ref="R56">pareto($P$55:$P$78,$Q$55:$Q$78,2,"rate",Summary!#REF!,$M$54,$O$54)</f>
        <v>#VALUE!</v>
      </c>
      <c r="S56" t="e" cm="1">
        <f t="array" ref="S56">pareto($P$55:$P$78,$Q$55:$Q$78,2,"dist",Summary!#REF!,$M$54,$O$54)</f>
        <v>#VALUE!</v>
      </c>
      <c r="V56">
        <f>'SFU-HW_RA'!D47</f>
        <v>278.51958760000002</v>
      </c>
      <c r="W56">
        <f>'SFU-HW_RA'!E47</f>
        <v>62.50235</v>
      </c>
      <c r="X56" t="e" cm="1">
        <f t="array" ref="X56">pareto($V$55:$V$78,$W$55:$W$78,2,"rate",Summary!#REF!,$W$54,$Y$54)</f>
        <v>#VALUE!</v>
      </c>
      <c r="Y56" t="e" cm="1">
        <f t="array" ref="Y56">pareto($V$55:$V$78,$W$55:$W$78,2,"dist",Summary!#REF!,$W$54,$Y$54)</f>
        <v>#VALUE!</v>
      </c>
      <c r="Z56">
        <f>'SFU-HW_RA'!M47</f>
        <v>278.519587628865</v>
      </c>
      <c r="AA56">
        <f>'SFU-HW_RA'!N47</f>
        <v>62.50235</v>
      </c>
      <c r="AB56" t="e" cm="1">
        <f t="array" ref="AB56">pareto($Z$55:$Z$78,$AA$55:$AA$78,2,"rate",Summary!#REF!,$W$54,$Y$54)</f>
        <v>#VALUE!</v>
      </c>
      <c r="AC56" t="e" cm="1">
        <f t="array" ref="AC56">pareto($Z$55:$Z$78,$AA$55:$AA$78,2,"dist",Summary!#REF!,$W$54,$Y$54)</f>
        <v>#VALUE!</v>
      </c>
      <c r="AF56">
        <f>'SFU-HW_RA'!D71</f>
        <v>208.34226799999999</v>
      </c>
      <c r="AG56">
        <f>'SFU-HW_RA'!E71</f>
        <v>63.455646000000002</v>
      </c>
      <c r="AH56" t="e" cm="1">
        <f t="array" ref="AH56">pareto($AF$55:$AF$78,$AG$55:$AG$78,2,"rate",Summary!#REF!,$AG$54,$AI$54)</f>
        <v>#VALUE!</v>
      </c>
      <c r="AI56" t="e" cm="1">
        <f t="array" ref="AI56">pareto($AF$55:$AF$78,$AG$55:$AG$78,2,"dist",Summary!#REF!,$AG$54,$AI$54)</f>
        <v>#VALUE!</v>
      </c>
      <c r="AJ56">
        <f>'SFU-HW_RA'!M71</f>
        <v>208.34226804123699</v>
      </c>
      <c r="AK56">
        <f>'SFU-HW_RA'!N71</f>
        <v>63.455646000000002</v>
      </c>
      <c r="AL56" t="e" cm="1">
        <f t="array" ref="AL56">pareto($AJ$55:$AJ$78,$AK$55:$AK$78,2,"rate",Summary!#REF!,$AG$54,$AI$54)</f>
        <v>#VALUE!</v>
      </c>
      <c r="AM56" t="e" cm="1">
        <f t="array" ref="AM56">pareto($AJ$55:$AJ$78,$AK$55:$AK$78,2,"dist",Summary!#REF!,$AG$54,$AI$54)</f>
        <v>#VALUE!</v>
      </c>
      <c r="AP56" t="e">
        <f>'SFU-HW_RA'!#REF!</f>
        <v>#REF!</v>
      </c>
      <c r="AQ56" t="e">
        <f>'SFU-HW_RA'!#REF!</f>
        <v>#REF!</v>
      </c>
      <c r="AR56" t="e" cm="1">
        <f t="array" ref="AR56">pareto($AP$55:$AP$78,$AQ$55:$AQ$78,2,"rate",Summary!#REF!,$AQ$54,$AS$54)</f>
        <v>#VALUE!</v>
      </c>
      <c r="AS56" t="e" cm="1">
        <f t="array" ref="AS56">pareto($AP$55:$AP$78,$AQ$55:$AQ$78,2,"dist",Summary!#REF!,$AQ$54,$AS$54)</f>
        <v>#VALUE!</v>
      </c>
      <c r="AT56" t="e">
        <f>'SFU-HW_RA'!#REF!</f>
        <v>#REF!</v>
      </c>
      <c r="AU56" t="e">
        <f>'SFU-HW_RA'!#REF!</f>
        <v>#REF!</v>
      </c>
      <c r="AV56" t="e" cm="1">
        <f t="array" ref="AV56">pareto($AT$55:$AT$78,$AU$55:$AU$78,2,"rate",Summary!#REF!,$AQ$54,$AS$54)</f>
        <v>#VALUE!</v>
      </c>
      <c r="AW56" t="e" cm="1">
        <f t="array" ref="AW56">pareto($AT$55:$AT$78,$AU$55:$AU$78,2,"dist",Summary!#REF!,$AQ$54,$AS$54)</f>
        <v>#VALUE!</v>
      </c>
      <c r="AZ56" t="e">
        <f>#REF!</f>
        <v>#REF!</v>
      </c>
      <c r="BA56" t="e">
        <f>#REF!</f>
        <v>#REF!</v>
      </c>
      <c r="BB56" t="e" cm="1">
        <f t="array" ref="BB56">pareto($AZ$55:$AZ$78,$BA$55:$BA$78,2,"rate",Summary!#REF!,$BA$54,$BC$54)</f>
        <v>#VALUE!</v>
      </c>
      <c r="BC56" t="e" cm="1">
        <f t="array" ref="BC56">pareto($AZ$55:$AZ$78,$BA$55:$BA$78,2,"dist",Summary!#REF!,$BA$54,$BC$54)</f>
        <v>#VALUE!</v>
      </c>
      <c r="BD56" s="36" t="e">
        <f>#REF!</f>
        <v>#REF!</v>
      </c>
      <c r="BE56" s="36" t="e">
        <f>#REF!</f>
        <v>#REF!</v>
      </c>
      <c r="BF56" t="e" cm="1">
        <f t="array" ref="BF56">pareto($BD$55:$BD$78,$BE$55:$BE$78,2,"rate",Summary!#REF!,$BA$54,$BC$54)</f>
        <v>#VALUE!</v>
      </c>
      <c r="BG56" t="e" cm="1">
        <f t="array" ref="BG56">pareto($BD$55:$BD$78,$BE$55:$BE$78,2,"dist",Summary!#REF!,$BA$54,$BC$54)</f>
        <v>#VALUE!</v>
      </c>
    </row>
    <row r="57" spans="11:59" x14ac:dyDescent="0.25">
      <c r="L57">
        <f>'SFU-HW_RA'!D18</f>
        <v>54.729896910000001</v>
      </c>
      <c r="M57">
        <f>'SFU-HW_RA'!E18</f>
        <v>45.228166000000002</v>
      </c>
      <c r="N57" t="e" cm="1">
        <f t="array" ref="N57">pareto($L$55:$L$78,$M$55:$M$78,3,"rate",Summary!#REF!,$M$54,$O$54)</f>
        <v>#VALUE!</v>
      </c>
      <c r="O57" t="e" cm="1">
        <f t="array" ref="O57">pareto($L$55:$L$78,$M$55:$M$78,3,"dist",Summary!#REF!,$M$54,$O$54)</f>
        <v>#VALUE!</v>
      </c>
      <c r="P57">
        <f>'SFU-HW_RA'!M18</f>
        <v>54.729896907216499</v>
      </c>
      <c r="Q57">
        <f>'SFU-HW_RA'!N18</f>
        <v>45.228166000000002</v>
      </c>
      <c r="R57" t="e" cm="1">
        <f t="array" ref="R57">pareto($P$55:$P$78,$Q$55:$Q$78,3,"rate",Summary!#REF!,$M$54,$O$54)</f>
        <v>#VALUE!</v>
      </c>
      <c r="S57" t="e" cm="1">
        <f t="array" ref="S57">pareto($P$55:$P$78,$Q$55:$Q$78,3,"dist",Summary!#REF!,$M$54,$O$54)</f>
        <v>#VALUE!</v>
      </c>
      <c r="V57">
        <f>'SFU-HW_RA'!D48</f>
        <v>139.11752580000001</v>
      </c>
      <c r="W57">
        <f>'SFU-HW_RA'!E48</f>
        <v>51.439256</v>
      </c>
      <c r="X57" t="e" cm="1">
        <f t="array" ref="X57">pareto($V$55:$V$78,$W$55:$W$78,3,"rate",Summary!#REF!,$W$54,$Y$54)</f>
        <v>#VALUE!</v>
      </c>
      <c r="Y57" t="e" cm="1">
        <f t="array" ref="Y57">pareto($V$55:$V$78,$W$55:$W$78,3,"dist",Summary!#REF!,$W$54,$Y$54)</f>
        <v>#VALUE!</v>
      </c>
      <c r="Z57">
        <f>'SFU-HW_RA'!M48</f>
        <v>139.11752577319501</v>
      </c>
      <c r="AA57">
        <f>'SFU-HW_RA'!N48</f>
        <v>51.439256</v>
      </c>
      <c r="AB57" t="e" cm="1">
        <f t="array" ref="AB57">pareto($Z$55:$Z$78,$AA$55:$AA$78,3,"rate",Summary!#REF!,$W$54,$Y$54)</f>
        <v>#VALUE!</v>
      </c>
      <c r="AC57" t="e" cm="1">
        <f t="array" ref="AC57">pareto($Z$55:$Z$78,$AA$55:$AA$78,3,"dist",Summary!#REF!,$W$54,$Y$54)</f>
        <v>#VALUE!</v>
      </c>
      <c r="AF57">
        <f>'SFU-HW_RA'!D72</f>
        <v>136.985567</v>
      </c>
      <c r="AG57">
        <f>'SFU-HW_RA'!E72</f>
        <v>53.532552000000003</v>
      </c>
      <c r="AH57" t="e" cm="1">
        <f t="array" ref="AH57">pareto($AF$55:$AF$78,$AG$55:$AG$78,3,"rate",Summary!#REF!,$AG$54,$AI$54)</f>
        <v>#VALUE!</v>
      </c>
      <c r="AI57" t="e" cm="1">
        <f t="array" ref="AI57">pareto($AF$55:$AF$78,$AG$55:$AG$78,3,"dist",Summary!#REF!,$AG$54,$AI$54)</f>
        <v>#VALUE!</v>
      </c>
      <c r="AJ57">
        <f>'SFU-HW_RA'!M72</f>
        <v>136.98556701030901</v>
      </c>
      <c r="AK57">
        <f>'SFU-HW_RA'!N72</f>
        <v>53.532552000000003</v>
      </c>
      <c r="AL57" t="e" cm="1">
        <f t="array" ref="AL57">pareto($AJ$55:$AJ$78,$AK$55:$AK$78,3,"rate",Summary!#REF!,$AG$54,$AI$54)</f>
        <v>#VALUE!</v>
      </c>
      <c r="AM57" t="e" cm="1">
        <f t="array" ref="AM57">pareto($AJ$55:$AJ$78,$AK$55:$AK$78,3,"dist",Summary!#REF!,$AG$54,$AI$54)</f>
        <v>#VALUE!</v>
      </c>
      <c r="AP57" t="e">
        <f>'SFU-HW_RA'!#REF!</f>
        <v>#REF!</v>
      </c>
      <c r="AQ57" t="e">
        <f>'SFU-HW_RA'!#REF!</f>
        <v>#REF!</v>
      </c>
      <c r="AR57" t="e" cm="1">
        <f t="array" ref="AR57">pareto($AP$55:$AP$78,$AQ$55:$AQ$78,3,"rate",Summary!#REF!,$AQ$54,$AS$54)</f>
        <v>#VALUE!</v>
      </c>
      <c r="AS57" t="e" cm="1">
        <f t="array" ref="AS57">pareto($AP$55:$AP$78,$AQ$55:$AQ$78,3,"dist",Summary!#REF!,$AQ$54,$AS$54)</f>
        <v>#VALUE!</v>
      </c>
      <c r="AT57" t="e">
        <f>'SFU-HW_RA'!#REF!</f>
        <v>#REF!</v>
      </c>
      <c r="AU57" t="e">
        <f>'SFU-HW_RA'!#REF!</f>
        <v>#REF!</v>
      </c>
      <c r="AV57" t="e" cm="1">
        <f t="array" ref="AV57">pareto($AT$55:$AT$78,$AU$55:$AU$78,3,"rate",Summary!#REF!,$AQ$54,$AS$54)</f>
        <v>#VALUE!</v>
      </c>
      <c r="AW57" t="e" cm="1">
        <f t="array" ref="AW57">pareto($AT$55:$AT$78,$AU$55:$AU$78,3,"dist",Summary!#REF!,$AQ$54,$AS$54)</f>
        <v>#VALUE!</v>
      </c>
      <c r="AZ57" t="e">
        <f>#REF!</f>
        <v>#REF!</v>
      </c>
      <c r="BA57" t="e">
        <f>#REF!</f>
        <v>#REF!</v>
      </c>
      <c r="BB57" t="e" cm="1">
        <f t="array" ref="BB57">pareto($AZ$55:$AZ$78,$BA$55:$BA$78,3,"rate",Summary!#REF!,$BA$54,$BC$54)</f>
        <v>#VALUE!</v>
      </c>
      <c r="BC57" t="e" cm="1">
        <f t="array" ref="BC57">pareto($AZ$55:$AZ$78,$BA$55:$BA$78,3,"dist",Summary!#REF!,$BA$54,$BC$54)</f>
        <v>#VALUE!</v>
      </c>
      <c r="BD57" s="36" t="e">
        <f>#REF!</f>
        <v>#REF!</v>
      </c>
      <c r="BE57" s="36" t="e">
        <f>#REF!</f>
        <v>#REF!</v>
      </c>
      <c r="BF57" t="e" cm="1">
        <f t="array" ref="BF57">pareto($BD$55:$BD$78,$BE$55:$BE$78,3,"rate",Summary!#REF!,$BA$54,$BC$54)</f>
        <v>#VALUE!</v>
      </c>
      <c r="BG57" t="e" cm="1">
        <f t="array" ref="BG57">pareto($BD$55:$BD$78,$BE$55:$BE$78,3,"dist",Summary!#REF!,$BA$54,$BC$54)</f>
        <v>#VALUE!</v>
      </c>
    </row>
    <row r="58" spans="11:59" x14ac:dyDescent="0.25">
      <c r="L58">
        <f>'SFU-HW_RA'!D19</f>
        <v>40.647422679999998</v>
      </c>
      <c r="M58">
        <f>'SFU-HW_RA'!E19</f>
        <v>13.210371</v>
      </c>
      <c r="N58" t="e" cm="1">
        <f t="array" ref="N58">pareto($L$55:$L$78,$M$55:$M$78,4,"rate",Summary!#REF!,$M$54,$O$54)</f>
        <v>#VALUE!</v>
      </c>
      <c r="O58" t="e" cm="1">
        <f t="array" ref="O58">pareto($L$55:$L$78,$M$55:$M$78,4,"dist",Summary!#REF!,$M$54,$O$54)</f>
        <v>#VALUE!</v>
      </c>
      <c r="P58">
        <f>'SFU-HW_RA'!M19</f>
        <v>40.647422680412298</v>
      </c>
      <c r="Q58">
        <f>'SFU-HW_RA'!N19</f>
        <v>13.210371</v>
      </c>
      <c r="R58" t="e" cm="1">
        <f t="array" ref="R58">pareto($P$55:$P$78,$Q$55:$Q$78,4,"rate",Summary!#REF!,$M$54,$O$54)</f>
        <v>#VALUE!</v>
      </c>
      <c r="S58" t="e" cm="1">
        <f t="array" ref="S58">pareto($P$55:$P$78,$Q$55:$Q$78,4,"dist",Summary!#REF!,$M$54,$O$54)</f>
        <v>#VALUE!</v>
      </c>
      <c r="V58">
        <f>'SFU-HW_RA'!D49</f>
        <v>76.57319588</v>
      </c>
      <c r="W58">
        <f>'SFU-HW_RA'!E49</f>
        <v>49.519672</v>
      </c>
      <c r="X58" t="e" cm="1">
        <f t="array" ref="X58">pareto($V$55:$V$78,$W$55:$W$78,4,"rate",Summary!#REF!,$W$54,$Y$54)</f>
        <v>#VALUE!</v>
      </c>
      <c r="Y58" t="e" cm="1">
        <f t="array" ref="Y58">pareto($V$55:$V$78,$W$55:$W$78,4,"dist",Summary!#REF!,$W$54,$Y$54)</f>
        <v>#VALUE!</v>
      </c>
      <c r="Z58">
        <f>'SFU-HW_RA'!M49</f>
        <v>76.573195876288594</v>
      </c>
      <c r="AA58">
        <f>'SFU-HW_RA'!N49</f>
        <v>49.519672</v>
      </c>
      <c r="AB58" t="e" cm="1">
        <f t="array" ref="AB58">pareto($Z$55:$Z$78,$AA$55:$AA$78,4,"rate",Summary!#REF!,$W$54,$Y$54)</f>
        <v>#VALUE!</v>
      </c>
      <c r="AC58" t="e" cm="1">
        <f t="array" ref="AC58">pareto($Z$55:$Z$78,$AA$55:$AA$78,4,"dist",Summary!#REF!,$W$54,$Y$54)</f>
        <v>#VALUE!</v>
      </c>
      <c r="AF58">
        <f>'SFU-HW_RA'!D73</f>
        <v>89.352577319999995</v>
      </c>
      <c r="AG58">
        <f>'SFU-HW_RA'!E73</f>
        <v>41.255105999999998</v>
      </c>
      <c r="AH58" t="e" cm="1">
        <f t="array" ref="AH58">pareto($AF$55:$AF$78,$AG$55:$AG$78,4,"rate",Summary!#REF!,$AG$54,$AI$54)</f>
        <v>#VALUE!</v>
      </c>
      <c r="AI58" t="e" cm="1">
        <f t="array" ref="AI58">pareto($AF$55:$AF$78,$AG$55:$AG$78,4,"dist",Summary!#REF!,$AG$54,$AI$54)</f>
        <v>#VALUE!</v>
      </c>
      <c r="AJ58">
        <f>'SFU-HW_RA'!M73</f>
        <v>89.352577319587596</v>
      </c>
      <c r="AK58">
        <f>'SFU-HW_RA'!N73</f>
        <v>41.255105999999998</v>
      </c>
      <c r="AL58" t="e" cm="1">
        <f t="array" ref="AL58">pareto($AJ$55:$AJ$78,$AK$55:$AK$78,4,"rate",Summary!#REF!,$AG$54,$AI$54)</f>
        <v>#VALUE!</v>
      </c>
      <c r="AM58" t="e" cm="1">
        <f t="array" ref="AM58">pareto($AJ$55:$AJ$78,$AK$55:$AK$78,4,"dist",Summary!#REF!,$AG$54,$AI$54)</f>
        <v>#VALUE!</v>
      </c>
      <c r="AP58" t="e">
        <f>'SFU-HW_RA'!#REF!</f>
        <v>#REF!</v>
      </c>
      <c r="AQ58" t="e">
        <f>'SFU-HW_RA'!#REF!</f>
        <v>#REF!</v>
      </c>
      <c r="AR58" t="e" cm="1">
        <f t="array" ref="AR58">pareto($AP$55:$AP$78,$AQ$55:$AQ$78,4,"rate",Summary!#REF!,$AQ$54,$AS$54)</f>
        <v>#VALUE!</v>
      </c>
      <c r="AS58" t="e" cm="1">
        <f t="array" ref="AS58">pareto($AP$55:$AP$78,$AQ$55:$AQ$78,4,"dist",Summary!#REF!,$AQ$54,$AS$54)</f>
        <v>#VALUE!</v>
      </c>
      <c r="AT58" t="e">
        <f>'SFU-HW_RA'!#REF!</f>
        <v>#REF!</v>
      </c>
      <c r="AU58" t="e">
        <f>'SFU-HW_RA'!#REF!</f>
        <v>#REF!</v>
      </c>
      <c r="AV58" t="e" cm="1">
        <f t="array" ref="AV58">pareto($AT$55:$AT$78,$AU$55:$AU$78,4,"rate",Summary!#REF!,$AQ$54,$AS$54)</f>
        <v>#VALUE!</v>
      </c>
      <c r="AW58" t="e" cm="1">
        <f t="array" ref="AW58">pareto($AT$55:$AT$78,$AU$55:$AU$78,4,"dist",Summary!#REF!,$AQ$54,$AS$54)</f>
        <v>#VALUE!</v>
      </c>
      <c r="AZ58" t="e">
        <f>#REF!</f>
        <v>#REF!</v>
      </c>
      <c r="BA58" t="e">
        <f>#REF!</f>
        <v>#REF!</v>
      </c>
      <c r="BB58" t="e" cm="1">
        <f t="array" ref="BB58">pareto($AZ$55:$AZ$78,$BA$55:$BA$78,4,"rate",Summary!#REF!,$BA$54,$BC$54)</f>
        <v>#VALUE!</v>
      </c>
      <c r="BC58" t="e" cm="1">
        <f t="array" ref="BC58">pareto($AZ$55:$AZ$78,$BA$55:$BA$78,4,"dist",Summary!#REF!,$BA$54,$BC$54)</f>
        <v>#VALUE!</v>
      </c>
      <c r="BD58" s="36" t="e">
        <f>#REF!</f>
        <v>#REF!</v>
      </c>
      <c r="BE58" s="36" t="e">
        <f>#REF!</f>
        <v>#REF!</v>
      </c>
      <c r="BF58" t="e" cm="1">
        <f t="array" ref="BF58">pareto($BD$55:$BD$78,$BE$55:$BE$78,4,"rate",Summary!#REF!,$BA$54,$BC$54)</f>
        <v>#VALUE!</v>
      </c>
      <c r="BG58" t="e" cm="1">
        <f t="array" ref="BG58">pareto($BD$55:$BD$78,$BE$55:$BE$78,4,"dist",Summary!#REF!,$BA$54,$BC$54)</f>
        <v>#VALUE!</v>
      </c>
    </row>
    <row r="59" spans="11:59" x14ac:dyDescent="0.25">
      <c r="L59">
        <f>'SFU-HW_RA'!D20</f>
        <v>36.127835050000002</v>
      </c>
      <c r="M59">
        <f>'SFU-HW_RA'!E20</f>
        <v>2.162763</v>
      </c>
      <c r="N59" t="e" cm="1">
        <f t="array" ref="N59">pareto($L$55:$L$78,$M$55:$M$78,5,"rate",Summary!#REF!,$M$54,$O$54)</f>
        <v>#VALUE!</v>
      </c>
      <c r="O59" t="e" cm="1">
        <f t="array" ref="O59">pareto($L$55:$L$78,$M$55:$M$78,5,"dist",Summary!#REF!,$M$54,$O$54)</f>
        <v>#VALUE!</v>
      </c>
      <c r="P59">
        <f>'SFU-HW_RA'!M20</f>
        <v>36.127835051546299</v>
      </c>
      <c r="Q59">
        <f>'SFU-HW_RA'!N20</f>
        <v>2.162763</v>
      </c>
      <c r="R59" t="e" cm="1">
        <f t="array" ref="R59">pareto($P$55:$P$78,$Q$55:$Q$78,5,"rate",Summary!#REF!,$M$54,$O$54)</f>
        <v>#VALUE!</v>
      </c>
      <c r="S59" t="e" cm="1">
        <f t="array" ref="S59">pareto($P$55:$P$78,$Q$55:$Q$78,5,"dist",Summary!#REF!,$M$54,$O$54)</f>
        <v>#VALUE!</v>
      </c>
      <c r="V59">
        <f>'SFU-HW_RA'!D50</f>
        <v>40.680412369999999</v>
      </c>
      <c r="W59">
        <f>'SFU-HW_RA'!E50</f>
        <v>20.619069</v>
      </c>
      <c r="X59" t="e" cm="1">
        <f t="array" ref="X59">pareto($V$55:$V$78,$W$55:$W$78,5,"rate",Summary!#REF!,$W$54,$Y$54)</f>
        <v>#VALUE!</v>
      </c>
      <c r="Y59" t="e" cm="1">
        <f t="array" ref="Y59">pareto($V$55:$V$78,$W$55:$W$78,5,"dist",Summary!#REF!,$W$54,$Y$54)</f>
        <v>#VALUE!</v>
      </c>
      <c r="Z59">
        <f>'SFU-HW_RA'!M50</f>
        <v>40.680412371133997</v>
      </c>
      <c r="AA59">
        <f>'SFU-HW_RA'!N50</f>
        <v>20.619069</v>
      </c>
      <c r="AB59" t="e" cm="1">
        <f t="array" ref="AB59">pareto($Z$55:$Z$78,$AA$55:$AA$78,5,"rate",Summary!#REF!,$W$54,$Y$54)</f>
        <v>#VALUE!</v>
      </c>
      <c r="AC59" t="e" cm="1">
        <f t="array" ref="AC59">pareto($Z$55:$Z$78,$AA$55:$AA$78,5,"dist",Summary!#REF!,$W$54,$Y$54)</f>
        <v>#VALUE!</v>
      </c>
      <c r="AF59">
        <f>'SFU-HW_RA'!D74</f>
        <v>55.962886599999997</v>
      </c>
      <c r="AG59">
        <f>'SFU-HW_RA'!E74</f>
        <v>28.185815000000002</v>
      </c>
      <c r="AH59" t="e" cm="1">
        <f t="array" ref="AH59">pareto($AF$55:$AF$78,$AG$55:$AG$78,5,"rate",Summary!#REF!,$AG$54,$AI$54)</f>
        <v>#VALUE!</v>
      </c>
      <c r="AI59" t="e" cm="1">
        <f t="array" ref="AI59">pareto($AF$55:$AF$78,$AG$55:$AG$78,5,"dist",Summary!#REF!,$AG$54,$AI$54)</f>
        <v>#VALUE!</v>
      </c>
      <c r="AJ59">
        <f>'SFU-HW_RA'!M74</f>
        <v>55.962886597938102</v>
      </c>
      <c r="AK59">
        <f>'SFU-HW_RA'!N74</f>
        <v>28.185815000000002</v>
      </c>
      <c r="AL59" t="e" cm="1">
        <f t="array" ref="AL59">pareto($AJ$55:$AJ$78,$AK$55:$AK$78,5,"rate",Summary!#REF!,$AG$54,$AI$54)</f>
        <v>#VALUE!</v>
      </c>
      <c r="AM59" t="e" cm="1">
        <f t="array" ref="AM59">pareto($AJ$55:$AJ$78,$AK$55:$AK$78,5,"dist",Summary!#REF!,$AG$54,$AI$54)</f>
        <v>#VALUE!</v>
      </c>
      <c r="AP59" t="e">
        <f>'SFU-HW_RA'!#REF!</f>
        <v>#REF!</v>
      </c>
      <c r="AQ59" t="e">
        <f>'SFU-HW_RA'!#REF!</f>
        <v>#REF!</v>
      </c>
      <c r="AR59" t="e" cm="1">
        <f t="array" ref="AR59">pareto($AP$55:$AP$78,$AQ$55:$AQ$78,5,"rate",Summary!#REF!,$AQ$54,$AS$54)</f>
        <v>#VALUE!</v>
      </c>
      <c r="AS59" t="e" cm="1">
        <f t="array" ref="AS59">pareto($AP$55:$AP$78,$AQ$55:$AQ$78,5,"dist",Summary!#REF!,$AQ$54,$AS$54)</f>
        <v>#VALUE!</v>
      </c>
      <c r="AT59" t="e">
        <f>'SFU-HW_RA'!#REF!</f>
        <v>#REF!</v>
      </c>
      <c r="AU59" t="e">
        <f>'SFU-HW_RA'!#REF!</f>
        <v>#REF!</v>
      </c>
      <c r="AV59" t="e" cm="1">
        <f t="array" ref="AV59">pareto($AT$55:$AT$78,$AU$55:$AU$78,5,"rate",Summary!#REF!,$AQ$54,$AS$54)</f>
        <v>#VALUE!</v>
      </c>
      <c r="AW59" t="e" cm="1">
        <f t="array" ref="AW59">pareto($AT$55:$AT$78,$AU$55:$AU$78,5,"dist",Summary!#REF!,$AQ$54,$AS$54)</f>
        <v>#VALUE!</v>
      </c>
      <c r="AZ59" t="e">
        <f>#REF!</f>
        <v>#REF!</v>
      </c>
      <c r="BA59" t="e">
        <f>#REF!</f>
        <v>#REF!</v>
      </c>
      <c r="BB59" t="e" cm="1">
        <f t="array" ref="BB59">pareto($AZ$55:$AZ$78,$BA$55:$BA$78,5,"rate",Summary!#REF!,$BA$54,$BC$54)</f>
        <v>#VALUE!</v>
      </c>
      <c r="BC59" t="e" cm="1">
        <f t="array" ref="BC59">pareto($AZ$55:$AZ$78,$BA$55:$BA$78,5,"dist",Summary!#REF!,$BA$54,$BC$54)</f>
        <v>#VALUE!</v>
      </c>
      <c r="BD59" s="36" t="e">
        <f>#REF!</f>
        <v>#REF!</v>
      </c>
      <c r="BE59" s="36" t="e">
        <f>#REF!</f>
        <v>#REF!</v>
      </c>
      <c r="BF59" t="e" cm="1">
        <f t="array" ref="BF59">pareto($BD$55:$BD$78,$BE$55:$BE$78,5,"rate",Summary!#REF!,$BA$54,$BC$54)</f>
        <v>#VALUE!</v>
      </c>
      <c r="BG59" t="e" cm="1">
        <f t="array" ref="BG59">pareto($BD$55:$BD$78,$BE$55:$BE$78,5,"dist",Summary!#REF!,$BA$54,$BC$54)</f>
        <v>#VALUE!</v>
      </c>
    </row>
    <row r="60" spans="11:59" x14ac:dyDescent="0.25">
      <c r="L60">
        <f>'SFU-HW_RA'!D21</f>
        <v>32.127835050000002</v>
      </c>
      <c r="M60">
        <f>'SFU-HW_RA'!E21</f>
        <v>4.6028460000000004</v>
      </c>
      <c r="N60" t="e" cm="1">
        <f t="array" ref="N60">pareto($L$55:$L$78,$M$55:$M$78,6,"rate",Summary!#REF!,$M$54,$O$54)</f>
        <v>#VALUE!</v>
      </c>
      <c r="O60" t="e" cm="1">
        <f t="array" ref="O60">pareto($L$55:$L$78,$M$55:$M$78,6,"dist",Summary!#REF!,$M$54,$O$54)</f>
        <v>#VALUE!</v>
      </c>
      <c r="P60">
        <f>'SFU-HW_RA'!M21</f>
        <v>32.127835051546299</v>
      </c>
      <c r="Q60">
        <f>'SFU-HW_RA'!N21</f>
        <v>4.6028460000000004</v>
      </c>
      <c r="R60" t="e" cm="1">
        <f t="array" ref="R60">pareto($P$55:$P$78,$Q$55:$Q$78,6,"rate",Summary!#REF!,$M$54,$O$54)</f>
        <v>#VALUE!</v>
      </c>
      <c r="S60" t="e" cm="1">
        <f t="array" ref="S60">pareto($P$55:$P$78,$Q$55:$Q$78,6,"dist",Summary!#REF!,$M$54,$O$54)</f>
        <v>#VALUE!</v>
      </c>
      <c r="V60">
        <f>'SFU-HW_RA'!D51</f>
        <v>17.880412369999998</v>
      </c>
      <c r="W60">
        <f>'SFU-HW_RA'!E51</f>
        <v>12.834391999999999</v>
      </c>
      <c r="X60" t="e" cm="1">
        <f t="array" ref="X60">pareto($V$55:$V$78,$W$55:$W$78,6,"rate",Summary!#REF!,$W$54,$Y$54)</f>
        <v>#VALUE!</v>
      </c>
      <c r="Y60" t="e" cm="1">
        <f t="array" ref="Y60">pareto($V$55:$V$78,$W$55:$W$78,6,"dist",Summary!#REF!,$W$54,$Y$54)</f>
        <v>#VALUE!</v>
      </c>
      <c r="Z60">
        <f>'SFU-HW_RA'!M51</f>
        <v>17.880412371134</v>
      </c>
      <c r="AA60">
        <f>'SFU-HW_RA'!N51</f>
        <v>12.834391999999999</v>
      </c>
      <c r="AB60" t="e" cm="1">
        <f t="array" ref="AB60">pareto($Z$55:$Z$78,$AA$55:$AA$78,6,"rate",Summary!#REF!,$W$54,$Y$54)</f>
        <v>#VALUE!</v>
      </c>
      <c r="AC60" t="e" cm="1">
        <f t="array" ref="AC60">pareto($Z$55:$Z$78,$AA$55:$AA$78,6,"dist",Summary!#REF!,$W$54,$Y$54)</f>
        <v>#VALUE!</v>
      </c>
      <c r="AF60">
        <f>'SFU-HW_RA'!D75</f>
        <v>34.486597940000003</v>
      </c>
      <c r="AG60">
        <f>'SFU-HW_RA'!E75</f>
        <v>28.698937000000001</v>
      </c>
      <c r="AH60" t="e" cm="1">
        <f t="array" ref="AH60">pareto($AF$55:$AF$78,$AG$55:$AG$78,6,"rate",Summary!#REF!,$AG$54,$AI$54)</f>
        <v>#VALUE!</v>
      </c>
      <c r="AI60" t="e" cm="1">
        <f t="array" ref="AI60">pareto($AF$55:$AF$78,$AG$55:$AG$78,6,"dist",Summary!#REF!,$AG$54,$AI$54)</f>
        <v>#VALUE!</v>
      </c>
      <c r="AJ60">
        <f>'SFU-HW_RA'!M75</f>
        <v>34.4865979381443</v>
      </c>
      <c r="AK60">
        <f>'SFU-HW_RA'!N75</f>
        <v>28.698937000000001</v>
      </c>
      <c r="AL60" t="e" cm="1">
        <f t="array" ref="AL60">pareto($AJ$55:$AJ$78,$AK$55:$AK$78,6,"rate",Summary!#REF!,$AG$54,$AI$54)</f>
        <v>#VALUE!</v>
      </c>
      <c r="AM60" t="e" cm="1">
        <f t="array" ref="AM60">pareto($AJ$55:$AJ$78,$AK$55:$AK$78,6,"dist",Summary!#REF!,$AG$54,$AI$54)</f>
        <v>#VALUE!</v>
      </c>
      <c r="AP60" t="e">
        <f>'SFU-HW_RA'!#REF!</f>
        <v>#REF!</v>
      </c>
      <c r="AQ60" t="e">
        <f>'SFU-HW_RA'!#REF!</f>
        <v>#REF!</v>
      </c>
      <c r="AR60" t="e" cm="1">
        <f t="array" ref="AR60">pareto($AP$55:$AP$78,$AQ$55:$AQ$78,6,"rate",Summary!#REF!,$AQ$54,$AS$54)</f>
        <v>#VALUE!</v>
      </c>
      <c r="AS60" t="e" cm="1">
        <f t="array" ref="AS60">pareto($AP$55:$AP$78,$AQ$55:$AQ$78,6,"dist",Summary!#REF!,$AQ$54,$AS$54)</f>
        <v>#VALUE!</v>
      </c>
      <c r="AT60" t="e">
        <f>'SFU-HW_RA'!#REF!</f>
        <v>#REF!</v>
      </c>
      <c r="AU60" t="e">
        <f>'SFU-HW_RA'!#REF!</f>
        <v>#REF!</v>
      </c>
      <c r="AV60" t="e" cm="1">
        <f t="array" ref="AV60">pareto($AT$55:$AT$78,$AU$55:$AU$78,6,"rate",Summary!#REF!,$AQ$54,$AS$54)</f>
        <v>#VALUE!</v>
      </c>
      <c r="AW60" t="e" cm="1">
        <f t="array" ref="AW60">pareto($AT$55:$AT$78,$AU$55:$AU$78,6,"dist",Summary!#REF!,$AQ$54,$AS$54)</f>
        <v>#VALUE!</v>
      </c>
      <c r="AZ60" t="e">
        <f>#REF!</f>
        <v>#REF!</v>
      </c>
      <c r="BA60" t="e">
        <f>#REF!</f>
        <v>#REF!</v>
      </c>
      <c r="BB60" t="e" cm="1">
        <f t="array" ref="BB60">pareto($AZ$55:$AZ$78,$BA$55:$BA$78,6,"rate",Summary!#REF!,$BA$54,$BC$54)</f>
        <v>#VALUE!</v>
      </c>
      <c r="BC60" t="e" cm="1">
        <f t="array" ref="BC60">pareto($AZ$55:$AZ$78,$BA$55:$BA$78,6,"dist",Summary!#REF!,$BA$54,$BC$54)</f>
        <v>#VALUE!</v>
      </c>
      <c r="BD60" s="36" t="e">
        <f>#REF!</f>
        <v>#REF!</v>
      </c>
      <c r="BE60" s="36" t="e">
        <f>#REF!</f>
        <v>#REF!</v>
      </c>
      <c r="BF60" t="e" cm="1">
        <f t="array" ref="BF60">pareto($BD$55:$BD$78,$BE$55:$BE$78,6,"rate",Summary!#REF!,$BA$54,$BC$54)</f>
        <v>#VALUE!</v>
      </c>
      <c r="BG60" t="e" cm="1">
        <f t="array" ref="BG60">pareto($BD$55:$BD$78,$BE$55:$BE$78,6,"dist",Summary!#REF!,$BA$54,$BC$54)</f>
        <v>#VALUE!</v>
      </c>
    </row>
    <row r="61" spans="11:59" x14ac:dyDescent="0.25">
      <c r="BD61" s="36"/>
      <c r="BE61" s="36"/>
    </row>
    <row r="62" spans="11:59" x14ac:dyDescent="0.25">
      <c r="BD62" s="36"/>
      <c r="BE62" s="36"/>
    </row>
    <row r="63" spans="11:59" x14ac:dyDescent="0.25">
      <c r="BD63" s="36"/>
      <c r="BE63" s="36"/>
    </row>
    <row r="64" spans="11:59" x14ac:dyDescent="0.25">
      <c r="BD64" s="36"/>
      <c r="BE64" s="36"/>
    </row>
    <row r="65" spans="11:59" x14ac:dyDescent="0.25">
      <c r="BD65" s="36"/>
      <c r="BE65" s="36"/>
    </row>
    <row r="66" spans="11:59" x14ac:dyDescent="0.25">
      <c r="BD66" s="36"/>
      <c r="BE66" s="36"/>
    </row>
    <row r="67" spans="11:59" x14ac:dyDescent="0.25">
      <c r="BD67" s="36"/>
      <c r="BE67" s="36"/>
    </row>
    <row r="68" spans="11:59" x14ac:dyDescent="0.25">
      <c r="BD68" s="36"/>
      <c r="BE68" s="36"/>
    </row>
    <row r="69" spans="11:59" x14ac:dyDescent="0.25">
      <c r="BD69" s="36"/>
      <c r="BE69" s="36"/>
    </row>
    <row r="70" spans="11:59" x14ac:dyDescent="0.25">
      <c r="BD70" s="36"/>
      <c r="BE70" s="36"/>
    </row>
    <row r="71" spans="11:59" x14ac:dyDescent="0.25">
      <c r="BD71" s="36"/>
      <c r="BE71" s="36"/>
    </row>
    <row r="72" spans="11:59" x14ac:dyDescent="0.25">
      <c r="BD72" s="36"/>
      <c r="BE72" s="36"/>
    </row>
    <row r="73" spans="11:59" x14ac:dyDescent="0.25">
      <c r="BD73" s="36"/>
      <c r="BE73" s="36"/>
    </row>
    <row r="74" spans="11:59" x14ac:dyDescent="0.25">
      <c r="BD74" s="36"/>
      <c r="BE74" s="36"/>
    </row>
    <row r="75" spans="11:59" x14ac:dyDescent="0.25">
      <c r="BD75" s="36"/>
      <c r="BE75" s="36"/>
    </row>
    <row r="76" spans="11:59" x14ac:dyDescent="0.25">
      <c r="BD76" s="36"/>
      <c r="BE76" s="36"/>
    </row>
    <row r="77" spans="11:59" x14ac:dyDescent="0.25">
      <c r="BD77" s="36"/>
      <c r="BE77" s="36"/>
    </row>
    <row r="78" spans="11:59" x14ac:dyDescent="0.25">
      <c r="BD78" s="36"/>
      <c r="BE78" s="36"/>
    </row>
    <row r="79" spans="11:59" x14ac:dyDescent="0.25">
      <c r="K79" t="s">
        <v>63</v>
      </c>
      <c r="L79" t="s">
        <v>40</v>
      </c>
      <c r="M79">
        <v>43.472600999999997</v>
      </c>
      <c r="N79" t="s">
        <v>44</v>
      </c>
      <c r="O79">
        <v>20</v>
      </c>
      <c r="U79" t="s">
        <v>69</v>
      </c>
      <c r="V79" t="s">
        <v>40</v>
      </c>
      <c r="W79">
        <v>51.641207000000001</v>
      </c>
      <c r="X79" t="s">
        <v>44</v>
      </c>
      <c r="Y79">
        <v>20</v>
      </c>
      <c r="AE79" t="s">
        <v>88</v>
      </c>
      <c r="AF79" t="s">
        <v>40</v>
      </c>
      <c r="AG79">
        <v>49.804110999999999</v>
      </c>
      <c r="AH79" t="s">
        <v>44</v>
      </c>
      <c r="AI79">
        <v>20</v>
      </c>
      <c r="AY79" t="s">
        <v>78</v>
      </c>
      <c r="AZ79" t="s">
        <v>40</v>
      </c>
      <c r="BA79" s="71">
        <v>29.43262</v>
      </c>
      <c r="BB79" t="s">
        <v>44</v>
      </c>
      <c r="BC79">
        <v>20</v>
      </c>
    </row>
    <row r="80" spans="11:59" x14ac:dyDescent="0.25">
      <c r="L80">
        <f>'SFU-HW_RA'!D22</f>
        <v>330.44948449999998</v>
      </c>
      <c r="M80">
        <f>'SFU-HW_RA'!E22</f>
        <v>36.857796</v>
      </c>
      <c r="N80" t="e" cm="1">
        <f t="array" ref="N80">pareto($L$80:$L$103,$M$80:$M$103,1,"rate",Summary!#REF!,$M$79,$O$79)</f>
        <v>#VALUE!</v>
      </c>
      <c r="O80" t="e" cm="1">
        <f t="array" ref="O80">pareto($L$80:$L$103,$M$80:$M$103,1,"dist",Summary!#REF!,$M$79,$O$79)</f>
        <v>#VALUE!</v>
      </c>
      <c r="P80">
        <f>'SFU-HW_RA'!M22</f>
        <v>330.44948453608202</v>
      </c>
      <c r="Q80">
        <f>'SFU-HW_RA'!N22</f>
        <v>36.857796</v>
      </c>
      <c r="R80" t="e" cm="1">
        <f t="array" ref="R80">pareto($P$80:$P$103,$Q$80:$Q$103,1,"rate",Summary!#REF!,$M$79,$O$79)</f>
        <v>#VALUE!</v>
      </c>
      <c r="S80" t="e" cm="1">
        <f t="array" ref="S80">pareto($P$80:$P$103,$Q$80:$Q$103,1,"dist",Summary!#REF!,$M$79,$O$79)</f>
        <v>#VALUE!</v>
      </c>
      <c r="V80">
        <f>'SFU-HW_RA'!D52</f>
        <v>485.06584620000001</v>
      </c>
      <c r="W80">
        <f>'SFU-HW_RA'!E52</f>
        <v>43.061196000000002</v>
      </c>
      <c r="X80" t="e" cm="1">
        <f t="array" ref="X80">pareto($V$80:$V$103,$W$80:$W$103,1,"rate",Summary!#REF!,$W$79,$Y$79)</f>
        <v>#VALUE!</v>
      </c>
      <c r="Y80" t="e" cm="1">
        <f t="array" ref="Y80">pareto($V$80:$V$103,$W$80:$W$103,1,"dist",Summary!#REF!,$W$79,$Y$79)</f>
        <v>#VALUE!</v>
      </c>
      <c r="Z80">
        <f>'SFU-HW_RA'!M52</f>
        <v>485.065846153846</v>
      </c>
      <c r="AA80">
        <f>'SFU-HW_RA'!N52</f>
        <v>42.995204000000001</v>
      </c>
      <c r="AB80" t="e" cm="1">
        <f t="array" ref="AB80">pareto($Z$80:$Z$103,$AA$80:$AA$103,1,"rate",Summary!#REF!,$W$79,$Y$79)</f>
        <v>#VALUE!</v>
      </c>
      <c r="AC80" t="e" cm="1">
        <f t="array" ref="AC80">pareto($Z$80:$Z$103,$AA$80:$AA$103,1,"dist",Summary!#REF!,$W$79,$Y$79)</f>
        <v>#VALUE!</v>
      </c>
      <c r="AF80">
        <f>'SFU-HW_RA'!D76</f>
        <v>368.1046154</v>
      </c>
      <c r="AG80">
        <f>'SFU-HW_RA'!E76</f>
        <v>41.835977</v>
      </c>
      <c r="AH80" t="e" cm="1">
        <f t="array" ref="AH80">pareto($AF$80:$AF$103,$AG$80:$AG$103,1,"rate",Summary!#REF!,$AG$79,$AI$79)</f>
        <v>#VALUE!</v>
      </c>
      <c r="AI80" t="e" cm="1">
        <f t="array" ref="AI80">pareto($AF$80:$AF$103,$AG$80:$AG$103,1,"dist",Summary!#REF!,$AG$79,$AI$79)</f>
        <v>#VALUE!</v>
      </c>
      <c r="AJ80">
        <f>'SFU-HW_RA'!M76</f>
        <v>368.10461538461499</v>
      </c>
      <c r="AK80">
        <f>'SFU-HW_RA'!N76</f>
        <v>41.835977</v>
      </c>
      <c r="AL80" t="e" cm="1">
        <f t="array" ref="AL80">pareto($AJ$80:$AJ$103,$AK$80:$AK$103,1,"rate",Summary!#REF!,$AG$79,$AI$79)</f>
        <v>#VALUE!</v>
      </c>
      <c r="AM80" t="e" cm="1">
        <f t="array" ref="AM80">pareto($AJ$80:$AJ$103,$AK$80:$AK$103,1,"dist",Summary!#REF!,$AG$79,$AI$79)</f>
        <v>#VALUE!</v>
      </c>
      <c r="AZ80" t="e">
        <f>#REF!</f>
        <v>#REF!</v>
      </c>
      <c r="BA80" t="e">
        <f>#REF!</f>
        <v>#REF!</v>
      </c>
      <c r="BB80" t="e" cm="1">
        <f t="array" ref="BB80">pareto($AZ$80:$AZ$103,$BA$80:$BA$103,1,"rate",Summary!#REF!,$BA$79,$BC$79)</f>
        <v>#VALUE!</v>
      </c>
      <c r="BC80" t="e" cm="1">
        <f t="array" ref="BC80">pareto($AZ$80:$AZ$103,$BA$80:$BA$103,1,"dist",Summary!#REF!,$BA$79,$BC$79)</f>
        <v>#VALUE!</v>
      </c>
      <c r="BD80" s="36" t="e">
        <f>#REF!</f>
        <v>#REF!</v>
      </c>
      <c r="BE80" s="36" t="e">
        <f>#REF!</f>
        <v>#REF!</v>
      </c>
      <c r="BF80" t="e" cm="1">
        <f t="array" ref="BF80">pareto($BD$80:$BD$103,$BE$80:$BE$103,1,"rate",Summary!#REF!,$BA$79,$BC$79)</f>
        <v>#VALUE!</v>
      </c>
      <c r="BG80" t="e" cm="1">
        <f t="array" ref="BG80">pareto($BD$80:$BD$103,$BE$80:$BE$103,1,"dist",Summary!#REF!,$BA$79,$BC$79)</f>
        <v>#VALUE!</v>
      </c>
    </row>
    <row r="81" spans="12:59" x14ac:dyDescent="0.25">
      <c r="L81">
        <f>'SFU-HW_RA'!D23</f>
        <v>223.9051546</v>
      </c>
      <c r="M81">
        <f>'SFU-HW_RA'!E23</f>
        <v>34.886374000000004</v>
      </c>
      <c r="N81" t="e" cm="1">
        <f t="array" ref="N81">pareto($L$80:$L$103,$M$80:$M$103,2,"rate",Summary!#REF!,$M$79,$O$79)</f>
        <v>#VALUE!</v>
      </c>
      <c r="O81" t="e" cm="1">
        <f t="array" ref="O81">pareto($L$80:$L$103,$M$80:$M$103,2,"dist",Summary!#REF!,$M$79,$O$79)</f>
        <v>#VALUE!</v>
      </c>
      <c r="P81">
        <f>'SFU-HW_RA'!M23</f>
        <v>223.90515463917501</v>
      </c>
      <c r="Q81">
        <f>'SFU-HW_RA'!N23</f>
        <v>34.886374000000004</v>
      </c>
      <c r="R81" t="e" cm="1">
        <f t="array" ref="R81">pareto($P$80:$P$103,$Q$80:$Q$103,2,"rate",Summary!#REF!,$M$79,$O$79)</f>
        <v>#VALUE!</v>
      </c>
      <c r="S81" t="e" cm="1">
        <f t="array" ref="S81">pareto($P$80:$P$103,$Q$80:$Q$103,2,"dist",Summary!#REF!,$M$79,$O$79)</f>
        <v>#VALUE!</v>
      </c>
      <c r="V81">
        <f>'SFU-HW_RA'!D53</f>
        <v>249.48553849999999</v>
      </c>
      <c r="W81">
        <f>'SFU-HW_RA'!E53</f>
        <v>38.831066999999997</v>
      </c>
      <c r="X81" t="e" cm="1">
        <f t="array" ref="X81">pareto($V$80:$V$103,$W$80:$W$103,2,"rate",Summary!#REF!,$W$79,$Y$79)</f>
        <v>#VALUE!</v>
      </c>
      <c r="Y81" t="e" cm="1">
        <f t="array" ref="Y81">pareto($V$80:$V$103,$W$80:$W$103,2,"dist",Summary!#REF!,$W$79,$Y$79)</f>
        <v>#VALUE!</v>
      </c>
      <c r="Z81">
        <f>'SFU-HW_RA'!M53</f>
        <v>249.485538461538</v>
      </c>
      <c r="AA81">
        <f>'SFU-HW_RA'!N53</f>
        <v>38.831066999999997</v>
      </c>
      <c r="AB81" t="e" cm="1">
        <f t="array" ref="AB81">pareto($Z$80:$Z$103,$AA$80:$AA$103,2,"rate",Summary!#REF!,$W$79,$Y$79)</f>
        <v>#VALUE!</v>
      </c>
      <c r="AC81" t="e" cm="1">
        <f t="array" ref="AC81">pareto($Z$80:$Z$103,$AA$80:$AA$103,2,"dist",Summary!#REF!,$W$79,$Y$79)</f>
        <v>#VALUE!</v>
      </c>
      <c r="AF81">
        <f>'SFU-HW_RA'!D77</f>
        <v>223.21846149999999</v>
      </c>
      <c r="AG81">
        <f>'SFU-HW_RA'!E77</f>
        <v>39.792687000000001</v>
      </c>
      <c r="AH81" t="e" cm="1">
        <f t="array" ref="AH81">pareto($AF$80:$AF$103,$AG$80:$AG$103,2,"rate",Summary!#REF!,$AG$79,$AI$79)</f>
        <v>#VALUE!</v>
      </c>
      <c r="AI81" t="e" cm="1">
        <f t="array" ref="AI81">pareto($AF$80:$AF$103,$AG$80:$AG$103,2,"dist",Summary!#REF!,$AG$79,$AI$79)</f>
        <v>#VALUE!</v>
      </c>
      <c r="AJ81">
        <f>'SFU-HW_RA'!M77</f>
        <v>223.21846153846101</v>
      </c>
      <c r="AK81">
        <f>'SFU-HW_RA'!N77</f>
        <v>39.792687000000001</v>
      </c>
      <c r="AL81" t="e" cm="1">
        <f t="array" ref="AL81">pareto($AJ$80:$AJ$103,$AK$80:$AK$103,2,"rate",Summary!#REF!,$AG$79,$AI$79)</f>
        <v>#VALUE!</v>
      </c>
      <c r="AM81" t="e" cm="1">
        <f t="array" ref="AM81">pareto($AJ$80:$AJ$103,$AK$80:$AK$103,2,"dist",Summary!#REF!,$AG$79,$AI$79)</f>
        <v>#VALUE!</v>
      </c>
      <c r="AZ81" t="e">
        <f>#REF!</f>
        <v>#REF!</v>
      </c>
      <c r="BA81" t="e">
        <f>#REF!</f>
        <v>#REF!</v>
      </c>
      <c r="BB81" t="e" cm="1">
        <f t="array" ref="BB81">pareto($AZ$80:$AZ$103,$BA$80:$BA$103,2,"rate",Summary!#REF!,$BA$79,$BC$79)</f>
        <v>#VALUE!</v>
      </c>
      <c r="BC81" t="e" cm="1">
        <f t="array" ref="BC81">pareto($AZ$80:$AZ$103,$BA$80:$BA$103,2,"dist",Summary!#REF!,$BA$79,$BC$79)</f>
        <v>#VALUE!</v>
      </c>
      <c r="BD81" s="36" t="e">
        <f>#REF!</f>
        <v>#REF!</v>
      </c>
      <c r="BE81" s="36" t="e">
        <f>#REF!</f>
        <v>#REF!</v>
      </c>
      <c r="BF81" t="e" cm="1">
        <f t="array" ref="BF81">pareto($BD$80:$BD$103,$BE$80:$BE$103,2,"rate",Summary!#REF!,$BA$79,$BC$79)</f>
        <v>#VALUE!</v>
      </c>
      <c r="BG81" t="e" cm="1">
        <f t="array" ref="BG81">pareto($BD$80:$BD$103,$BE$80:$BE$103,2,"dist",Summary!#REF!,$BA$79,$BC$79)</f>
        <v>#VALUE!</v>
      </c>
    </row>
    <row r="82" spans="12:59" x14ac:dyDescent="0.25">
      <c r="L82">
        <f>'SFU-HW_RA'!D24</f>
        <v>150.56907219999999</v>
      </c>
      <c r="M82">
        <f>'SFU-HW_RA'!E24</f>
        <v>29.413008999999999</v>
      </c>
      <c r="N82" t="e" cm="1">
        <f t="array" ref="N82">pareto($L$80:$L$103,$M$80:$M$103,3,"rate",Summary!#REF!,$M$79,$O$79)</f>
        <v>#VALUE!</v>
      </c>
      <c r="O82" t="e" cm="1">
        <f t="array" ref="O82">pareto($L$80:$L$103,$M$80:$M$103,3,"dist",Summary!#REF!,$M$79,$O$79)</f>
        <v>#VALUE!</v>
      </c>
      <c r="P82">
        <f>'SFU-HW_RA'!M24</f>
        <v>150.56907216494801</v>
      </c>
      <c r="Q82">
        <f>'SFU-HW_RA'!N24</f>
        <v>29.413008999999999</v>
      </c>
      <c r="R82" t="e" cm="1">
        <f t="array" ref="R82">pareto($P$80:$P$103,$Q$80:$Q$103,3,"rate",Summary!#REF!,$M$79,$O$79)</f>
        <v>#VALUE!</v>
      </c>
      <c r="S82" t="e" cm="1">
        <f t="array" ref="S82">pareto($P$80:$P$103,$Q$80:$Q$103,3,"dist",Summary!#REF!,$M$79,$O$79)</f>
        <v>#VALUE!</v>
      </c>
      <c r="V82">
        <f>'SFU-HW_RA'!D54</f>
        <v>171.52984620000001</v>
      </c>
      <c r="W82">
        <f>'SFU-HW_RA'!E54</f>
        <v>37.325367</v>
      </c>
      <c r="X82" t="e" cm="1">
        <f t="array" ref="X82">pareto($V$80:$V$103,$W$80:$W$103,3,"rate",Summary!#REF!,$W$79,$Y$79)</f>
        <v>#VALUE!</v>
      </c>
      <c r="Y82" t="e" cm="1">
        <f t="array" ref="Y82">pareto($V$80:$V$103,$W$80:$W$103,3,"dist",Summary!#REF!,$W$79,$Y$79)</f>
        <v>#VALUE!</v>
      </c>
      <c r="Z82">
        <f>'SFU-HW_RA'!M54</f>
        <v>171.52984615384599</v>
      </c>
      <c r="AA82">
        <f>'SFU-HW_RA'!N54</f>
        <v>37.325367</v>
      </c>
      <c r="AB82" t="e" cm="1">
        <f t="array" ref="AB82">pareto($Z$80:$Z$103,$AA$80:$AA$103,3,"rate",Summary!#REF!,$W$79,$Y$79)</f>
        <v>#VALUE!</v>
      </c>
      <c r="AC82" t="e" cm="1">
        <f t="array" ref="AC82">pareto($Z$80:$Z$103,$AA$80:$AA$103,3,"dist",Summary!#REF!,$W$79,$Y$79)</f>
        <v>#VALUE!</v>
      </c>
      <c r="AF82">
        <f>'SFU-HW_RA'!D78</f>
        <v>129.84369229999999</v>
      </c>
      <c r="AG82">
        <f>'SFU-HW_RA'!E78</f>
        <v>39.146438000000003</v>
      </c>
      <c r="AH82" t="e" cm="1">
        <f t="array" ref="AH82">pareto($AF$80:$AF$103,$AG$80:$AG$103,3,"rate",Summary!#REF!,$AG$79,$AI$79)</f>
        <v>#VALUE!</v>
      </c>
      <c r="AI82" t="e" cm="1">
        <f t="array" ref="AI82">pareto($AF$80:$AF$103,$AG$80:$AG$103,3,"dist",Summary!#REF!,$AG$79,$AI$79)</f>
        <v>#VALUE!</v>
      </c>
      <c r="AJ82">
        <f>'SFU-HW_RA'!M78</f>
        <v>129.84369230769201</v>
      </c>
      <c r="AK82">
        <f>'SFU-HW_RA'!N78</f>
        <v>39.146438000000003</v>
      </c>
      <c r="AL82" t="e" cm="1">
        <f t="array" ref="AL82">pareto($AJ$80:$AJ$103,$AK$80:$AK$103,3,"rate",Summary!#REF!,$AG$79,$AI$79)</f>
        <v>#VALUE!</v>
      </c>
      <c r="AM82" t="e" cm="1">
        <f t="array" ref="AM82">pareto($AJ$80:$AJ$103,$AK$80:$AK$103,3,"dist",Summary!#REF!,$AG$79,$AI$79)</f>
        <v>#VALUE!</v>
      </c>
      <c r="AZ82" t="e">
        <f>#REF!</f>
        <v>#REF!</v>
      </c>
      <c r="BA82" t="e">
        <f>#REF!</f>
        <v>#REF!</v>
      </c>
      <c r="BB82" t="e" cm="1">
        <f t="array" ref="BB82">pareto($AZ$80:$AZ$103,$BA$80:$BA$103,3,"rate",Summary!#REF!,$BA$79,$BC$79)</f>
        <v>#VALUE!</v>
      </c>
      <c r="BC82" t="e" cm="1">
        <f t="array" ref="BC82">pareto($AZ$80:$AZ$103,$BA$80:$BA$103,3,"dist",Summary!#REF!,$BA$79,$BC$79)</f>
        <v>#VALUE!</v>
      </c>
      <c r="BD82" s="36" t="e">
        <f>#REF!</f>
        <v>#REF!</v>
      </c>
      <c r="BE82" s="36" t="e">
        <f>#REF!</f>
        <v>#REF!</v>
      </c>
      <c r="BF82" t="e" cm="1">
        <f t="array" ref="BF82">pareto($BD$80:$BD$103,$BE$80:$BE$103,3,"rate",Summary!#REF!,$BA$79,$BC$79)</f>
        <v>#VALUE!</v>
      </c>
      <c r="BG82" t="e" cm="1">
        <f t="array" ref="BG82">pareto($BD$80:$BD$103,$BE$80:$BE$103,3,"dist",Summary!#REF!,$BA$79,$BC$79)</f>
        <v>#VALUE!</v>
      </c>
    </row>
    <row r="83" spans="12:59" x14ac:dyDescent="0.25">
      <c r="L83">
        <f>'SFU-HW_RA'!D25</f>
        <v>99.843298970000006</v>
      </c>
      <c r="M83">
        <f>'SFU-HW_RA'!E25</f>
        <v>25.632173000000002</v>
      </c>
      <c r="N83" t="e" cm="1">
        <f t="array" ref="N83">pareto($L$80:$L$103,$M$80:$M$103,4,"rate",Summary!#REF!,$M$79,$O$79)</f>
        <v>#VALUE!</v>
      </c>
      <c r="O83" t="e" cm="1">
        <f t="array" ref="O83">pareto($L$80:$L$103,$M$80:$M$103,4,"dist",Summary!#REF!,$M$79,$O$79)</f>
        <v>#VALUE!</v>
      </c>
      <c r="P83">
        <f>'SFU-HW_RA'!M25</f>
        <v>99.843298969072094</v>
      </c>
      <c r="Q83">
        <f>'SFU-HW_RA'!N25</f>
        <v>25.632173000000002</v>
      </c>
      <c r="R83" t="e" cm="1">
        <f t="array" ref="R83">pareto($P$80:$P$103,$Q$80:$Q$103,4,"rate",Summary!#REF!,$M$79,$O$79)</f>
        <v>#VALUE!</v>
      </c>
      <c r="S83" t="e" cm="1">
        <f t="array" ref="S83">pareto($P$80:$P$103,$Q$80:$Q$103,4,"dist",Summary!#REF!,$M$79,$O$79)</f>
        <v>#VALUE!</v>
      </c>
      <c r="V83">
        <f>'SFU-HW_RA'!D55</f>
        <v>103.056</v>
      </c>
      <c r="W83">
        <f>'SFU-HW_RA'!E55</f>
        <v>30.621013000000001</v>
      </c>
      <c r="X83" t="e" cm="1">
        <f t="array" ref="X83">pareto($V$80:$V$103,$W$80:$W$103,4,"rate",Summary!#REF!,$W$79,$Y$79)</f>
        <v>#VALUE!</v>
      </c>
      <c r="Y83" t="e" cm="1">
        <f t="array" ref="Y83">pareto($V$80:$V$103,$W$80:$W$103,4,"dist",Summary!#REF!,$W$79,$Y$79)</f>
        <v>#VALUE!</v>
      </c>
      <c r="Z83">
        <f>'SFU-HW_RA'!M55</f>
        <v>103.056</v>
      </c>
      <c r="AA83">
        <f>'SFU-HW_RA'!N55</f>
        <v>30.621013000000001</v>
      </c>
      <c r="AB83" t="e" cm="1">
        <f t="array" ref="AB83">pareto($Z$80:$Z$103,$AA$80:$AA$103,4,"rate",Summary!#REF!,$W$79,$Y$79)</f>
        <v>#VALUE!</v>
      </c>
      <c r="AC83" t="e" cm="1">
        <f t="array" ref="AC83">pareto($Z$80:$Z$103,$AA$80:$AA$103,4,"dist",Summary!#REF!,$W$79,$Y$79)</f>
        <v>#VALUE!</v>
      </c>
      <c r="AF83">
        <f>'SFU-HW_RA'!D79</f>
        <v>77.442461539999996</v>
      </c>
      <c r="AG83">
        <f>'SFU-HW_RA'!E79</f>
        <v>35.052520999999999</v>
      </c>
      <c r="AH83" t="e" cm="1">
        <f t="array" ref="AH83">pareto($AF$80:$AF$103,$AG$80:$AG$103,4,"rate",Summary!#REF!,$AG$79,$AI$79)</f>
        <v>#VALUE!</v>
      </c>
      <c r="AI83" t="e" cm="1">
        <f t="array" ref="AI83">pareto($AF$80:$AF$103,$AG$80:$AG$103,4,"dist",Summary!#REF!,$AG$79,$AI$79)</f>
        <v>#VALUE!</v>
      </c>
      <c r="AJ83">
        <f>'SFU-HW_RA'!M79</f>
        <v>77.442461538461501</v>
      </c>
      <c r="AK83">
        <f>'SFU-HW_RA'!N79</f>
        <v>35.052520999999999</v>
      </c>
      <c r="AL83" t="e" cm="1">
        <f t="array" ref="AL83">pareto($AJ$80:$AJ$103,$AK$80:$AK$103,4,"rate",Summary!#REF!,$AG$79,$AI$79)</f>
        <v>#VALUE!</v>
      </c>
      <c r="AM83" t="e" cm="1">
        <f t="array" ref="AM83">pareto($AJ$80:$AJ$103,$AK$80:$AK$103,4,"dist",Summary!#REF!,$AG$79,$AI$79)</f>
        <v>#VALUE!</v>
      </c>
      <c r="AZ83" t="e">
        <f>#REF!</f>
        <v>#REF!</v>
      </c>
      <c r="BA83" t="e">
        <f>#REF!</f>
        <v>#REF!</v>
      </c>
      <c r="BB83" t="e" cm="1">
        <f t="array" ref="BB83">pareto($AZ$80:$AZ$103,$BA$80:$BA$103,4,"rate",Summary!#REF!,$BA$79,$BC$79)</f>
        <v>#VALUE!</v>
      </c>
      <c r="BC83" t="e" cm="1">
        <f t="array" ref="BC83">pareto($AZ$80:$AZ$103,$BA$80:$BA$103,4,"dist",Summary!#REF!,$BA$79,$BC$79)</f>
        <v>#VALUE!</v>
      </c>
      <c r="BD83" s="36" t="e">
        <f>#REF!</f>
        <v>#REF!</v>
      </c>
      <c r="BE83" s="36" t="e">
        <f>#REF!</f>
        <v>#REF!</v>
      </c>
      <c r="BF83" t="e" cm="1">
        <f t="array" ref="BF83">pareto($BD$80:$BD$103,$BE$80:$BE$103,4,"rate",Summary!#REF!,$BA$79,$BC$79)</f>
        <v>#VALUE!</v>
      </c>
      <c r="BG83" t="e" cm="1">
        <f t="array" ref="BG83">pareto($BD$80:$BD$103,$BE$80:$BE$103,4,"dist",Summary!#REF!,$BA$79,$BC$79)</f>
        <v>#VALUE!</v>
      </c>
    </row>
    <row r="84" spans="12:59" x14ac:dyDescent="0.25">
      <c r="L84">
        <f>'SFU-HW_RA'!D26</f>
        <v>65.290721649999995</v>
      </c>
      <c r="M84">
        <f>'SFU-HW_RA'!E26</f>
        <v>12.527525000000001</v>
      </c>
      <c r="N84" t="e" cm="1">
        <f t="array" ref="N84">pareto($L$80:$L$103,$M$80:$M$103,5,"rate",Summary!#REF!,$M$79,$O$79)</f>
        <v>#VALUE!</v>
      </c>
      <c r="O84" t="e" cm="1">
        <f t="array" ref="O84">pareto($L$80:$L$103,$M$80:$M$103,5,"dist",Summary!#REF!,$M$79,$O$79)</f>
        <v>#VALUE!</v>
      </c>
      <c r="P84">
        <f>'SFU-HW_RA'!M26</f>
        <v>65.290721649484496</v>
      </c>
      <c r="Q84">
        <f>'SFU-HW_RA'!N26</f>
        <v>12.527525000000001</v>
      </c>
      <c r="R84" t="e" cm="1">
        <f t="array" ref="R84">pareto($P$80:$P$103,$Q$80:$Q$103,5,"rate",Summary!#REF!,$M$79,$O$79)</f>
        <v>#VALUE!</v>
      </c>
      <c r="S84" t="e" cm="1">
        <f t="array" ref="S84">pareto($P$80:$P$103,$Q$80:$Q$103,5,"dist",Summary!#REF!,$M$79,$O$79)</f>
        <v>#VALUE!</v>
      </c>
      <c r="V84">
        <f>'SFU-HW_RA'!D56</f>
        <v>61.982769230000002</v>
      </c>
      <c r="W84">
        <f>'SFU-HW_RA'!E56</f>
        <v>29.386969000000001</v>
      </c>
      <c r="X84" t="e" cm="1">
        <f t="array" ref="X84">pareto($V$80:$V$103,$W$80:$W$103,5,"rate",Summary!#REF!,$W$79,$Y$79)</f>
        <v>#VALUE!</v>
      </c>
      <c r="Y84" t="e" cm="1">
        <f t="array" ref="Y84">pareto($V$80:$V$103,$W$80:$W$103,5,"dist",Summary!#REF!,$W$79,$Y$79)</f>
        <v>#VALUE!</v>
      </c>
      <c r="Z84">
        <f>'SFU-HW_RA'!M56</f>
        <v>61.9827692307692</v>
      </c>
      <c r="AA84">
        <f>'SFU-HW_RA'!N56</f>
        <v>29.386969000000001</v>
      </c>
      <c r="AB84" t="e" cm="1">
        <f t="array" ref="AB84">pareto($Z$80:$Z$103,$AA$80:$AA$103,5,"rate",Summary!#REF!,$W$79,$Y$79)</f>
        <v>#VALUE!</v>
      </c>
      <c r="AC84" t="e" cm="1">
        <f t="array" ref="AC84">pareto($Z$80:$Z$103,$AA$80:$AA$103,5,"dist",Summary!#REF!,$W$79,$Y$79)</f>
        <v>#VALUE!</v>
      </c>
      <c r="AF84">
        <f>'SFU-HW_RA'!D80</f>
        <v>46.785230769999998</v>
      </c>
      <c r="AG84">
        <f>'SFU-HW_RA'!E80</f>
        <v>29.618590000000001</v>
      </c>
      <c r="AH84" t="e" cm="1">
        <f t="array" ref="AH84">pareto($AF$80:$AF$103,$AG$80:$AG$103,5,"rate",Summary!#REF!,$AG$79,$AI$79)</f>
        <v>#VALUE!</v>
      </c>
      <c r="AI84" t="e" cm="1">
        <f t="array" ref="AI84">pareto($AF$80:$AF$103,$AG$80:$AG$103,5,"dist",Summary!#REF!,$AG$79,$AI$79)</f>
        <v>#VALUE!</v>
      </c>
      <c r="AJ84">
        <f>'SFU-HW_RA'!M80</f>
        <v>46.785230769230701</v>
      </c>
      <c r="AK84">
        <f>'SFU-HW_RA'!N80</f>
        <v>29.618590000000001</v>
      </c>
      <c r="AL84" t="e" cm="1">
        <f t="array" ref="AL84">pareto($AJ$80:$AJ$103,$AK$80:$AK$103,5,"rate",Summary!#REF!,$AG$79,$AI$79)</f>
        <v>#VALUE!</v>
      </c>
      <c r="AM84" t="e" cm="1">
        <f t="array" ref="AM84">pareto($AJ$80:$AJ$103,$AK$80:$AK$103,5,"dist",Summary!#REF!,$AG$79,$AI$79)</f>
        <v>#VALUE!</v>
      </c>
      <c r="AZ84" t="e">
        <f>#REF!</f>
        <v>#REF!</v>
      </c>
      <c r="BA84" t="e">
        <f>#REF!</f>
        <v>#REF!</v>
      </c>
      <c r="BB84" t="e" cm="1">
        <f t="array" ref="BB84">pareto($AZ$80:$AZ$103,$BA$80:$BA$103,5,"rate",Summary!#REF!,$BA$79,$BC$79)</f>
        <v>#VALUE!</v>
      </c>
      <c r="BC84" t="e" cm="1">
        <f t="array" ref="BC84">pareto($AZ$80:$AZ$103,$BA$80:$BA$103,5,"dist",Summary!#REF!,$BA$79,$BC$79)</f>
        <v>#VALUE!</v>
      </c>
      <c r="BD84" s="36" t="e">
        <f>#REF!</f>
        <v>#REF!</v>
      </c>
      <c r="BE84" s="36" t="e">
        <f>#REF!</f>
        <v>#REF!</v>
      </c>
      <c r="BF84" t="e" cm="1">
        <f t="array" ref="BF84">pareto($BD$80:$BD$103,$BE$80:$BE$103,5,"rate",Summary!#REF!,$BA$79,$BC$79)</f>
        <v>#VALUE!</v>
      </c>
      <c r="BG84" t="e" cm="1">
        <f t="array" ref="BG84">pareto($BD$80:$BD$103,$BE$80:$BE$103,5,"dist",Summary!#REF!,$BA$79,$BC$79)</f>
        <v>#VALUE!</v>
      </c>
    </row>
    <row r="85" spans="12:59" x14ac:dyDescent="0.25">
      <c r="L85">
        <f>'SFU-HW_RA'!D27</f>
        <v>42.709278349999998</v>
      </c>
      <c r="M85">
        <f>'SFU-HW_RA'!E27</f>
        <v>7.1581130000000002</v>
      </c>
      <c r="N85" t="e" cm="1">
        <f t="array" ref="N85">pareto($L$80:$L$103,$M$80:$M$103,6,"rate",Summary!#REF!,$M$79,$O$79)</f>
        <v>#VALUE!</v>
      </c>
      <c r="O85" t="e" cm="1">
        <f t="array" ref="O85">pareto($L$80:$L$103,$M$80:$M$103,6,"dist",Summary!#REF!,$M$79,$O$79)</f>
        <v>#VALUE!</v>
      </c>
      <c r="P85">
        <f>'SFU-HW_RA'!M27</f>
        <v>42.709278350515397</v>
      </c>
      <c r="Q85">
        <f>'SFU-HW_RA'!N27</f>
        <v>7.1581130000000002</v>
      </c>
      <c r="R85" t="e" cm="1">
        <f t="array" ref="R85">pareto($P$80:$P$103,$Q$80:$Q$103,6,"rate",Summary!#REF!,$M$79,$O$79)</f>
        <v>#VALUE!</v>
      </c>
      <c r="S85" t="e" cm="1">
        <f t="array" ref="S85">pareto($P$80:$P$103,$Q$80:$Q$103,6,"dist",Summary!#REF!,$M$79,$O$79)</f>
        <v>#VALUE!</v>
      </c>
      <c r="V85">
        <f>'SFU-HW_RA'!D57</f>
        <v>36.708923079999998</v>
      </c>
      <c r="W85">
        <f>'SFU-HW_RA'!E57</f>
        <v>17.156862</v>
      </c>
      <c r="X85" t="e" cm="1">
        <f t="array" ref="X85">pareto($V$80:$V$103,$W$80:$W$103,6,"rate",Summary!#REF!,$W$79,$Y$79)</f>
        <v>#VALUE!</v>
      </c>
      <c r="Y85" t="e" cm="1">
        <f t="array" ref="Y85">pareto($V$80:$V$103,$W$80:$W$103,6,"dist",Summary!#REF!,$W$79,$Y$79)</f>
        <v>#VALUE!</v>
      </c>
      <c r="Z85">
        <f>'SFU-HW_RA'!M57</f>
        <v>36.708923076923</v>
      </c>
      <c r="AA85">
        <f>'SFU-HW_RA'!N57</f>
        <v>17.156862</v>
      </c>
      <c r="AB85" t="e" cm="1">
        <f t="array" ref="AB85">pareto($Z$80:$Z$103,$AA$80:$AA$103,6,"rate",Summary!#REF!,$W$79,$Y$79)</f>
        <v>#VALUE!</v>
      </c>
      <c r="AC85" t="e" cm="1">
        <f t="array" ref="AC85">pareto($Z$80:$Z$103,$AA$80:$AA$103,6,"dist",Summary!#REF!,$W$79,$Y$79)</f>
        <v>#VALUE!</v>
      </c>
      <c r="AF85">
        <f>'SFU-HW_RA'!D81</f>
        <v>28.31261538</v>
      </c>
      <c r="AG85">
        <f>'SFU-HW_RA'!E81</f>
        <v>15.820852</v>
      </c>
      <c r="AH85" t="e" cm="1">
        <f t="array" ref="AH85">pareto($AF$80:$AF$103,$AG$80:$AG$103,6,"rate",Summary!#REF!,$AG$79,$AI$79)</f>
        <v>#VALUE!</v>
      </c>
      <c r="AI85" t="e" cm="1">
        <f t="array" ref="AI85">pareto($AF$80:$AF$103,$AG$80:$AG$103,6,"dist",Summary!#REF!,$AG$79,$AI$79)</f>
        <v>#VALUE!</v>
      </c>
      <c r="AJ85">
        <f>'SFU-HW_RA'!M81</f>
        <v>28.312615384615299</v>
      </c>
      <c r="AK85">
        <f>'SFU-HW_RA'!N81</f>
        <v>15.820852</v>
      </c>
      <c r="AL85" t="e" cm="1">
        <f t="array" ref="AL85">pareto($AJ$80:$AJ$103,$AK$80:$AK$103,6,"rate",Summary!#REF!,$AG$79,$AI$79)</f>
        <v>#VALUE!</v>
      </c>
      <c r="AM85" t="e" cm="1">
        <f t="array" ref="AM85">pareto($AJ$80:$AJ$103,$AK$80:$AK$103,6,"dist",Summary!#REF!,$AG$79,$AI$79)</f>
        <v>#VALUE!</v>
      </c>
      <c r="AZ85" t="e">
        <f>#REF!</f>
        <v>#REF!</v>
      </c>
      <c r="BA85" t="e">
        <f>#REF!</f>
        <v>#REF!</v>
      </c>
      <c r="BB85" t="e" cm="1">
        <f t="array" ref="BB85">pareto($AZ$80:$AZ$103,$BA$80:$BA$103,6,"rate",Summary!#REF!,$BA$79,$BC$79)</f>
        <v>#VALUE!</v>
      </c>
      <c r="BC85" t="e" cm="1">
        <f t="array" ref="BC85">pareto($AZ$80:$AZ$103,$BA$80:$BA$103,6,"dist",Summary!#REF!,$BA$79,$BC$79)</f>
        <v>#VALUE!</v>
      </c>
      <c r="BD85" s="36" t="e">
        <f>#REF!</f>
        <v>#REF!</v>
      </c>
      <c r="BE85" s="36" t="e">
        <f>#REF!</f>
        <v>#REF!</v>
      </c>
      <c r="BF85" t="e" cm="1">
        <f t="array" ref="BF85">pareto($BD$80:$BD$103,$BE$80:$BE$103,6,"rate",Summary!#REF!,$BA$79,$BC$79)</f>
        <v>#VALUE!</v>
      </c>
      <c r="BG85" t="e" cm="1">
        <f t="array" ref="BG85">pareto($BD$80:$BD$103,$BE$80:$BE$103,6,"dist",Summary!#REF!,$BA$79,$BC$79)</f>
        <v>#VALUE!</v>
      </c>
    </row>
    <row r="86" spans="12:59" x14ac:dyDescent="0.25">
      <c r="BD86" s="36"/>
      <c r="BE86" s="36"/>
    </row>
    <row r="87" spans="12:59" x14ac:dyDescent="0.25">
      <c r="BD87" s="36"/>
      <c r="BE87" s="36"/>
    </row>
    <row r="88" spans="12:59" x14ac:dyDescent="0.25">
      <c r="BD88" s="36"/>
      <c r="BE88" s="36"/>
    </row>
    <row r="89" spans="12:59" x14ac:dyDescent="0.25">
      <c r="BD89" s="36"/>
      <c r="BE89" s="36"/>
    </row>
    <row r="90" spans="12:59" x14ac:dyDescent="0.25">
      <c r="BD90" s="36"/>
      <c r="BE90" s="36"/>
    </row>
    <row r="91" spans="12:59" x14ac:dyDescent="0.25">
      <c r="BD91" s="36"/>
      <c r="BE91" s="36"/>
    </row>
    <row r="92" spans="12:59" x14ac:dyDescent="0.25">
      <c r="BD92" s="36"/>
      <c r="BE92" s="36"/>
    </row>
    <row r="93" spans="12:59" x14ac:dyDescent="0.25">
      <c r="BD93" s="36"/>
      <c r="BE93" s="36"/>
    </row>
    <row r="94" spans="12:59" x14ac:dyDescent="0.25">
      <c r="BD94" s="36"/>
      <c r="BE94" s="36"/>
    </row>
    <row r="95" spans="12:59" x14ac:dyDescent="0.25">
      <c r="BD95" s="36"/>
      <c r="BE95" s="36"/>
    </row>
    <row r="96" spans="12:59" x14ac:dyDescent="0.25">
      <c r="BD96" s="36"/>
      <c r="BE96" s="36"/>
    </row>
    <row r="97" spans="11:57" x14ac:dyDescent="0.25">
      <c r="BD97" s="36"/>
      <c r="BE97" s="36"/>
    </row>
    <row r="98" spans="11:57" x14ac:dyDescent="0.25">
      <c r="BD98" s="36"/>
      <c r="BE98" s="36"/>
    </row>
    <row r="99" spans="11:57" x14ac:dyDescent="0.25">
      <c r="BD99" s="36"/>
      <c r="BE99" s="36"/>
    </row>
    <row r="100" spans="11:57" x14ac:dyDescent="0.25">
      <c r="BD100" s="36"/>
      <c r="BE100" s="36"/>
    </row>
    <row r="101" spans="11:57" x14ac:dyDescent="0.25">
      <c r="BD101" s="36"/>
      <c r="BE101" s="36"/>
    </row>
    <row r="102" spans="11:57" x14ac:dyDescent="0.25">
      <c r="BD102" s="36"/>
      <c r="BE102" s="36"/>
    </row>
    <row r="103" spans="11:57" x14ac:dyDescent="0.25">
      <c r="BD103" s="36"/>
      <c r="BE103" s="36"/>
    </row>
    <row r="104" spans="11:57" x14ac:dyDescent="0.25">
      <c r="K104" t="s">
        <v>64</v>
      </c>
      <c r="L104" t="s">
        <v>40</v>
      </c>
      <c r="M104">
        <v>41.49</v>
      </c>
      <c r="N104" t="s">
        <v>44</v>
      </c>
      <c r="O104">
        <v>20</v>
      </c>
    </row>
    <row r="105" spans="11:57" x14ac:dyDescent="0.25">
      <c r="L105">
        <f>'SFU-HW_RA'!D28</f>
        <v>209.73395350000001</v>
      </c>
      <c r="M105">
        <f>'SFU-HW_RA'!E28</f>
        <v>39.749301000000003</v>
      </c>
      <c r="N105" t="e" cm="1">
        <f t="array" ref="N105">pareto($L$105:$L$110,$M$105:$M$110,1,"rate",Summary!#REF!,$M$104,$O$104)</f>
        <v>#VALUE!</v>
      </c>
      <c r="O105" t="e" cm="1">
        <f t="array" ref="O105">pareto($L$105:$L$110,$M$105:$M$110,1,"dist",Summary!#REF!,$M$104,$O$104)</f>
        <v>#VALUE!</v>
      </c>
      <c r="P105">
        <f>'SFU-HW_RA'!M28</f>
        <v>209.73395348837201</v>
      </c>
      <c r="Q105">
        <f>'SFU-HW_RA'!N28</f>
        <v>39.749301000000003</v>
      </c>
      <c r="R105" t="e" cm="1">
        <f t="array" ref="R105">pareto($P$105:$P$110,$Q$105:$Q$110,1,"rate",Summary!#REF!,$M$104,$O$104)</f>
        <v>#VALUE!</v>
      </c>
      <c r="S105" t="e" cm="1">
        <f t="array" ref="S105">pareto($P$105:$P$110,$Q$105:$Q$110,1,"dist",Summary!#REF!,$M$104,$O$104)</f>
        <v>#VALUE!</v>
      </c>
    </row>
    <row r="106" spans="11:57" x14ac:dyDescent="0.25">
      <c r="L106">
        <f>'SFU-HW_RA'!D29</f>
        <v>141.76</v>
      </c>
      <c r="M106">
        <f>'SFU-HW_RA'!E29</f>
        <v>40.102800999999999</v>
      </c>
      <c r="N106" t="e" cm="1">
        <f t="array" ref="N106">pareto($L$105:$L$110,$M$105:$M$110,2,"rate",Summary!#REF!,$M$104,$O$104)</f>
        <v>#VALUE!</v>
      </c>
      <c r="O106" t="e" cm="1">
        <f t="array" ref="O106">pareto($L$105:$L$110,$M$105:$M$110,2,"dist",Summary!#REF!,$M$104,$O$104)</f>
        <v>#VALUE!</v>
      </c>
      <c r="P106">
        <f>'SFU-HW_RA'!M29</f>
        <v>141.76</v>
      </c>
      <c r="Q106">
        <f>'SFU-HW_RA'!N29</f>
        <v>40.102800999999999</v>
      </c>
      <c r="R106" t="e" cm="1">
        <f t="array" ref="R106">pareto($P$105:$P$110,$Q$105:$Q$110,2,"rate",Summary!#REF!,$M$104,$O$104)</f>
        <v>#VALUE!</v>
      </c>
      <c r="S106" t="e" cm="1">
        <f t="array" ref="S106">pareto($P$105:$P$110,$Q$105:$Q$110,2,"dist",Summary!#REF!,$M$104,$O$104)</f>
        <v>#VALUE!</v>
      </c>
    </row>
    <row r="107" spans="11:57" x14ac:dyDescent="0.25">
      <c r="L107">
        <f>'SFU-HW_RA'!D30</f>
        <v>81.101395350000004</v>
      </c>
      <c r="M107">
        <f>'SFU-HW_RA'!E30</f>
        <v>36.976239999999997</v>
      </c>
      <c r="N107" t="e" cm="1">
        <f t="array" ref="N107">pareto($L$105:$L$110,$M$105:$M$110,3,"rate",Summary!#REF!,$M$104,$O$104)</f>
        <v>#VALUE!</v>
      </c>
      <c r="O107" t="e" cm="1">
        <f t="array" ref="O107">pareto($L$105:$L$110,$M$105:$M$110,3,"dist",Summary!#REF!,$M$104,$O$104)</f>
        <v>#VALUE!</v>
      </c>
      <c r="P107">
        <f>'SFU-HW_RA'!M30</f>
        <v>81.101395348837201</v>
      </c>
      <c r="Q107">
        <f>'SFU-HW_RA'!N30</f>
        <v>36.976239999999997</v>
      </c>
      <c r="R107" t="e" cm="1">
        <f t="array" ref="R107">pareto($P$105:$P$110,$Q$105:$Q$110,3,"rate",Summary!#REF!,$M$104,$O$104)</f>
        <v>#VALUE!</v>
      </c>
      <c r="S107" t="e" cm="1">
        <f t="array" ref="S107">pareto($P$105:$P$110,$Q$105:$Q$110,3,"dist",Summary!#REF!,$M$104,$O$104)</f>
        <v>#VALUE!</v>
      </c>
    </row>
    <row r="108" spans="11:57" x14ac:dyDescent="0.25">
      <c r="L108">
        <f>'SFU-HW_RA'!D31</f>
        <v>61.179534879999999</v>
      </c>
      <c r="M108">
        <f>'SFU-HW_RA'!E31</f>
        <v>32.154454000000001</v>
      </c>
      <c r="N108" t="e" cm="1">
        <f t="array" ref="N108">pareto($L$105:$L$110,$M$105:$M$110,4,"rate",Summary!#REF!,$M$104,$O$104)</f>
        <v>#VALUE!</v>
      </c>
      <c r="O108" t="e" cm="1">
        <f t="array" ref="O108">pareto($L$105:$L$110,$M$105:$M$110,4,"dist",Summary!#REF!,$M$104,$O$104)</f>
        <v>#VALUE!</v>
      </c>
      <c r="P108">
        <f>'SFU-HW_RA'!M31</f>
        <v>61.179534883720898</v>
      </c>
      <c r="Q108">
        <f>'SFU-HW_RA'!N31</f>
        <v>32.154454000000001</v>
      </c>
      <c r="R108" t="e" cm="1">
        <f t="array" ref="R108">pareto($P$105:$P$110,$Q$105:$Q$110,4,"rate",Summary!#REF!,$M$104,$O$104)</f>
        <v>#VALUE!</v>
      </c>
      <c r="S108" t="e" cm="1">
        <f t="array" ref="S108">pareto($P$105:$P$110,$Q$105:$Q$110,4,"dist",Summary!#REF!,$M$104,$O$104)</f>
        <v>#VALUE!</v>
      </c>
    </row>
    <row r="109" spans="11:57" x14ac:dyDescent="0.25">
      <c r="L109">
        <f>'SFU-HW_RA'!D32</f>
        <v>39.769302330000002</v>
      </c>
      <c r="M109">
        <f>'SFU-HW_RA'!E32</f>
        <v>19.522511000000002</v>
      </c>
      <c r="N109" t="e" cm="1">
        <f t="array" ref="N109">pareto($L$105:$L$110,$M$105:$M$110,5,"rate",Summary!#REF!,$M$104,$O$104)</f>
        <v>#VALUE!</v>
      </c>
      <c r="O109" t="e" cm="1">
        <f t="array" ref="O109">pareto($L$105:$L$110,$M$105:$M$110,5,"dist",Summary!#REF!,$M$104,$O$104)</f>
        <v>#VALUE!</v>
      </c>
      <c r="P109">
        <f>'SFU-HW_RA'!M32</f>
        <v>39.7693023255814</v>
      </c>
      <c r="Q109">
        <f>'SFU-HW_RA'!N32</f>
        <v>19.522511000000002</v>
      </c>
      <c r="R109" t="e" cm="1">
        <f t="array" ref="R109">pareto($P$105:$P$110,$Q$105:$Q$110,5,"rate",Summary!#REF!,$M$104,$O$104)</f>
        <v>#VALUE!</v>
      </c>
      <c r="S109" t="e" cm="1">
        <f t="array" ref="S109">pareto($P$105:$P$110,$Q$105:$Q$110,5,"dist",Summary!#REF!,$M$104,$O$104)</f>
        <v>#VALUE!</v>
      </c>
    </row>
    <row r="110" spans="11:57" x14ac:dyDescent="0.25">
      <c r="L110">
        <f>'SFU-HW_RA'!D33</f>
        <v>24.989767440000001</v>
      </c>
      <c r="M110">
        <f>'SFU-HW_RA'!E33</f>
        <v>13.66995</v>
      </c>
      <c r="N110" t="e" cm="1">
        <f t="array" ref="N110">pareto($L$105:$L$110,$M$105:$M$110,6,"rate",Summary!#REF!,$M$104,$O$104)</f>
        <v>#VALUE!</v>
      </c>
      <c r="O110" t="e" cm="1">
        <f t="array" ref="O110">pareto($L$105:$L$110,$M$105:$M$110,6,"dist",Summary!#REF!,$M$104,$O$104)</f>
        <v>#VALUE!</v>
      </c>
      <c r="P110">
        <f>'SFU-HW_RA'!M33</f>
        <v>24.989767441860401</v>
      </c>
      <c r="Q110">
        <f>'SFU-HW_RA'!N33</f>
        <v>13.66995</v>
      </c>
      <c r="R110" t="e" cm="1">
        <f t="array" ref="R110">pareto($P$105:$P$110,$Q$105:$Q$110,6,"rate",Summary!#REF!,$M$104,$O$104)</f>
        <v>#VALUE!</v>
      </c>
      <c r="S110" t="e" cm="1">
        <f t="array" ref="S110">pareto($P$105:$P$110,$Q$105:$Q$110,6,"dist",Summary!#REF!,$M$104,$O$104)</f>
        <v>#VALUE!</v>
      </c>
    </row>
    <row r="124" spans="1:59" x14ac:dyDescent="0.25">
      <c r="A124" t="s">
        <v>148</v>
      </c>
    </row>
    <row r="125" spans="1:59" x14ac:dyDescent="0.25">
      <c r="A125" t="s">
        <v>57</v>
      </c>
      <c r="B125" s="312" t="s">
        <v>26</v>
      </c>
      <c r="C125" s="312"/>
      <c r="D125" s="312" t="s">
        <v>27</v>
      </c>
      <c r="E125" s="312"/>
      <c r="F125" s="312" t="s">
        <v>28</v>
      </c>
      <c r="G125" s="312"/>
      <c r="H125" s="312" t="s">
        <v>29</v>
      </c>
      <c r="I125" s="312"/>
      <c r="K125" s="35" t="s">
        <v>59</v>
      </c>
      <c r="L125" s="312" t="s">
        <v>26</v>
      </c>
      <c r="M125" s="312"/>
      <c r="N125" s="312" t="s">
        <v>27</v>
      </c>
      <c r="O125" s="312"/>
      <c r="P125" s="312" t="s">
        <v>28</v>
      </c>
      <c r="Q125" s="312"/>
      <c r="R125" s="312" t="s">
        <v>29</v>
      </c>
      <c r="S125" s="312"/>
      <c r="U125" t="s">
        <v>65</v>
      </c>
      <c r="V125" s="312" t="s">
        <v>26</v>
      </c>
      <c r="W125" s="312"/>
      <c r="X125" s="312" t="s">
        <v>27</v>
      </c>
      <c r="Y125" s="312"/>
      <c r="Z125" s="312" t="s">
        <v>28</v>
      </c>
      <c r="AA125" s="312"/>
      <c r="AB125" s="312" t="s">
        <v>29</v>
      </c>
      <c r="AC125" s="312"/>
      <c r="AD125" s="17"/>
      <c r="AE125" t="s">
        <v>70</v>
      </c>
      <c r="AF125" s="312" t="s">
        <v>26</v>
      </c>
      <c r="AG125" s="312"/>
      <c r="AH125" s="312" t="s">
        <v>27</v>
      </c>
      <c r="AI125" s="312"/>
      <c r="AJ125" s="312" t="s">
        <v>28</v>
      </c>
      <c r="AK125" s="312"/>
      <c r="AL125" s="312" t="s">
        <v>29</v>
      </c>
      <c r="AM125" s="312"/>
      <c r="AO125" t="s">
        <v>78</v>
      </c>
      <c r="AP125" s="312" t="s">
        <v>26</v>
      </c>
      <c r="AQ125" s="312"/>
      <c r="AR125" s="312" t="s">
        <v>27</v>
      </c>
      <c r="AS125" s="312"/>
      <c r="AT125" s="312" t="s">
        <v>28</v>
      </c>
      <c r="AU125" s="312"/>
      <c r="AV125" s="312" t="s">
        <v>29</v>
      </c>
      <c r="AW125" s="312"/>
      <c r="AY125" t="s">
        <v>102</v>
      </c>
      <c r="AZ125" s="312" t="s">
        <v>26</v>
      </c>
      <c r="BA125" s="312"/>
      <c r="BB125" s="312" t="s">
        <v>27</v>
      </c>
      <c r="BC125" s="312"/>
      <c r="BD125" s="312" t="s">
        <v>28</v>
      </c>
      <c r="BE125" s="312"/>
      <c r="BF125" s="312" t="s">
        <v>29</v>
      </c>
      <c r="BG125" s="312"/>
    </row>
    <row r="126" spans="1:59" x14ac:dyDescent="0.25">
      <c r="B126" t="s">
        <v>24</v>
      </c>
      <c r="C126" t="s">
        <v>25</v>
      </c>
      <c r="D126" t="s">
        <v>24</v>
      </c>
      <c r="E126" t="s">
        <v>25</v>
      </c>
      <c r="F126" t="s">
        <v>24</v>
      </c>
      <c r="G126" t="s">
        <v>25</v>
      </c>
      <c r="H126" t="s">
        <v>24</v>
      </c>
      <c r="I126" t="s">
        <v>25</v>
      </c>
      <c r="L126" t="s">
        <v>24</v>
      </c>
      <c r="M126" t="s">
        <v>25</v>
      </c>
      <c r="N126" t="s">
        <v>24</v>
      </c>
      <c r="O126" t="s">
        <v>25</v>
      </c>
      <c r="P126" t="s">
        <v>24</v>
      </c>
      <c r="Q126" t="s">
        <v>25</v>
      </c>
      <c r="R126" t="s">
        <v>24</v>
      </c>
      <c r="S126" t="s">
        <v>25</v>
      </c>
      <c r="V126" t="s">
        <v>24</v>
      </c>
      <c r="W126" t="s">
        <v>25</v>
      </c>
      <c r="X126" t="s">
        <v>24</v>
      </c>
      <c r="Y126" t="s">
        <v>25</v>
      </c>
      <c r="Z126" t="s">
        <v>24</v>
      </c>
      <c r="AA126" t="s">
        <v>25</v>
      </c>
      <c r="AB126" t="s">
        <v>24</v>
      </c>
      <c r="AC126" t="s">
        <v>25</v>
      </c>
      <c r="AF126" t="s">
        <v>24</v>
      </c>
      <c r="AG126" t="s">
        <v>53</v>
      </c>
      <c r="AH126" t="s">
        <v>24</v>
      </c>
      <c r="AI126" t="s">
        <v>53</v>
      </c>
      <c r="AJ126" t="s">
        <v>24</v>
      </c>
      <c r="AK126" t="s">
        <v>53</v>
      </c>
      <c r="AL126" t="s">
        <v>24</v>
      </c>
      <c r="AM126" t="s">
        <v>53</v>
      </c>
      <c r="AP126" t="s">
        <v>24</v>
      </c>
      <c r="AQ126" t="s">
        <v>25</v>
      </c>
      <c r="AR126" t="s">
        <v>24</v>
      </c>
      <c r="AS126" t="s">
        <v>25</v>
      </c>
      <c r="AT126" t="s">
        <v>24</v>
      </c>
      <c r="AU126" t="s">
        <v>25</v>
      </c>
      <c r="AV126" t="s">
        <v>24</v>
      </c>
      <c r="AW126" t="s">
        <v>25</v>
      </c>
      <c r="AZ126" t="s">
        <v>24</v>
      </c>
      <c r="BA126" t="s">
        <v>25</v>
      </c>
      <c r="BB126" t="s">
        <v>24</v>
      </c>
      <c r="BC126" t="s">
        <v>25</v>
      </c>
      <c r="BD126" t="s">
        <v>24</v>
      </c>
      <c r="BE126" t="s">
        <v>25</v>
      </c>
      <c r="BF126" t="s">
        <v>24</v>
      </c>
      <c r="BG126" t="s">
        <v>25</v>
      </c>
    </row>
    <row r="127" spans="1:59" x14ac:dyDescent="0.25">
      <c r="A127" t="s">
        <v>58</v>
      </c>
      <c r="B127" t="s">
        <v>40</v>
      </c>
      <c r="C127">
        <v>44.241199000000002</v>
      </c>
      <c r="D127" t="s">
        <v>44</v>
      </c>
      <c r="E127">
        <v>20</v>
      </c>
      <c r="K127" t="s">
        <v>60</v>
      </c>
      <c r="L127" t="s">
        <v>40</v>
      </c>
      <c r="M127">
        <v>77.041349999999994</v>
      </c>
      <c r="N127" t="s">
        <v>44</v>
      </c>
      <c r="O127">
        <v>20</v>
      </c>
      <c r="Q127" s="36"/>
      <c r="U127" t="s">
        <v>66</v>
      </c>
      <c r="V127" t="s">
        <v>40</v>
      </c>
      <c r="W127">
        <v>27.288250999999999</v>
      </c>
      <c r="X127" t="s">
        <v>44</v>
      </c>
      <c r="Y127">
        <v>20</v>
      </c>
      <c r="AE127" t="s">
        <v>71</v>
      </c>
      <c r="AF127" t="s">
        <v>40</v>
      </c>
      <c r="AG127">
        <v>34.423498000000002</v>
      </c>
      <c r="AH127" t="s">
        <v>44</v>
      </c>
      <c r="AI127">
        <v>20</v>
      </c>
      <c r="AO127" t="s">
        <v>75</v>
      </c>
      <c r="AP127" t="s">
        <v>40</v>
      </c>
      <c r="AQ127" s="71">
        <v>23.965539</v>
      </c>
      <c r="AR127" t="s">
        <v>44</v>
      </c>
      <c r="AS127">
        <v>20</v>
      </c>
      <c r="AY127" t="s">
        <v>100</v>
      </c>
      <c r="AZ127" t="s">
        <v>40</v>
      </c>
      <c r="BA127" s="71">
        <v>44.790391999999997</v>
      </c>
      <c r="BB127" t="s">
        <v>44</v>
      </c>
      <c r="BC127">
        <v>20</v>
      </c>
    </row>
    <row r="128" spans="1:59" x14ac:dyDescent="0.25">
      <c r="B128" t="e">
        <f>#REF!</f>
        <v>#REF!</v>
      </c>
      <c r="C128" t="e">
        <f>#REF!</f>
        <v>#REF!</v>
      </c>
      <c r="D128" t="e" cm="1">
        <f t="array" ref="D128">pareto($B$128:$B$133,$C$128:$C$133,1,"rate",Summary!#REF!,$C$127,$E$127)</f>
        <v>#VALUE!</v>
      </c>
      <c r="E128" t="e" cm="1">
        <f t="array" ref="E128">pareto($B$128:$B$133,$C$128:$C$133,1,"dist",Summary!#REF!,$C$127,$E$127)</f>
        <v>#VALUE!</v>
      </c>
      <c r="F128" t="e">
        <f>#REF!</f>
        <v>#REF!</v>
      </c>
      <c r="G128" t="e">
        <f>#REF!</f>
        <v>#REF!</v>
      </c>
      <c r="H128" t="e" cm="1">
        <f t="array" ref="H128">pareto($F$128:$F$133,$G$128:$G$133,1,"rate",Summary!#REF!,$C$127,$E$127)</f>
        <v>#VALUE!</v>
      </c>
      <c r="I128" t="e" cm="1">
        <f t="array" ref="I128">pareto($F$128:$F$133,$G$128:$G$133,1,"dist",Summary!#REF!,$C$127,$E$127)</f>
        <v>#VALUE!</v>
      </c>
      <c r="L128" t="e">
        <f>#REF!</f>
        <v>#REF!</v>
      </c>
      <c r="M128" t="e">
        <f>#REF!</f>
        <v>#REF!</v>
      </c>
      <c r="N128" t="e" cm="1">
        <f t="array" ref="N128">pareto($L$128:$L$133,$M$128:$M$133,1,"rate",Summary!#REF!,$M$127,$O$127)</f>
        <v>#VALUE!</v>
      </c>
      <c r="O128" t="e" cm="1">
        <f t="array" ref="O128">pareto($L$128:$L$133,$M$128:$M$133,1,"dist",Summary!#REF!,$M$127,$O$127)</f>
        <v>#VALUE!</v>
      </c>
      <c r="P128" t="e">
        <f>#REF!</f>
        <v>#REF!</v>
      </c>
      <c r="Q128" t="e">
        <f>#REF!</f>
        <v>#REF!</v>
      </c>
      <c r="R128" t="e" cm="1">
        <f t="array" ref="R128">pareto($P$128:$P$133,$Q$128:$Q$133,1,"rate",Summary!#REF!,$M$127,$O$127)</f>
        <v>#VALUE!</v>
      </c>
      <c r="S128" t="e" cm="1">
        <f t="array" ref="S128">pareto($P$128:$P$133,$Q$128:$Q$133,1,"dist",Summary!#REF!,$M$127,$O$127)</f>
        <v>#VALUE!</v>
      </c>
      <c r="V128" t="e">
        <f>#REF!</f>
        <v>#REF!</v>
      </c>
      <c r="W128" t="e">
        <f>#REF!</f>
        <v>#REF!</v>
      </c>
      <c r="X128" t="e" cm="1">
        <f t="array" ref="X128">pareto($V$128:$V$133,$W$128:$W$133,1,"rate",Summary!#REF!,$W$127,$Y$127)</f>
        <v>#VALUE!</v>
      </c>
      <c r="Y128" t="e" cm="1">
        <f t="array" ref="Y128">pareto($V$128:$V$133,$W$128:$W$133,1,"dist",Summary!#REF!,$W$127,$Y$127)</f>
        <v>#VALUE!</v>
      </c>
      <c r="Z128" t="e">
        <f>#REF!</f>
        <v>#REF!</v>
      </c>
      <c r="AA128" t="e">
        <f>#REF!</f>
        <v>#REF!</v>
      </c>
      <c r="AB128" t="e" cm="1">
        <f t="array" ref="AB128">pareto($Z$128:$Z$133,$AA$128:$AA$133,1,"rate",Summary!#REF!,$W$127,$Y$127)</f>
        <v>#VALUE!</v>
      </c>
      <c r="AC128" t="e" cm="1">
        <f t="array" ref="AC128">pareto($Z$128:$Z$133,$AA$128:$AA$133,1,"dist",Summary!#REF!,$W$127,$Y$127)</f>
        <v>#VALUE!</v>
      </c>
      <c r="AF128" t="e">
        <f>#REF!</f>
        <v>#REF!</v>
      </c>
      <c r="AG128" t="e">
        <f>#REF!</f>
        <v>#REF!</v>
      </c>
      <c r="AH128" t="e" cm="1">
        <f t="array" ref="AH128">pareto($AF$128:$AF$133,$AG$128:$AG$133,1,"rate",Summary!#REF!,$AG$127,$AI$127)</f>
        <v>#VALUE!</v>
      </c>
      <c r="AI128" t="e" cm="1">
        <f t="array" ref="AI128">pareto($AF$128:$AF$133,$AG$128:$AG$133,1,"dist",Summary!#REF!,$AG$127,$AI$127)</f>
        <v>#VALUE!</v>
      </c>
      <c r="AJ128" t="e">
        <f>#REF!</f>
        <v>#REF!</v>
      </c>
      <c r="AK128" t="e">
        <f>#REF!</f>
        <v>#REF!</v>
      </c>
      <c r="AL128" t="e" cm="1">
        <f t="array" ref="AL128">pareto($AJ$128:$AJ$133,$AK$128:$AK$133,1,"rate",Summary!#REF!,$AG$127,$AI$127)</f>
        <v>#VALUE!</v>
      </c>
      <c r="AM128" t="e" cm="1">
        <f t="array" ref="AM128">pareto($AJ$128:$AJ$133,$AK$128:$AK$133,1,"dist",Summary!#REF!,$AG$127,$AI$127)</f>
        <v>#VALUE!</v>
      </c>
      <c r="AP128" t="e">
        <f>#REF!</f>
        <v>#REF!</v>
      </c>
      <c r="AQ128" t="e">
        <f>#REF!</f>
        <v>#REF!</v>
      </c>
      <c r="AR128" t="e" cm="1">
        <f t="array" ref="AR128">pareto($AP$128:$AP$133,$AQ$128:$AQ$133,1,"rate",Summary!#REF!,$AQ$127,$AI$127)</f>
        <v>#VALUE!</v>
      </c>
      <c r="AS128" t="e" cm="1">
        <f t="array" ref="AS128">pareto($AP$128:$AP$133,$AQ$128:$AQ$133,1,"dist",Summary!#REF!,$AQ$127,$AI$127)</f>
        <v>#VALUE!</v>
      </c>
      <c r="AT128" t="e">
        <f>#REF!</f>
        <v>#REF!</v>
      </c>
      <c r="AU128" t="e">
        <f>#REF!</f>
        <v>#REF!</v>
      </c>
      <c r="AV128" t="e" cm="1">
        <f t="array" ref="AV128">pareto($AT$128:$AT$133,$AU$128:$AU$133,1,"rate",Summary!#REF!,$AQ$127,$AI$127)</f>
        <v>#VALUE!</v>
      </c>
      <c r="AW128" t="e" cm="1">
        <f t="array" ref="AW128">pareto($AT$128:$AT$133,$AU$128:$AU$133,1,"dist",Summary!#REF!,$AQ$127,$AI$127)</f>
        <v>#VALUE!</v>
      </c>
      <c r="AZ128" s="36" t="e">
        <f>#REF!</f>
        <v>#REF!</v>
      </c>
      <c r="BA128" s="36" t="e">
        <f>#REF!</f>
        <v>#REF!</v>
      </c>
      <c r="BB128" t="e" cm="1">
        <f t="array" ref="BB128">pareto($AZ$128:$AZ$133,$BA$128:$BA$133,1,"rate",Summary!#REF!,$BA$127,$BC$127)</f>
        <v>#VALUE!</v>
      </c>
      <c r="BC128" t="e" cm="1">
        <f t="array" ref="BC128">pareto($AZ$128:$AZ$133,$BA$128:$BA$133,1,"dist",Summary!#REF!,$BA$127,$BC$127)</f>
        <v>#VALUE!</v>
      </c>
      <c r="BD128" s="36" t="e">
        <f>#REF!</f>
        <v>#REF!</v>
      </c>
      <c r="BE128" s="36" t="e">
        <f>#REF!</f>
        <v>#REF!</v>
      </c>
      <c r="BF128" t="e" cm="1">
        <f t="array" ref="BF128">pareto($BD$128:$BD$133,$BE$128:$BE$133,1,"rate",Summary!#REF!,$BA$127,$BC$127)</f>
        <v>#VALUE!</v>
      </c>
      <c r="BG128" t="e" cm="1">
        <f t="array" ref="BG128">pareto($BD$128:$BD$133,$BE$128:$BE$133,1,"dist",Summary!#REF!,$BA$127,$BC$127)</f>
        <v>#VALUE!</v>
      </c>
    </row>
    <row r="129" spans="2:59" x14ac:dyDescent="0.25">
      <c r="B129" t="e">
        <f>#REF!</f>
        <v>#REF!</v>
      </c>
      <c r="C129" t="e">
        <f>#REF!</f>
        <v>#REF!</v>
      </c>
      <c r="D129" t="e" cm="1">
        <f t="array" ref="D129">pareto($B$128:$B$133,$C$128:$C$133,2,"rate",Summary!#REF!,$C$127,$E$127)</f>
        <v>#VALUE!</v>
      </c>
      <c r="E129" t="e" cm="1">
        <f t="array" ref="E129">pareto($B$128:$B$133,$C$128:$C$133,2,"dist",Summary!#REF!,$C$127,$E$127)</f>
        <v>#VALUE!</v>
      </c>
      <c r="F129" t="e">
        <f>#REF!</f>
        <v>#REF!</v>
      </c>
      <c r="G129" t="e">
        <f>#REF!</f>
        <v>#REF!</v>
      </c>
      <c r="H129" t="e" cm="1">
        <f t="array" ref="H129">pareto($F$128:$F$133,$G$128:$G$133,2,"rate",Summary!#REF!,$C$127,$E$127)</f>
        <v>#VALUE!</v>
      </c>
      <c r="I129" t="e" cm="1">
        <f t="array" ref="I129">pareto($F$128:$F$133,$G$128:$G$133,2,"dist",Summary!#REF!,$C$127,$E$127)</f>
        <v>#VALUE!</v>
      </c>
      <c r="L129" t="e">
        <f>#REF!</f>
        <v>#REF!</v>
      </c>
      <c r="M129" t="e">
        <f>#REF!</f>
        <v>#REF!</v>
      </c>
      <c r="N129" t="e" cm="1">
        <f t="array" ref="N129">pareto($L$128:$L$133,$M$128:$M$133,2,"rate",Summary!#REF!,$M$127,$O$127)</f>
        <v>#VALUE!</v>
      </c>
      <c r="O129" t="e" cm="1">
        <f t="array" ref="O129">pareto($L$128:$L$133,$M$128:$M$133,2,"dist",Summary!#REF!,$M$127,$O$127)</f>
        <v>#VALUE!</v>
      </c>
      <c r="P129" t="e">
        <f>#REF!</f>
        <v>#REF!</v>
      </c>
      <c r="Q129" t="e">
        <f>#REF!</f>
        <v>#REF!</v>
      </c>
      <c r="R129" t="e" cm="1">
        <f t="array" ref="R129">pareto($P$128:$P$133,$Q$128:$Q$133,2,"rate",Summary!#REF!,$M$127,$O$127)</f>
        <v>#VALUE!</v>
      </c>
      <c r="S129" t="e" cm="1">
        <f t="array" ref="S129">pareto($P$128:$P$133,$Q$128:$Q$133,2,"dist",Summary!#REF!,$M$127,$O$127)</f>
        <v>#VALUE!</v>
      </c>
      <c r="V129" t="e">
        <f>#REF!</f>
        <v>#REF!</v>
      </c>
      <c r="W129" t="e">
        <f>#REF!</f>
        <v>#REF!</v>
      </c>
      <c r="X129" t="e" cm="1">
        <f t="array" ref="X129">pareto($V$128:$V$133,$W$128:$W$133,2,"rate",Summary!#REF!,$W$127,$Y$127)</f>
        <v>#VALUE!</v>
      </c>
      <c r="Y129" t="e" cm="1">
        <f t="array" ref="Y129">pareto($V$128:$V$133,$W$128:$W$133,2,"dist",Summary!#REF!,$W$127,$Y$127)</f>
        <v>#VALUE!</v>
      </c>
      <c r="Z129" t="e">
        <f>#REF!</f>
        <v>#REF!</v>
      </c>
      <c r="AA129" t="e">
        <f>#REF!</f>
        <v>#REF!</v>
      </c>
      <c r="AB129" t="e" cm="1">
        <f t="array" ref="AB129">pareto($Z$128:$Z$133,$AA$128:$AA$133,2,"rate",Summary!#REF!,$W$127,$Y$127)</f>
        <v>#VALUE!</v>
      </c>
      <c r="AC129" t="e" cm="1">
        <f t="array" ref="AC129">pareto($Z$128:$Z$133,$AA$128:$AA$133,2,"dist",Summary!#REF!,$W$127,$Y$127)</f>
        <v>#VALUE!</v>
      </c>
      <c r="AF129" t="e">
        <f>#REF!</f>
        <v>#REF!</v>
      </c>
      <c r="AG129" t="e">
        <f>#REF!</f>
        <v>#REF!</v>
      </c>
      <c r="AH129" t="e" cm="1">
        <f t="array" ref="AH129">pareto($AF$128:$AF$133,$AG$128:$AG$133,2,"rate",Summary!#REF!,$AG$127,$AI$127)</f>
        <v>#VALUE!</v>
      </c>
      <c r="AI129" t="e" cm="1">
        <f t="array" ref="AI129">pareto($AF$128:$AF$133,$AG$128:$AG$133,2,"dist",Summary!#REF!,$AG$127,$AI$127)</f>
        <v>#VALUE!</v>
      </c>
      <c r="AJ129" t="e">
        <f>#REF!</f>
        <v>#REF!</v>
      </c>
      <c r="AK129" t="e">
        <f>#REF!</f>
        <v>#REF!</v>
      </c>
      <c r="AL129" t="e" cm="1">
        <f t="array" ref="AL129">pareto($AJ$128:$AJ$133,$AK$128:$AK$133,2,"rate",Summary!#REF!,$AG$127,$AI$127)</f>
        <v>#VALUE!</v>
      </c>
      <c r="AM129" t="e" cm="1">
        <f t="array" ref="AM129">pareto($AJ$128:$AJ$133,$AK$128:$AK$133,2,"dist",Summary!#REF!,$AG$127,$AI$127)</f>
        <v>#VALUE!</v>
      </c>
      <c r="AP129" t="e">
        <f>#REF!</f>
        <v>#REF!</v>
      </c>
      <c r="AQ129" t="e">
        <f>#REF!</f>
        <v>#REF!</v>
      </c>
      <c r="AR129" t="e" cm="1">
        <f t="array" ref="AR129">pareto($AP$128:$AP$133,$AQ$128:$AQ$133,2,"rate",Summary!#REF!,$AQ$127,$AI$127)</f>
        <v>#VALUE!</v>
      </c>
      <c r="AS129" t="e" cm="1">
        <f t="array" ref="AS129">pareto($AP$128:$AP$133,$AQ$128:$AQ$133,2,"dist",Summary!#REF!,$AQ$127,$AI$127)</f>
        <v>#VALUE!</v>
      </c>
      <c r="AT129" t="e">
        <f>#REF!</f>
        <v>#REF!</v>
      </c>
      <c r="AU129" t="e">
        <f>#REF!</f>
        <v>#REF!</v>
      </c>
      <c r="AV129" t="e" cm="1">
        <f t="array" ref="AV129">pareto($AT$128:$AT$133,$AU$128:$AU$133,2,"rate",Summary!#REF!,$AQ$127,$AI$127)</f>
        <v>#VALUE!</v>
      </c>
      <c r="AW129" t="e" cm="1">
        <f t="array" ref="AW129">pareto($AT$128:$AT$133,$AU$128:$AU$133,2,"dist",Summary!#REF!,$AQ$127,$AI$127)</f>
        <v>#VALUE!</v>
      </c>
      <c r="AZ129" s="36" t="e">
        <f>#REF!</f>
        <v>#REF!</v>
      </c>
      <c r="BA129" s="36" t="e">
        <f>#REF!</f>
        <v>#REF!</v>
      </c>
      <c r="BB129" t="e" cm="1">
        <f t="array" ref="BB129">pareto($AZ$128:$AZ$133,$BA$128:$BA$133,2,"rate",Summary!#REF!,$BA$127,$BC$127)</f>
        <v>#VALUE!</v>
      </c>
      <c r="BC129" t="e" cm="1">
        <f t="array" ref="BC129">pareto($AZ$128:$AZ$133,$BA$128:$BA$133,2,"dist",Summary!#REF!,$BA$127,$BC$127)</f>
        <v>#VALUE!</v>
      </c>
      <c r="BD129" s="36" t="e">
        <f>#REF!</f>
        <v>#REF!</v>
      </c>
      <c r="BE129" s="36" t="e">
        <f>#REF!</f>
        <v>#REF!</v>
      </c>
      <c r="BF129" t="e" cm="1">
        <f t="array" ref="BF129">pareto($BD$128:$BD$133,$BE$128:$BE$133,2,"rate",Summary!#REF!,$BA$127,$BC$127)</f>
        <v>#VALUE!</v>
      </c>
      <c r="BG129" t="e" cm="1">
        <f t="array" ref="BG129">pareto($BD$128:$BD$133,$BE$128:$BE$133,2,"dist",Summary!#REF!,$BA$127,$BC$127)</f>
        <v>#VALUE!</v>
      </c>
    </row>
    <row r="130" spans="2:59" x14ac:dyDescent="0.25">
      <c r="B130" t="e">
        <f>#REF!</f>
        <v>#REF!</v>
      </c>
      <c r="C130" t="e">
        <f>#REF!</f>
        <v>#REF!</v>
      </c>
      <c r="D130" t="e" cm="1">
        <f t="array" ref="D130">pareto($B$128:$B$133,$C$128:$C$133,3,"rate",Summary!#REF!,$C$127,$E$127)</f>
        <v>#VALUE!</v>
      </c>
      <c r="E130" t="e" cm="1">
        <f t="array" ref="E130">pareto($B$128:$B$133,$C$128:$C$133,3,"dist",Summary!#REF!,$C$127,$E$127)</f>
        <v>#VALUE!</v>
      </c>
      <c r="F130" t="e">
        <f>#REF!</f>
        <v>#REF!</v>
      </c>
      <c r="G130" t="e">
        <f>#REF!</f>
        <v>#REF!</v>
      </c>
      <c r="H130" t="e" cm="1">
        <f t="array" ref="H130">pareto($F$128:$F$133,$G$128:$G$133,3,"rate",Summary!#REF!,$C$127,$E$127)</f>
        <v>#VALUE!</v>
      </c>
      <c r="I130" t="e" cm="1">
        <f t="array" ref="I130">pareto($F$128:$F$133,$G$128:$G$133,3,"dist",Summary!#REF!,$C$127,$E$127)</f>
        <v>#VALUE!</v>
      </c>
      <c r="L130" t="e">
        <f>#REF!</f>
        <v>#REF!</v>
      </c>
      <c r="M130" t="e">
        <f>#REF!</f>
        <v>#REF!</v>
      </c>
      <c r="N130" t="e" cm="1">
        <f t="array" ref="N130">pareto($L$128:$L$133,$M$128:$M$133,3,"rate",Summary!#REF!,$M$127,$O$127)</f>
        <v>#VALUE!</v>
      </c>
      <c r="O130" t="e" cm="1">
        <f t="array" ref="O130">pareto($L$128:$L$133,$M$128:$M$133,3,"dist",Summary!#REF!,$M$127,$O$127)</f>
        <v>#VALUE!</v>
      </c>
      <c r="P130" t="e">
        <f>#REF!</f>
        <v>#REF!</v>
      </c>
      <c r="Q130" t="e">
        <f>#REF!</f>
        <v>#REF!</v>
      </c>
      <c r="R130" t="e" cm="1">
        <f t="array" ref="R130">pareto($P$128:$P$133,$Q$128:$Q$133,3,"rate",Summary!#REF!,$M$127,$O$127)</f>
        <v>#VALUE!</v>
      </c>
      <c r="S130" t="e" cm="1">
        <f t="array" ref="S130">pareto($P$128:$P$133,$Q$128:$Q$133,3,"dist",Summary!#REF!,$M$127,$O$127)</f>
        <v>#VALUE!</v>
      </c>
      <c r="V130" t="e">
        <f>#REF!</f>
        <v>#REF!</v>
      </c>
      <c r="W130" t="e">
        <f>#REF!</f>
        <v>#REF!</v>
      </c>
      <c r="X130" t="e" cm="1">
        <f t="array" ref="X130">pareto($V$128:$V$133,$W$128:$W$133,3,"rate",Summary!#REF!,$W$127,$Y$127)</f>
        <v>#VALUE!</v>
      </c>
      <c r="Y130" t="e" cm="1">
        <f t="array" ref="Y130">pareto($V$128:$V$133,$W$128:$W$133,3,"dist",Summary!#REF!,$W$127,$Y$127)</f>
        <v>#VALUE!</v>
      </c>
      <c r="Z130" t="e">
        <f>#REF!</f>
        <v>#REF!</v>
      </c>
      <c r="AA130" t="e">
        <f>#REF!</f>
        <v>#REF!</v>
      </c>
      <c r="AB130" t="e" cm="1">
        <f t="array" ref="AB130">pareto($Z$128:$Z$133,$AA$128:$AA$133,3,"rate",Summary!#REF!,$W$127,$Y$127)</f>
        <v>#VALUE!</v>
      </c>
      <c r="AC130" t="e" cm="1">
        <f t="array" ref="AC130">pareto($Z$128:$Z$133,$AA$128:$AA$133,3,"dist",Summary!#REF!,$W$127,$Y$127)</f>
        <v>#VALUE!</v>
      </c>
      <c r="AF130" t="e">
        <f>#REF!</f>
        <v>#REF!</v>
      </c>
      <c r="AG130" t="e">
        <f>#REF!</f>
        <v>#REF!</v>
      </c>
      <c r="AH130" t="e" cm="1">
        <f t="array" ref="AH130">pareto($AF$128:$AF$133,$AG$128:$AG$133,3,"rate",Summary!#REF!,$AG$127,$AI$127)</f>
        <v>#VALUE!</v>
      </c>
      <c r="AI130" t="e" cm="1">
        <f t="array" ref="AI130">pareto($AF$128:$AF$133,$AG$128:$AG$133,3,"dist",Summary!#REF!,$AG$127,$AI$127)</f>
        <v>#VALUE!</v>
      </c>
      <c r="AJ130" t="e">
        <f>#REF!</f>
        <v>#REF!</v>
      </c>
      <c r="AK130" t="e">
        <f>#REF!</f>
        <v>#REF!</v>
      </c>
      <c r="AL130" t="e" cm="1">
        <f t="array" ref="AL130">pareto($AJ$128:$AJ$133,$AK$128:$AK$133,3,"rate",Summary!#REF!,$AG$127,$AI$127)</f>
        <v>#VALUE!</v>
      </c>
      <c r="AM130" t="e" cm="1">
        <f t="array" ref="AM130">pareto($AJ$128:$AJ$133,$AK$128:$AK$133,3,"dist",Summary!#REF!,$AG$127,$AI$127)</f>
        <v>#VALUE!</v>
      </c>
      <c r="AP130" t="e">
        <f>#REF!</f>
        <v>#REF!</v>
      </c>
      <c r="AQ130" t="e">
        <f>#REF!</f>
        <v>#REF!</v>
      </c>
      <c r="AR130" t="e" cm="1">
        <f t="array" ref="AR130">pareto($AP$128:$AP$133,$AQ$128:$AQ$133,3,"rate",Summary!#REF!,$AQ$127,$AI$127)</f>
        <v>#VALUE!</v>
      </c>
      <c r="AS130" t="e" cm="1">
        <f t="array" ref="AS130">pareto($AP$128:$AP$133,$AQ$128:$AQ$133,3,"dist",Summary!#REF!,$AQ$127,$AI$127)</f>
        <v>#VALUE!</v>
      </c>
      <c r="AT130" t="e">
        <f>#REF!</f>
        <v>#REF!</v>
      </c>
      <c r="AU130" t="e">
        <f>#REF!</f>
        <v>#REF!</v>
      </c>
      <c r="AV130" t="e" cm="1">
        <f t="array" ref="AV130">pareto($AT$128:$AT$133,$AU$128:$AU$133,3,"rate",Summary!#REF!,$AQ$127,$AI$127)</f>
        <v>#VALUE!</v>
      </c>
      <c r="AW130" t="e" cm="1">
        <f t="array" ref="AW130">pareto($AT$128:$AT$133,$AU$128:$AU$133,3,"dist",Summary!#REF!,$AQ$127,$AI$127)</f>
        <v>#VALUE!</v>
      </c>
      <c r="AZ130" s="36" t="e">
        <f>#REF!</f>
        <v>#REF!</v>
      </c>
      <c r="BA130" s="36" t="e">
        <f>#REF!</f>
        <v>#REF!</v>
      </c>
      <c r="BB130" t="e" cm="1">
        <f t="array" ref="BB130">pareto($AZ$128:$AZ$133,$BA$128:$BA$133,3,"rate",Summary!#REF!,$BA$127,$BC$127)</f>
        <v>#VALUE!</v>
      </c>
      <c r="BC130" t="e" cm="1">
        <f t="array" ref="BC130">pareto($AZ$128:$AZ$133,$BA$128:$BA$133,3,"dist",Summary!#REF!,$BA$127,$BC$127)</f>
        <v>#VALUE!</v>
      </c>
      <c r="BD130" s="36" t="e">
        <f>#REF!</f>
        <v>#REF!</v>
      </c>
      <c r="BE130" s="36" t="e">
        <f>#REF!</f>
        <v>#REF!</v>
      </c>
      <c r="BF130" t="e" cm="1">
        <f t="array" ref="BF130">pareto($BD$128:$BD$133,$BE$128:$BE$133,3,"rate",Summary!#REF!,$BA$127,$BC$127)</f>
        <v>#VALUE!</v>
      </c>
      <c r="BG130" t="e" cm="1">
        <f t="array" ref="BG130">pareto($BD$128:$BD$133,$BE$128:$BE$133,3,"dist",Summary!#REF!,$BA$127,$BC$127)</f>
        <v>#VALUE!</v>
      </c>
    </row>
    <row r="131" spans="2:59" x14ac:dyDescent="0.25">
      <c r="B131" t="e">
        <f>#REF!</f>
        <v>#REF!</v>
      </c>
      <c r="C131" t="e">
        <f>#REF!</f>
        <v>#REF!</v>
      </c>
      <c r="D131" t="e" cm="1">
        <f t="array" ref="D131">pareto($B$128:$B$133,$C$128:$C$133,4,"rate",Summary!#REF!,$C$127,$E$127)</f>
        <v>#VALUE!</v>
      </c>
      <c r="E131" t="e" cm="1">
        <f t="array" ref="E131">pareto($B$128:$B$133,$C$128:$C$133,4,"dist",Summary!#REF!,$C$127,$E$127)</f>
        <v>#VALUE!</v>
      </c>
      <c r="F131" t="e">
        <f>#REF!</f>
        <v>#REF!</v>
      </c>
      <c r="G131" t="e">
        <f>#REF!</f>
        <v>#REF!</v>
      </c>
      <c r="H131" t="e" cm="1">
        <f t="array" ref="H131">pareto($F$128:$F$133,$G$128:$G$133,4,"rate",Summary!#REF!,$C$127,$E$127)</f>
        <v>#VALUE!</v>
      </c>
      <c r="I131" t="e" cm="1">
        <f t="array" ref="I131">pareto($F$128:$F$133,$G$128:$G$133,4,"dist",Summary!#REF!,$C$127,$E$127)</f>
        <v>#VALUE!</v>
      </c>
      <c r="L131" t="e">
        <f>#REF!</f>
        <v>#REF!</v>
      </c>
      <c r="M131" t="e">
        <f>#REF!</f>
        <v>#REF!</v>
      </c>
      <c r="N131" t="e" cm="1">
        <f t="array" ref="N131">pareto($L$128:$L$133,$M$128:$M$133,4,"rate",Summary!#REF!,$M$127,$O$127)</f>
        <v>#VALUE!</v>
      </c>
      <c r="O131" t="e" cm="1">
        <f t="array" ref="O131">pareto($L$128:$L$133,$M$128:$M$133,4,"dist",Summary!#REF!,$M$127,$O$127)</f>
        <v>#VALUE!</v>
      </c>
      <c r="P131" t="e">
        <f>#REF!</f>
        <v>#REF!</v>
      </c>
      <c r="Q131" t="e">
        <f>#REF!</f>
        <v>#REF!</v>
      </c>
      <c r="R131" t="e" cm="1">
        <f t="array" ref="R131">pareto($P$128:$P$133,$Q$128:$Q$133,4,"rate",Summary!#REF!,$M$127,$O$127)</f>
        <v>#VALUE!</v>
      </c>
      <c r="S131" t="e" cm="1">
        <f t="array" ref="S131">pareto($P$128:$P$133,$Q$128:$Q$133,4,"dist",Summary!#REF!,$M$127,$O$127)</f>
        <v>#VALUE!</v>
      </c>
      <c r="V131" t="e">
        <f>#REF!</f>
        <v>#REF!</v>
      </c>
      <c r="W131" t="e">
        <f>#REF!</f>
        <v>#REF!</v>
      </c>
      <c r="X131" t="e" cm="1">
        <f t="array" ref="X131">pareto($V$128:$V$133,$W$128:$W$133,4,"rate",Summary!#REF!,$W$127,$Y$127)</f>
        <v>#VALUE!</v>
      </c>
      <c r="Y131" t="e" cm="1">
        <f t="array" ref="Y131">pareto($V$128:$V$133,$W$128:$W$133,4,"dist",Summary!#REF!,$W$127,$Y$127)</f>
        <v>#VALUE!</v>
      </c>
      <c r="Z131" t="e">
        <f>#REF!</f>
        <v>#REF!</v>
      </c>
      <c r="AA131" t="e">
        <f>#REF!</f>
        <v>#REF!</v>
      </c>
      <c r="AB131" t="e" cm="1">
        <f t="array" ref="AB131">pareto($Z$128:$Z$133,$AA$128:$AA$133,4,"rate",Summary!#REF!,$W$127,$Y$127)</f>
        <v>#VALUE!</v>
      </c>
      <c r="AC131" t="e" cm="1">
        <f t="array" ref="AC131">pareto($Z$128:$Z$133,$AA$128:$AA$133,4,"dist",Summary!#REF!,$W$127,$Y$127)</f>
        <v>#VALUE!</v>
      </c>
      <c r="AF131" t="e">
        <f>#REF!</f>
        <v>#REF!</v>
      </c>
      <c r="AG131" t="e">
        <f>#REF!</f>
        <v>#REF!</v>
      </c>
      <c r="AH131" t="e" cm="1">
        <f t="array" ref="AH131">pareto($AF$128:$AF$133,$AG$128:$AG$133,4,"rate",Summary!#REF!,$AG$127,$AI$127)</f>
        <v>#VALUE!</v>
      </c>
      <c r="AI131" t="e" cm="1">
        <f t="array" ref="AI131">pareto($AF$128:$AF$133,$AG$128:$AG$133,4,"dist",Summary!#REF!,$AG$127,$AI$127)</f>
        <v>#VALUE!</v>
      </c>
      <c r="AJ131" t="e">
        <f>#REF!</f>
        <v>#REF!</v>
      </c>
      <c r="AK131" t="e">
        <f>#REF!</f>
        <v>#REF!</v>
      </c>
      <c r="AL131" t="e" cm="1">
        <f t="array" ref="AL131">pareto($AJ$128:$AJ$133,$AK$128:$AK$133,4,"rate",Summary!#REF!,$AG$127,$AI$127)</f>
        <v>#VALUE!</v>
      </c>
      <c r="AM131" t="e" cm="1">
        <f t="array" ref="AM131">pareto($AJ$128:$AJ$133,$AK$128:$AK$133,4,"dist",Summary!#REF!,$AG$127,$AI$127)</f>
        <v>#VALUE!</v>
      </c>
      <c r="AP131" t="e">
        <f>#REF!</f>
        <v>#REF!</v>
      </c>
      <c r="AQ131" t="e">
        <f>#REF!</f>
        <v>#REF!</v>
      </c>
      <c r="AR131" t="e" cm="1">
        <f t="array" ref="AR131">pareto($AP$128:$AP$133,$AQ$128:$AQ$133,4,"rate",Summary!#REF!,$AQ$127,$AI$127)</f>
        <v>#VALUE!</v>
      </c>
      <c r="AS131" t="e" cm="1">
        <f t="array" ref="AS131">pareto($AP$128:$AP$133,$AQ$128:$AQ$133,4,"dist",Summary!#REF!,$AQ$127,$AI$127)</f>
        <v>#VALUE!</v>
      </c>
      <c r="AT131" t="e">
        <f>#REF!</f>
        <v>#REF!</v>
      </c>
      <c r="AU131" t="e">
        <f>#REF!</f>
        <v>#REF!</v>
      </c>
      <c r="AV131" t="e" cm="1">
        <f t="array" ref="AV131">pareto($AT$128:$AT$133,$AU$128:$AU$133,4,"rate",Summary!#REF!,$AQ$127,$AI$127)</f>
        <v>#VALUE!</v>
      </c>
      <c r="AW131" t="e" cm="1">
        <f t="array" ref="AW131">pareto($AT$128:$AT$133,$AU$128:$AU$133,4,"dist",Summary!#REF!,$AQ$127,$AI$127)</f>
        <v>#VALUE!</v>
      </c>
      <c r="AZ131" s="36" t="e">
        <f>#REF!</f>
        <v>#REF!</v>
      </c>
      <c r="BA131" s="36" t="e">
        <f>#REF!</f>
        <v>#REF!</v>
      </c>
      <c r="BB131" t="e" cm="1">
        <f t="array" ref="BB131">pareto($AZ$128:$AZ$133,$BA$128:$BA$133,4,"rate",Summary!#REF!,$BA$127,$BC$127)</f>
        <v>#VALUE!</v>
      </c>
      <c r="BC131" t="e" cm="1">
        <f t="array" ref="BC131">pareto($AZ$128:$AZ$133,$BA$128:$BA$133,4,"dist",Summary!#REF!,$BA$127,$BC$127)</f>
        <v>#VALUE!</v>
      </c>
      <c r="BD131" s="36" t="e">
        <f>#REF!</f>
        <v>#REF!</v>
      </c>
      <c r="BE131" s="36" t="e">
        <f>#REF!</f>
        <v>#REF!</v>
      </c>
      <c r="BF131" t="e" cm="1">
        <f t="array" ref="BF131">pareto($BD$128:$BD$133,$BE$128:$BE$133,4,"rate",Summary!#REF!,$BA$127,$BC$127)</f>
        <v>#VALUE!</v>
      </c>
      <c r="BG131" t="e" cm="1">
        <f t="array" ref="BG131">pareto($BD$128:$BD$133,$BE$128:$BE$133,4,"dist",Summary!#REF!,$BA$127,$BC$127)</f>
        <v>#VALUE!</v>
      </c>
    </row>
    <row r="132" spans="2:59" x14ac:dyDescent="0.25">
      <c r="B132" t="e">
        <f>#REF!</f>
        <v>#REF!</v>
      </c>
      <c r="C132" t="e">
        <f>#REF!</f>
        <v>#REF!</v>
      </c>
      <c r="D132" t="e" cm="1">
        <f t="array" ref="D132">pareto($B$128:$B$133,$C$128:$C$133,5,"rate",Summary!#REF!,$C$127,$E$127)</f>
        <v>#VALUE!</v>
      </c>
      <c r="E132" t="e" cm="1">
        <f t="array" ref="E132">pareto($B$128:$B$133,$C$128:$C$133,5,"dist",Summary!#REF!,$C$127,$E$127)</f>
        <v>#VALUE!</v>
      </c>
      <c r="F132" t="e">
        <f>#REF!</f>
        <v>#REF!</v>
      </c>
      <c r="G132" t="e">
        <f>#REF!</f>
        <v>#REF!</v>
      </c>
      <c r="H132" t="e" cm="1">
        <f t="array" ref="H132">pareto($F$128:$F$133,$G$128:$G$133,5,"rate",Summary!#REF!,$C$127,$E$127)</f>
        <v>#VALUE!</v>
      </c>
      <c r="I132" t="e" cm="1">
        <f t="array" ref="I132">pareto($F$128:$F$133,$G$128:$G$133,5,"dist",Summary!#REF!,$C$127,$E$127)</f>
        <v>#VALUE!</v>
      </c>
      <c r="L132" t="e">
        <f>#REF!</f>
        <v>#REF!</v>
      </c>
      <c r="M132" t="e">
        <f>#REF!</f>
        <v>#REF!</v>
      </c>
      <c r="N132" t="e" cm="1">
        <f t="array" ref="N132">pareto($L$128:$L$133,$M$128:$M$133,5,"rate",Summary!#REF!,$M$127,$O$127)</f>
        <v>#VALUE!</v>
      </c>
      <c r="O132" t="e" cm="1">
        <f t="array" ref="O132">pareto($L$128:$L$133,$M$128:$M$133,5,"dist",Summary!#REF!,$M$127,$O$127)</f>
        <v>#VALUE!</v>
      </c>
      <c r="P132" t="e">
        <f>#REF!</f>
        <v>#REF!</v>
      </c>
      <c r="Q132" t="e">
        <f>#REF!</f>
        <v>#REF!</v>
      </c>
      <c r="R132" t="e" cm="1">
        <f t="array" ref="R132">pareto($P$128:$P$133,$Q$128:$Q$133,5,"rate",Summary!#REF!,$M$127,$O$127)</f>
        <v>#VALUE!</v>
      </c>
      <c r="S132" t="e" cm="1">
        <f t="array" ref="S132">pareto($P$128:$P$133,$Q$128:$Q$133,5,"dist",Summary!#REF!,$M$127,$O$127)</f>
        <v>#VALUE!</v>
      </c>
      <c r="V132" t="e">
        <f>#REF!</f>
        <v>#REF!</v>
      </c>
      <c r="W132" t="e">
        <f>#REF!</f>
        <v>#REF!</v>
      </c>
      <c r="X132" t="e" cm="1">
        <f t="array" ref="X132">pareto($V$128:$V$133,$W$128:$W$133,5,"rate",Summary!#REF!,$W$127,$Y$127)</f>
        <v>#VALUE!</v>
      </c>
      <c r="Y132" t="e" cm="1">
        <f t="array" ref="Y132">pareto($V$128:$V$133,$W$128:$W$133,5,"dist",Summary!#REF!,$W$127,$Y$127)</f>
        <v>#VALUE!</v>
      </c>
      <c r="Z132" t="e">
        <f>#REF!</f>
        <v>#REF!</v>
      </c>
      <c r="AA132" t="e">
        <f>#REF!</f>
        <v>#REF!</v>
      </c>
      <c r="AB132" t="e" cm="1">
        <f t="array" ref="AB132">pareto($Z$128:$Z$133,$AA$128:$AA$133,5,"rate",Summary!#REF!,$W$127,$Y$127)</f>
        <v>#VALUE!</v>
      </c>
      <c r="AC132" t="e" cm="1">
        <f t="array" ref="AC132">pareto($Z$128:$Z$133,$AA$128:$AA$133,5,"dist",Summary!#REF!,$W$127,$Y$127)</f>
        <v>#VALUE!</v>
      </c>
      <c r="AF132" t="e">
        <f>#REF!</f>
        <v>#REF!</v>
      </c>
      <c r="AG132" t="e">
        <f>#REF!</f>
        <v>#REF!</v>
      </c>
      <c r="AH132" t="e" cm="1">
        <f t="array" ref="AH132">pareto($AF$128:$AF$133,$AG$128:$AG$133,5,"rate",Summary!#REF!,$AG$127,$AI$127)</f>
        <v>#VALUE!</v>
      </c>
      <c r="AI132" t="e" cm="1">
        <f t="array" ref="AI132">pareto($AF$128:$AF$133,$AG$128:$AG$133,5,"dist",Summary!#REF!,$AG$127,$AI$127)</f>
        <v>#VALUE!</v>
      </c>
      <c r="AJ132" t="e">
        <f>#REF!</f>
        <v>#REF!</v>
      </c>
      <c r="AK132" t="e">
        <f>#REF!</f>
        <v>#REF!</v>
      </c>
      <c r="AL132" t="e" cm="1">
        <f t="array" ref="AL132">pareto($AJ$128:$AJ$133,$AK$128:$AK$133,5,"rate",Summary!#REF!,$AG$127,$AI$127)</f>
        <v>#VALUE!</v>
      </c>
      <c r="AM132" t="e" cm="1">
        <f t="array" ref="AM132">pareto($AJ$128:$AJ$133,$AK$128:$AK$133,5,"dist",Summary!#REF!,$AG$127,$AI$127)</f>
        <v>#VALUE!</v>
      </c>
      <c r="AP132" t="e">
        <f>#REF!</f>
        <v>#REF!</v>
      </c>
      <c r="AQ132" t="e">
        <f>#REF!</f>
        <v>#REF!</v>
      </c>
      <c r="AR132" t="e" cm="1">
        <f t="array" ref="AR132">pareto($AP$128:$AP$133,$AQ$128:$AQ$133,5,"rate",Summary!#REF!,$AQ$127,$AI$127)</f>
        <v>#VALUE!</v>
      </c>
      <c r="AS132" t="e" cm="1">
        <f t="array" ref="AS132">pareto($AP$128:$AP$133,$AQ$128:$AQ$133,5,"dist",Summary!#REF!,$AQ$127,$AI$127)</f>
        <v>#VALUE!</v>
      </c>
      <c r="AT132" t="e">
        <f>#REF!</f>
        <v>#REF!</v>
      </c>
      <c r="AU132" t="e">
        <f>#REF!</f>
        <v>#REF!</v>
      </c>
      <c r="AV132" t="e" cm="1">
        <f t="array" ref="AV132">pareto($AT$128:$AT$133,$AU$128:$AU$133,5,"rate",Summary!#REF!,$AQ$127,$AI$127)</f>
        <v>#VALUE!</v>
      </c>
      <c r="AW132" t="e" cm="1">
        <f t="array" ref="AW132">pareto($AT$128:$AT$133,$AU$128:$AU$133,5,"dist",Summary!#REF!,$AQ$127,$AI$127)</f>
        <v>#VALUE!</v>
      </c>
      <c r="AZ132" s="36" t="e">
        <f>#REF!</f>
        <v>#REF!</v>
      </c>
      <c r="BA132" s="36" t="e">
        <f>#REF!</f>
        <v>#REF!</v>
      </c>
      <c r="BB132" t="e" cm="1">
        <f t="array" ref="BB132">pareto($AZ$128:$AZ$133,$BA$128:$BA$133,5,"rate",Summary!#REF!,$BA$127,$BC$127)</f>
        <v>#VALUE!</v>
      </c>
      <c r="BC132" t="e" cm="1">
        <f t="array" ref="BC132">pareto($AZ$128:$AZ$133,$BA$128:$BA$133,5,"dist",Summary!#REF!,$BA$127,$BC$127)</f>
        <v>#VALUE!</v>
      </c>
      <c r="BD132" s="36" t="e">
        <f>#REF!</f>
        <v>#REF!</v>
      </c>
      <c r="BE132" s="36" t="e">
        <f>#REF!</f>
        <v>#REF!</v>
      </c>
      <c r="BF132" t="e" cm="1">
        <f t="array" ref="BF132">pareto($BD$128:$BD$133,$BE$128:$BE$133,5,"rate",Summary!#REF!,$BA$127,$BC$127)</f>
        <v>#VALUE!</v>
      </c>
      <c r="BG132" t="e" cm="1">
        <f t="array" ref="BG132">pareto($BD$128:$BD$133,$BE$128:$BE$133,5,"dist",Summary!#REF!,$BA$127,$BC$127)</f>
        <v>#VALUE!</v>
      </c>
    </row>
    <row r="133" spans="2:59" x14ac:dyDescent="0.25">
      <c r="B133" t="e">
        <f>#REF!</f>
        <v>#REF!</v>
      </c>
      <c r="C133" t="e">
        <f>#REF!</f>
        <v>#REF!</v>
      </c>
      <c r="D133" t="e" cm="1">
        <f t="array" ref="D133">pareto($B$128:$B$133,$C$128:$C$133,6,"rate",Summary!#REF!,$C$127,$E$127)</f>
        <v>#VALUE!</v>
      </c>
      <c r="E133" t="e" cm="1">
        <f t="array" ref="E133">pareto($B$128:$B$133,$C$128:$C$133,6,"dist",Summary!#REF!,$C$127,$E$127)</f>
        <v>#VALUE!</v>
      </c>
      <c r="F133" t="e">
        <f>#REF!</f>
        <v>#REF!</v>
      </c>
      <c r="G133" t="e">
        <f>#REF!</f>
        <v>#REF!</v>
      </c>
      <c r="H133" t="e" cm="1">
        <f t="array" ref="H133">pareto($F$128:$F$133,$G$128:$G$133,6,"rate",Summary!#REF!,$C$127,$E$127)</f>
        <v>#VALUE!</v>
      </c>
      <c r="I133" t="e" cm="1">
        <f t="array" ref="I133">pareto($F$128:$F$133,$G$128:$G$133,6,"dist",Summary!#REF!,$C$127,$E$127)</f>
        <v>#VALUE!</v>
      </c>
      <c r="L133" t="e">
        <f>#REF!</f>
        <v>#REF!</v>
      </c>
      <c r="M133" t="e">
        <f>#REF!</f>
        <v>#REF!</v>
      </c>
      <c r="N133" t="e" cm="1">
        <f t="array" ref="N133">pareto($L$128:$L$133,$M$128:$M$133,6,"rate",Summary!#REF!,$M$127,$O$127)</f>
        <v>#VALUE!</v>
      </c>
      <c r="O133" t="e" cm="1">
        <f t="array" ref="O133">pareto($L$128:$L$133,$M$128:$M$133,6,"dist",Summary!#REF!,$M$127,$O$127)</f>
        <v>#VALUE!</v>
      </c>
      <c r="P133" t="e">
        <f>#REF!</f>
        <v>#REF!</v>
      </c>
      <c r="Q133" t="e">
        <f>#REF!</f>
        <v>#REF!</v>
      </c>
      <c r="R133" t="e" cm="1">
        <f t="array" ref="R133">pareto($P$128:$P$133,$Q$128:$Q$133,6,"rate",Summary!#REF!,$M$127,$O$127)</f>
        <v>#VALUE!</v>
      </c>
      <c r="S133" t="e" cm="1">
        <f t="array" ref="S133">pareto($P$128:$P$133,$Q$128:$Q$133,6,"dist",Summary!#REF!,$M$127,$O$127)</f>
        <v>#VALUE!</v>
      </c>
      <c r="V133" t="e">
        <f>#REF!</f>
        <v>#REF!</v>
      </c>
      <c r="W133" t="e">
        <f>#REF!</f>
        <v>#REF!</v>
      </c>
      <c r="X133" t="e" cm="1">
        <f t="array" ref="X133">pareto($V$128:$V$133,$W$128:$W$133,6,"rate",Summary!#REF!,$W$127,$Y$127)</f>
        <v>#VALUE!</v>
      </c>
      <c r="Y133" t="e" cm="1">
        <f t="array" ref="Y133">pareto($V$128:$V$133,$W$128:$W$133,6,"dist",Summary!#REF!,$W$127,$Y$127)</f>
        <v>#VALUE!</v>
      </c>
      <c r="Z133" t="e">
        <f>#REF!</f>
        <v>#REF!</v>
      </c>
      <c r="AA133" t="e">
        <f>#REF!</f>
        <v>#REF!</v>
      </c>
      <c r="AB133" t="e" cm="1">
        <f t="array" ref="AB133">pareto($Z$128:$Z$133,$AA$128:$AA$133,6,"rate",Summary!#REF!,$W$127,$Y$127)</f>
        <v>#VALUE!</v>
      </c>
      <c r="AC133" t="e" cm="1">
        <f t="array" ref="AC133">pareto($Z$128:$Z$133,$AA$128:$AA$133,6,"dist",Summary!#REF!,$W$127,$Y$127)</f>
        <v>#VALUE!</v>
      </c>
      <c r="AF133" t="e">
        <f>#REF!</f>
        <v>#REF!</v>
      </c>
      <c r="AG133" t="e">
        <f>#REF!</f>
        <v>#REF!</v>
      </c>
      <c r="AH133" t="e" cm="1">
        <f t="array" ref="AH133">pareto($AF$128:$AF$133,$AG$128:$AG$133,6,"rate",Summary!#REF!,$AG$127,$AI$127)</f>
        <v>#VALUE!</v>
      </c>
      <c r="AI133" t="e" cm="1">
        <f t="array" ref="AI133">pareto($AF$128:$AF$133,$AG$128:$AG$133,6,"dist",Summary!#REF!,$AG$127,$AI$127)</f>
        <v>#VALUE!</v>
      </c>
      <c r="AJ133" t="e">
        <f>#REF!</f>
        <v>#REF!</v>
      </c>
      <c r="AK133" t="e">
        <f>#REF!</f>
        <v>#REF!</v>
      </c>
      <c r="AL133" t="e" cm="1">
        <f t="array" ref="AL133">pareto($AJ$128:$AJ$133,$AK$128:$AK$133,6,"rate",Summary!#REF!,$AG$127,$AI$127)</f>
        <v>#VALUE!</v>
      </c>
      <c r="AM133" t="e" cm="1">
        <f t="array" ref="AM133">pareto($AJ$128:$AJ$133,$AK$128:$AK$133,6,"dist",Summary!#REF!,$AG$127,$AI$127)</f>
        <v>#VALUE!</v>
      </c>
      <c r="AP133" t="e">
        <f>#REF!</f>
        <v>#REF!</v>
      </c>
      <c r="AQ133" t="e">
        <f>#REF!</f>
        <v>#REF!</v>
      </c>
      <c r="AR133" t="e" cm="1">
        <f t="array" ref="AR133">pareto($AP$128:$AP$133,$AQ$128:$AQ$133,6,"rate",Summary!#REF!,$AQ$127,$AI$127)</f>
        <v>#VALUE!</v>
      </c>
      <c r="AS133" t="e" cm="1">
        <f t="array" ref="AS133">pareto($AP$128:$AP$133,$AQ$128:$AQ$133,6,"dist",Summary!#REF!,$AQ$127,$AI$127)</f>
        <v>#VALUE!</v>
      </c>
      <c r="AT133" t="e">
        <f>#REF!</f>
        <v>#REF!</v>
      </c>
      <c r="AU133" t="e">
        <f>#REF!</f>
        <v>#REF!</v>
      </c>
      <c r="AV133" t="e" cm="1">
        <f t="array" ref="AV133">pareto($AT$128:$AT$133,$AU$128:$AU$133,6,"rate",Summary!#REF!,$AQ$127,$AI$127)</f>
        <v>#VALUE!</v>
      </c>
      <c r="AW133" t="e" cm="1">
        <f t="array" ref="AW133">pareto($AT$128:$AT$133,$AU$128:$AU$133,6,"dist",Summary!#REF!,$AQ$127,$AI$127)</f>
        <v>#VALUE!</v>
      </c>
      <c r="AZ133" s="36" t="e">
        <f>#REF!</f>
        <v>#REF!</v>
      </c>
      <c r="BA133" s="36" t="e">
        <f>#REF!</f>
        <v>#REF!</v>
      </c>
      <c r="BB133" t="e" cm="1">
        <f t="array" ref="BB133">pareto($AZ$128:$AZ$133,$BA$128:$BA$133,6,"rate",Summary!#REF!,$BA$127,$BC$127)</f>
        <v>#VALUE!</v>
      </c>
      <c r="BC133" t="e" cm="1">
        <f t="array" ref="BC133">pareto($AZ$128:$AZ$133,$BA$128:$BA$133,6,"dist",Summary!#REF!,$BA$127,$BC$127)</f>
        <v>#VALUE!</v>
      </c>
      <c r="BD133" s="36" t="e">
        <f>#REF!</f>
        <v>#REF!</v>
      </c>
      <c r="BE133" s="36" t="e">
        <f>#REF!</f>
        <v>#REF!</v>
      </c>
      <c r="BF133" t="e" cm="1">
        <f t="array" ref="BF133">pareto($BD$128:$BD$133,$BE$128:$BE$133,6,"rate",Summary!#REF!,$BA$127,$BC$127)</f>
        <v>#VALUE!</v>
      </c>
      <c r="BG133" t="e" cm="1">
        <f t="array" ref="BG133">pareto($BD$128:$BD$133,$BE$128:$BE$133,6,"dist",Summary!#REF!,$BA$127,$BC$127)</f>
        <v>#VALUE!</v>
      </c>
    </row>
    <row r="134" spans="2:59" x14ac:dyDescent="0.25">
      <c r="BD134" s="36"/>
      <c r="BE134" s="36"/>
    </row>
    <row r="135" spans="2:59" x14ac:dyDescent="0.25">
      <c r="BD135" s="36"/>
      <c r="BE135" s="36"/>
    </row>
    <row r="136" spans="2:59" x14ac:dyDescent="0.25">
      <c r="BD136" s="36"/>
      <c r="BE136" s="36"/>
    </row>
    <row r="137" spans="2:59" x14ac:dyDescent="0.25">
      <c r="BD137" s="36"/>
      <c r="BE137" s="36"/>
    </row>
    <row r="138" spans="2:59" x14ac:dyDescent="0.25">
      <c r="BD138" s="36"/>
      <c r="BE138" s="36"/>
    </row>
    <row r="139" spans="2:59" x14ac:dyDescent="0.25">
      <c r="BD139" s="36"/>
      <c r="BE139" s="36"/>
    </row>
    <row r="140" spans="2:59" x14ac:dyDescent="0.25">
      <c r="BD140" s="36"/>
      <c r="BE140" s="36"/>
    </row>
    <row r="141" spans="2:59" x14ac:dyDescent="0.25">
      <c r="BD141" s="36"/>
      <c r="BE141" s="36"/>
    </row>
    <row r="142" spans="2:59" x14ac:dyDescent="0.25">
      <c r="BD142" s="36"/>
      <c r="BE142" s="36"/>
    </row>
    <row r="143" spans="2:59" x14ac:dyDescent="0.25">
      <c r="BD143" s="36"/>
      <c r="BE143" s="36"/>
    </row>
    <row r="144" spans="2:59" x14ac:dyDescent="0.25">
      <c r="BD144" s="36"/>
      <c r="BE144" s="36"/>
    </row>
    <row r="145" spans="11:59" x14ac:dyDescent="0.25">
      <c r="BD145" s="36"/>
      <c r="BE145" s="36"/>
    </row>
    <row r="146" spans="11:59" x14ac:dyDescent="0.25">
      <c r="BD146" s="36"/>
      <c r="BE146" s="36"/>
    </row>
    <row r="147" spans="11:59" x14ac:dyDescent="0.25">
      <c r="BD147" s="36"/>
      <c r="BE147" s="36"/>
    </row>
    <row r="148" spans="11:59" x14ac:dyDescent="0.25">
      <c r="BD148" s="36"/>
      <c r="BE148" s="36"/>
    </row>
    <row r="149" spans="11:59" x14ac:dyDescent="0.25">
      <c r="BD149" s="36"/>
      <c r="BE149" s="36"/>
    </row>
    <row r="150" spans="11:59" x14ac:dyDescent="0.25">
      <c r="BD150" s="36"/>
      <c r="BE150" s="36"/>
    </row>
    <row r="151" spans="11:59" x14ac:dyDescent="0.25">
      <c r="BD151" s="36"/>
      <c r="BE151" s="36"/>
    </row>
    <row r="152" spans="11:59" x14ac:dyDescent="0.25">
      <c r="K152" t="s">
        <v>61</v>
      </c>
      <c r="L152" t="s">
        <v>40</v>
      </c>
      <c r="M152">
        <v>57.383850000000002</v>
      </c>
      <c r="N152" t="s">
        <v>44</v>
      </c>
      <c r="O152">
        <v>20</v>
      </c>
      <c r="U152" t="s">
        <v>67</v>
      </c>
      <c r="V152" t="s">
        <v>40</v>
      </c>
      <c r="W152">
        <v>45.630575</v>
      </c>
      <c r="X152" t="s">
        <v>44</v>
      </c>
      <c r="Y152">
        <v>20</v>
      </c>
      <c r="AE152" t="s">
        <v>72</v>
      </c>
      <c r="AF152" t="s">
        <v>40</v>
      </c>
      <c r="AG152">
        <v>37.037838999999998</v>
      </c>
      <c r="AH152" t="s">
        <v>44</v>
      </c>
      <c r="AI152">
        <v>20</v>
      </c>
      <c r="AO152" t="s">
        <v>76</v>
      </c>
      <c r="AP152" t="s">
        <v>40</v>
      </c>
      <c r="AQ152" s="71">
        <v>62.044910000000002</v>
      </c>
      <c r="AR152" t="s">
        <v>44</v>
      </c>
      <c r="AS152">
        <v>20</v>
      </c>
      <c r="AT152" t="s">
        <v>40</v>
      </c>
      <c r="AU152" s="71"/>
      <c r="AY152" t="s">
        <v>65</v>
      </c>
      <c r="AZ152" t="s">
        <v>40</v>
      </c>
      <c r="BA152" s="71">
        <v>44.789563000000001</v>
      </c>
      <c r="BB152" t="s">
        <v>44</v>
      </c>
      <c r="BC152">
        <v>20</v>
      </c>
    </row>
    <row r="153" spans="11:59" x14ac:dyDescent="0.25">
      <c r="L153" t="e">
        <f>#REF!</f>
        <v>#REF!</v>
      </c>
      <c r="M153" t="e">
        <f>#REF!</f>
        <v>#REF!</v>
      </c>
      <c r="N153" t="e" cm="1">
        <f t="array" ref="N153">pareto($L$153:$L$158,$M$153:$M$158,1,"rate",Summary!#REF!,$M$152,$O$152)</f>
        <v>#VALUE!</v>
      </c>
      <c r="O153" t="e" cm="1">
        <f t="array" ref="O153">pareto($L$153:$L$158,$M$153:$M$158,1,"dist",Summary!#REF!,$M$152,$O$152)</f>
        <v>#VALUE!</v>
      </c>
      <c r="P153" t="e">
        <f>#REF!</f>
        <v>#REF!</v>
      </c>
      <c r="Q153" t="e">
        <f>#REF!</f>
        <v>#REF!</v>
      </c>
      <c r="R153" t="e" cm="1">
        <f t="array" ref="R153">pareto($P$153:$P$158,$Q$153:$Q$158,1,"rate",Summary!#REF!,$M$152,$O$152)</f>
        <v>#VALUE!</v>
      </c>
      <c r="S153" t="e" cm="1">
        <f t="array" ref="S153">pareto($P$153:$P$158,$Q$153:$Q$158,1,"dist",Summary!#REF!,$M$152,$O$152)</f>
        <v>#VALUE!</v>
      </c>
      <c r="V153" t="e">
        <f>#REF!</f>
        <v>#REF!</v>
      </c>
      <c r="W153" t="e">
        <f>#REF!</f>
        <v>#REF!</v>
      </c>
      <c r="X153" t="e" cm="1">
        <f t="array" ref="X153">pareto($V$153:$V$158,$W$153:$W$158,1,"rate",Summary!#REF!,$W$152,$Y$152)</f>
        <v>#VALUE!</v>
      </c>
      <c r="Y153" t="e" cm="1">
        <f t="array" ref="Y153">pareto($V$153:$V$158,$W$153:$W$158,1,"dist",Summary!#REF!,$W$152,$Y$152)</f>
        <v>#VALUE!</v>
      </c>
      <c r="Z153" t="e">
        <f>#REF!</f>
        <v>#REF!</v>
      </c>
      <c r="AA153" t="e">
        <f>#REF!</f>
        <v>#REF!</v>
      </c>
      <c r="AB153" t="e" cm="1">
        <f t="array" ref="AB153">pareto($Z$153:$Z$158,$AA$153:$AA$158,1,"rate",Summary!#REF!,$W$152,$Y$152)</f>
        <v>#VALUE!</v>
      </c>
      <c r="AC153" t="e" cm="1">
        <f t="array" ref="AC153">pareto($Z$153:$Z$158,$AA$153:$AA$158,1,"dist",Summary!#REF!,$W$152,$Y$152)</f>
        <v>#VALUE!</v>
      </c>
      <c r="AF153" t="e">
        <f>#REF!</f>
        <v>#REF!</v>
      </c>
      <c r="AG153" t="e">
        <f>#REF!</f>
        <v>#REF!</v>
      </c>
      <c r="AH153" t="e" cm="1">
        <f t="array" ref="AH153">pareto($AF$153:$AF$158,$AG$153:$AG$158,1,"rate",Summary!#REF!,$AG$152,$AI$152)</f>
        <v>#VALUE!</v>
      </c>
      <c r="AI153" t="e" cm="1">
        <f t="array" ref="AI153">pareto($AF$153:$AF$158,$AG$153:$AG$158,1,"dist",Summary!#REF!,$AG$152,$AI$152)</f>
        <v>#VALUE!</v>
      </c>
      <c r="AJ153" t="e">
        <f>#REF!</f>
        <v>#REF!</v>
      </c>
      <c r="AK153" t="e">
        <f>#REF!</f>
        <v>#REF!</v>
      </c>
      <c r="AL153" t="e" cm="1">
        <f t="array" ref="AL153">pareto($AJ$153:$AJ$158,$AK$153:$AK$158,1,"rate",Summary!#REF!,$AG$152,$AI$152)</f>
        <v>#VALUE!</v>
      </c>
      <c r="AM153" t="e" cm="1">
        <f t="array" ref="AM153">pareto($AJ$153:$AJ$158,$AK$153:$AK$158,1,"dist",Summary!#REF!,$AG$152,$AI$152)</f>
        <v>#VALUE!</v>
      </c>
      <c r="AP153" t="e">
        <f>#REF!</f>
        <v>#REF!</v>
      </c>
      <c r="AQ153" t="e">
        <f>#REF!</f>
        <v>#REF!</v>
      </c>
      <c r="AR153" t="e" cm="1">
        <f t="array" ref="AR153">pareto($AP$153:$AP$158,$AQ$153:$AQ$158,1,"rate",Summary!#REF!,$AQ$152,$AI$152)</f>
        <v>#VALUE!</v>
      </c>
      <c r="AS153" t="e" cm="1">
        <f t="array" ref="AS153">pareto($AP$153:$AP$158,$AQ$153:$AQ$158,1,"dist",Summary!#REF!,$AQ$152,$AI$152)</f>
        <v>#VALUE!</v>
      </c>
      <c r="AT153" t="e">
        <f>#REF!</f>
        <v>#REF!</v>
      </c>
      <c r="AU153" t="e">
        <f>#REF!</f>
        <v>#REF!</v>
      </c>
      <c r="AV153" t="e" cm="1">
        <f t="array" ref="AV153">pareto($AT$153:$AT$158,$AU$153:$AU$158,1,"rate",Summary!#REF!,$AQ$152,$AI$152)</f>
        <v>#VALUE!</v>
      </c>
      <c r="AW153" t="e" cm="1">
        <f t="array" ref="AW153">pareto($AT$153:$AT$158,$AU$153:$AU$158,1,"dist",Summary!#REF!,$AQ$152,$AI$152)</f>
        <v>#VALUE!</v>
      </c>
      <c r="AZ153" s="36" t="e">
        <f>#REF!</f>
        <v>#REF!</v>
      </c>
      <c r="BA153" s="36" t="e">
        <f>#REF!</f>
        <v>#REF!</v>
      </c>
      <c r="BB153" t="e" cm="1">
        <f t="array" ref="BB153">pareto($AZ$153:$AZ$158,$BA$153:$BA$158,1,"rate",Summary!#REF!,$BA$152,$BC$152)</f>
        <v>#VALUE!</v>
      </c>
      <c r="BC153" t="e" cm="1">
        <f t="array" ref="BC153">pareto($AZ$153:$AZ$158,$BA$153:$BA$158,1,"dist",Summary!#REF!,$BA$152,$BC$152)</f>
        <v>#VALUE!</v>
      </c>
      <c r="BD153" s="36" t="e">
        <f>#REF!</f>
        <v>#REF!</v>
      </c>
      <c r="BE153" s="36" t="e">
        <f>#REF!</f>
        <v>#REF!</v>
      </c>
      <c r="BF153" t="e" cm="1">
        <f t="array" ref="BF153">pareto($BD$153:$BD$158,$BE$153:$BE$158,1,"rate",Summary!#REF!,$BA$152,$BC$152)</f>
        <v>#VALUE!</v>
      </c>
      <c r="BG153" t="e" cm="1">
        <f t="array" ref="BG153">pareto($BD$153:$BD$158,$BE$153:$BE$158,1,"dist",Summary!#REF!,$BA$152,$BC$152)</f>
        <v>#VALUE!</v>
      </c>
    </row>
    <row r="154" spans="11:59" x14ac:dyDescent="0.25">
      <c r="L154" t="e">
        <f>#REF!</f>
        <v>#REF!</v>
      </c>
      <c r="M154" t="e">
        <f>#REF!</f>
        <v>#REF!</v>
      </c>
      <c r="N154" t="e" cm="1">
        <f t="array" ref="N154">pareto($L$153:$L$158,$M$153:$M$158,2,"rate",Summary!#REF!,$M$152,$O$152)</f>
        <v>#VALUE!</v>
      </c>
      <c r="O154" t="e" cm="1">
        <f t="array" ref="O154">pareto($L$153:$L$158,$M$153:$M$158,2,"dist",Summary!#REF!,$M$152,$O$152)</f>
        <v>#VALUE!</v>
      </c>
      <c r="P154" t="e">
        <f>#REF!</f>
        <v>#REF!</v>
      </c>
      <c r="Q154" t="e">
        <f>#REF!</f>
        <v>#REF!</v>
      </c>
      <c r="R154" t="e" cm="1">
        <f t="array" ref="R154">pareto($P$153:$P$158,$Q$153:$Q$158,2,"rate",Summary!#REF!,$M$152,$O$152)</f>
        <v>#VALUE!</v>
      </c>
      <c r="S154" t="e" cm="1">
        <f t="array" ref="S154">pareto($P$153:$P$158,$Q$153:$Q$158,2,"dist",Summary!#REF!,$M$152,$O$152)</f>
        <v>#VALUE!</v>
      </c>
      <c r="V154" t="e">
        <f>#REF!</f>
        <v>#REF!</v>
      </c>
      <c r="W154" t="e">
        <f>#REF!</f>
        <v>#REF!</v>
      </c>
      <c r="X154" t="e" cm="1">
        <f t="array" ref="X154">pareto($V$153:$V$158,$W$153:$W$158,2,"rate",Summary!#REF!,$W$152,$Y$152)</f>
        <v>#VALUE!</v>
      </c>
      <c r="Y154" t="e" cm="1">
        <f t="array" ref="Y154">pareto($V$153:$V$158,$W$153:$W$158,2,"dist",Summary!#REF!,$W$152,$Y$152)</f>
        <v>#VALUE!</v>
      </c>
      <c r="Z154" t="e">
        <f>#REF!</f>
        <v>#REF!</v>
      </c>
      <c r="AA154" t="e">
        <f>#REF!</f>
        <v>#REF!</v>
      </c>
      <c r="AB154" t="e" cm="1">
        <f t="array" ref="AB154">pareto($Z$153:$Z$158,$AA$153:$AA$158,2,"rate",Summary!#REF!,$W$152,$Y$152)</f>
        <v>#VALUE!</v>
      </c>
      <c r="AC154" t="e" cm="1">
        <f t="array" ref="AC154">pareto($Z$153:$Z$158,$AA$153:$AA$158,2,"dist",Summary!#REF!,$W$152,$Y$152)</f>
        <v>#VALUE!</v>
      </c>
      <c r="AF154" t="e">
        <f>#REF!</f>
        <v>#REF!</v>
      </c>
      <c r="AG154" t="e">
        <f>#REF!</f>
        <v>#REF!</v>
      </c>
      <c r="AH154" t="e" cm="1">
        <f t="array" ref="AH154">pareto($AF$153:$AF$158,$AG$153:$AG$158,2,"rate",Summary!#REF!,$AG$152,$AI$152)</f>
        <v>#VALUE!</v>
      </c>
      <c r="AI154" t="e" cm="1">
        <f t="array" ref="AI154">pareto($AF$153:$AF$158,$AG$153:$AG$158,2,"dist",Summary!#REF!,$AG$152,$AI$152)</f>
        <v>#VALUE!</v>
      </c>
      <c r="AJ154" t="e">
        <f>#REF!</f>
        <v>#REF!</v>
      </c>
      <c r="AK154" t="e">
        <f>#REF!</f>
        <v>#REF!</v>
      </c>
      <c r="AL154" t="e" cm="1">
        <f t="array" ref="AL154">pareto($AJ$153:$AJ$158,$AK$153:$AK$158,2,"rate",Summary!#REF!,$AG$152,$AI$152)</f>
        <v>#VALUE!</v>
      </c>
      <c r="AM154" t="e" cm="1">
        <f t="array" ref="AM154">pareto($AJ$153:$AJ$158,$AK$153:$AK$158,2,"dist",Summary!#REF!,$AG$152,$AI$152)</f>
        <v>#VALUE!</v>
      </c>
      <c r="AP154" t="e">
        <f>#REF!</f>
        <v>#REF!</v>
      </c>
      <c r="AQ154" t="e">
        <f>#REF!</f>
        <v>#REF!</v>
      </c>
      <c r="AR154" t="e" cm="1">
        <f t="array" ref="AR154">pareto($AP$153:$AP$158,$AQ$153:$AQ$158,2,"rate",Summary!#REF!,$AQ$152,$AI$152)</f>
        <v>#VALUE!</v>
      </c>
      <c r="AS154" t="e" cm="1">
        <f t="array" ref="AS154">pareto($AP$153:$AP$158,$AQ$153:$AQ$158,2,"dist",Summary!#REF!,$AQ$152,$AI$152)</f>
        <v>#VALUE!</v>
      </c>
      <c r="AT154" t="e">
        <f>#REF!</f>
        <v>#REF!</v>
      </c>
      <c r="AU154" t="e">
        <f>#REF!</f>
        <v>#REF!</v>
      </c>
      <c r="AV154" t="e" cm="1">
        <f t="array" ref="AV154">pareto($AT$153:$AT$158,$AU$153:$AU$158,2,"rate",Summary!#REF!,$AQ$152,$AI$152)</f>
        <v>#VALUE!</v>
      </c>
      <c r="AW154" t="e" cm="1">
        <f t="array" ref="AW154">pareto($AT$153:$AT$158,$AU$153:$AU$158,2,"dist",Summary!#REF!,$AQ$152,$AI$152)</f>
        <v>#VALUE!</v>
      </c>
      <c r="AZ154" s="36" t="e">
        <f>#REF!</f>
        <v>#REF!</v>
      </c>
      <c r="BA154" s="36" t="e">
        <f>#REF!</f>
        <v>#REF!</v>
      </c>
      <c r="BB154" t="e" cm="1">
        <f t="array" ref="BB154">pareto($AZ$153:$AZ$158,$BA$153:$BA$158,2,"rate",Summary!#REF!,$BA$152,$BC$152)</f>
        <v>#VALUE!</v>
      </c>
      <c r="BC154" t="e" cm="1">
        <f t="array" ref="BC154">pareto($AZ$153:$AZ$158,$BA$153:$BA$158,2,"dist",Summary!#REF!,$BA$152,$BC$152)</f>
        <v>#VALUE!</v>
      </c>
      <c r="BD154" s="36" t="e">
        <f>#REF!</f>
        <v>#REF!</v>
      </c>
      <c r="BE154" s="36" t="e">
        <f>#REF!</f>
        <v>#REF!</v>
      </c>
      <c r="BF154" t="e" cm="1">
        <f t="array" ref="BF154">pareto($BD$153:$BD$158,$BE$153:$BE$158,2,"rate",Summary!#REF!,$BA$152,$BC$152)</f>
        <v>#VALUE!</v>
      </c>
      <c r="BG154" t="e" cm="1">
        <f t="array" ref="BG154">pareto($BD$153:$BD$158,$BE$153:$BE$158,2,"dist",Summary!#REF!,$BA$152,$BC$152)</f>
        <v>#VALUE!</v>
      </c>
    </row>
    <row r="155" spans="11:59" x14ac:dyDescent="0.25">
      <c r="L155" t="e">
        <f>#REF!</f>
        <v>#REF!</v>
      </c>
      <c r="M155" t="e">
        <f>#REF!</f>
        <v>#REF!</v>
      </c>
      <c r="N155" t="e" cm="1">
        <f t="array" ref="N155">pareto($L$153:$L$158,$M$153:$M$158,3,"rate",Summary!#REF!,$M$152,$O$152)</f>
        <v>#VALUE!</v>
      </c>
      <c r="O155" t="e" cm="1">
        <f t="array" ref="O155">pareto($L$153:$L$158,$M$153:$M$158,3,"dist",Summary!#REF!,$M$152,$O$152)</f>
        <v>#VALUE!</v>
      </c>
      <c r="P155" t="e">
        <f>#REF!</f>
        <v>#REF!</v>
      </c>
      <c r="Q155" t="e">
        <f>#REF!</f>
        <v>#REF!</v>
      </c>
      <c r="R155" t="e" cm="1">
        <f t="array" ref="R155">pareto($P$153:$P$158,$Q$153:$Q$158,3,"rate",Summary!#REF!,$M$152,$O$152)</f>
        <v>#VALUE!</v>
      </c>
      <c r="S155" t="e" cm="1">
        <f t="array" ref="S155">pareto($P$153:$P$158,$Q$153:$Q$158,3,"dist",Summary!#REF!,$M$152,$O$152)</f>
        <v>#VALUE!</v>
      </c>
      <c r="V155" t="e">
        <f>#REF!</f>
        <v>#REF!</v>
      </c>
      <c r="W155" t="e">
        <f>#REF!</f>
        <v>#REF!</v>
      </c>
      <c r="X155" t="e" cm="1">
        <f t="array" ref="X155">pareto($V$153:$V$158,$W$153:$W$158,3,"rate",Summary!#REF!,$W$152,$Y$152)</f>
        <v>#VALUE!</v>
      </c>
      <c r="Y155" t="e" cm="1">
        <f t="array" ref="Y155">pareto($V$153:$V$158,$W$153:$W$158,3,"dist",Summary!#REF!,$W$152,$Y$152)</f>
        <v>#VALUE!</v>
      </c>
      <c r="Z155" t="e">
        <f>#REF!</f>
        <v>#REF!</v>
      </c>
      <c r="AA155" t="e">
        <f>#REF!</f>
        <v>#REF!</v>
      </c>
      <c r="AB155" t="e" cm="1">
        <f t="array" ref="AB155">pareto($Z$153:$Z$158,$AA$153:$AA$158,3,"rate",Summary!#REF!,$W$152,$Y$152)</f>
        <v>#VALUE!</v>
      </c>
      <c r="AC155" t="e" cm="1">
        <f t="array" ref="AC155">pareto($Z$153:$Z$158,$AA$153:$AA$158,3,"dist",Summary!#REF!,$W$152,$Y$152)</f>
        <v>#VALUE!</v>
      </c>
      <c r="AF155" t="e">
        <f>#REF!</f>
        <v>#REF!</v>
      </c>
      <c r="AG155" t="e">
        <f>#REF!</f>
        <v>#REF!</v>
      </c>
      <c r="AH155" t="e" cm="1">
        <f t="array" ref="AH155">pareto($AF$153:$AF$158,$AG$153:$AG$158,3,"rate",Summary!#REF!,$AG$152,$AI$152)</f>
        <v>#VALUE!</v>
      </c>
      <c r="AI155" t="e" cm="1">
        <f t="array" ref="AI155">pareto($AF$153:$AF$158,$AG$153:$AG$158,3,"dist",Summary!#REF!,$AG$152,$AI$152)</f>
        <v>#VALUE!</v>
      </c>
      <c r="AJ155" t="e">
        <f>#REF!</f>
        <v>#REF!</v>
      </c>
      <c r="AK155" t="e">
        <f>#REF!</f>
        <v>#REF!</v>
      </c>
      <c r="AL155" t="e" cm="1">
        <f t="array" ref="AL155">pareto($AJ$153:$AJ$158,$AK$153:$AK$158,3,"rate",Summary!#REF!,$AG$152,$AI$152)</f>
        <v>#VALUE!</v>
      </c>
      <c r="AM155" t="e" cm="1">
        <f t="array" ref="AM155">pareto($AJ$153:$AJ$158,$AK$153:$AK$158,3,"dist",Summary!#REF!,$AG$152,$AI$152)</f>
        <v>#VALUE!</v>
      </c>
      <c r="AP155" t="e">
        <f>#REF!</f>
        <v>#REF!</v>
      </c>
      <c r="AQ155" t="e">
        <f>#REF!</f>
        <v>#REF!</v>
      </c>
      <c r="AR155" t="e" cm="1">
        <f t="array" ref="AR155">pareto($AP$153:$AP$158,$AQ$153:$AQ$158,3,"rate",Summary!#REF!,$AQ$152,$AI$152)</f>
        <v>#VALUE!</v>
      </c>
      <c r="AS155" t="e" cm="1">
        <f t="array" ref="AS155">pareto($AP$153:$AP$158,$AQ$153:$AQ$158,3,"dist",Summary!#REF!,$AQ$152,$AI$152)</f>
        <v>#VALUE!</v>
      </c>
      <c r="AT155" t="e">
        <f>#REF!</f>
        <v>#REF!</v>
      </c>
      <c r="AU155" t="e">
        <f>#REF!</f>
        <v>#REF!</v>
      </c>
      <c r="AV155" t="e" cm="1">
        <f t="array" ref="AV155">pareto($AT$153:$AT$158,$AU$153:$AU$158,3,"rate",Summary!#REF!,$AQ$152,$AI$152)</f>
        <v>#VALUE!</v>
      </c>
      <c r="AW155" t="e" cm="1">
        <f t="array" ref="AW155">pareto($AT$153:$AT$158,$AU$153:$AU$158,3,"dist",Summary!#REF!,$AQ$152,$AI$152)</f>
        <v>#VALUE!</v>
      </c>
      <c r="AZ155" s="36" t="e">
        <f>#REF!</f>
        <v>#REF!</v>
      </c>
      <c r="BA155" s="36" t="e">
        <f>#REF!</f>
        <v>#REF!</v>
      </c>
      <c r="BB155" t="e" cm="1">
        <f t="array" ref="BB155">pareto($AZ$153:$AZ$158,$BA$153:$BA$158,3,"rate",Summary!#REF!,$BA$152,$BC$152)</f>
        <v>#VALUE!</v>
      </c>
      <c r="BC155" t="e" cm="1">
        <f t="array" ref="BC155">pareto($AZ$153:$AZ$158,$BA$153:$BA$158,3,"dist",Summary!#REF!,$BA$152,$BC$152)</f>
        <v>#VALUE!</v>
      </c>
      <c r="BD155" s="36" t="e">
        <f>#REF!</f>
        <v>#REF!</v>
      </c>
      <c r="BE155" s="36" t="e">
        <f>#REF!</f>
        <v>#REF!</v>
      </c>
      <c r="BF155" t="e" cm="1">
        <f t="array" ref="BF155">pareto($BD$153:$BD$158,$BE$153:$BE$158,3,"rate",Summary!#REF!,$BA$152,$BC$152)</f>
        <v>#VALUE!</v>
      </c>
      <c r="BG155" t="e" cm="1">
        <f t="array" ref="BG155">pareto($BD$153:$BD$158,$BE$153:$BE$158,3,"dist",Summary!#REF!,$BA$152,$BC$152)</f>
        <v>#VALUE!</v>
      </c>
    </row>
    <row r="156" spans="11:59" x14ac:dyDescent="0.25">
      <c r="L156" t="e">
        <f>#REF!</f>
        <v>#REF!</v>
      </c>
      <c r="M156" t="e">
        <f>#REF!</f>
        <v>#REF!</v>
      </c>
      <c r="N156" t="e" cm="1">
        <f t="array" ref="N156">pareto($L$153:$L$158,$M$153:$M$158,4,"rate",Summary!#REF!,$M$152,$O$152)</f>
        <v>#VALUE!</v>
      </c>
      <c r="O156" t="e" cm="1">
        <f t="array" ref="O156">pareto($L$153:$L$158,$M$153:$M$158,4,"dist",Summary!#REF!,$M$152,$O$152)</f>
        <v>#VALUE!</v>
      </c>
      <c r="P156" t="e">
        <f>#REF!</f>
        <v>#REF!</v>
      </c>
      <c r="Q156" t="e">
        <f>#REF!</f>
        <v>#REF!</v>
      </c>
      <c r="R156" t="e" cm="1">
        <f t="array" ref="R156">pareto($P$153:$P$158,$Q$153:$Q$158,4,"rate",Summary!#REF!,$M$152,$O$152)</f>
        <v>#VALUE!</v>
      </c>
      <c r="S156" t="e" cm="1">
        <f t="array" ref="S156">pareto($P$153:$P$158,$Q$153:$Q$158,4,"dist",Summary!#REF!,$M$152,$O$152)</f>
        <v>#VALUE!</v>
      </c>
      <c r="V156" t="e">
        <f>#REF!</f>
        <v>#REF!</v>
      </c>
      <c r="W156" t="e">
        <f>#REF!</f>
        <v>#REF!</v>
      </c>
      <c r="X156" t="e" cm="1">
        <f t="array" ref="X156">pareto($V$153:$V$158,$W$153:$W$158,4,"rate",Summary!#REF!,$W$152,$Y$152)</f>
        <v>#VALUE!</v>
      </c>
      <c r="Y156" t="e" cm="1">
        <f t="array" ref="Y156">pareto($V$153:$V$158,$W$153:$W$158,4,"dist",Summary!#REF!,$W$152,$Y$152)</f>
        <v>#VALUE!</v>
      </c>
      <c r="Z156" t="e">
        <f>#REF!</f>
        <v>#REF!</v>
      </c>
      <c r="AA156" t="e">
        <f>#REF!</f>
        <v>#REF!</v>
      </c>
      <c r="AB156" t="e" cm="1">
        <f t="array" ref="AB156">pareto($Z$153:$Z$158,$AA$153:$AA$158,4,"rate",Summary!#REF!,$W$152,$Y$152)</f>
        <v>#VALUE!</v>
      </c>
      <c r="AC156" t="e" cm="1">
        <f t="array" ref="AC156">pareto($Z$153:$Z$158,$AA$153:$AA$158,4,"dist",Summary!#REF!,$W$152,$Y$152)</f>
        <v>#VALUE!</v>
      </c>
      <c r="AF156" t="e">
        <f>#REF!</f>
        <v>#REF!</v>
      </c>
      <c r="AG156" t="e">
        <f>#REF!</f>
        <v>#REF!</v>
      </c>
      <c r="AH156" t="e" cm="1">
        <f t="array" ref="AH156">pareto($AF$153:$AF$158,$AG$153:$AG$158,4,"rate",Summary!#REF!,$AG$152,$AI$152)</f>
        <v>#VALUE!</v>
      </c>
      <c r="AI156" t="e" cm="1">
        <f t="array" ref="AI156">pareto($AF$153:$AF$158,$AG$153:$AG$158,4,"dist",Summary!#REF!,$AG$152,$AI$152)</f>
        <v>#VALUE!</v>
      </c>
      <c r="AJ156" t="e">
        <f>#REF!</f>
        <v>#REF!</v>
      </c>
      <c r="AK156" t="e">
        <f>#REF!</f>
        <v>#REF!</v>
      </c>
      <c r="AL156" t="e" cm="1">
        <f t="array" ref="AL156">pareto($AJ$153:$AJ$158,$AK$153:$AK$158,4,"rate",Summary!#REF!,$AG$152,$AI$152)</f>
        <v>#VALUE!</v>
      </c>
      <c r="AM156" t="e" cm="1">
        <f t="array" ref="AM156">pareto($AJ$153:$AJ$158,$AK$153:$AK$158,4,"dist",Summary!#REF!,$AG$152,$AI$152)</f>
        <v>#VALUE!</v>
      </c>
      <c r="AP156" t="e">
        <f>#REF!</f>
        <v>#REF!</v>
      </c>
      <c r="AQ156" t="e">
        <f>#REF!</f>
        <v>#REF!</v>
      </c>
      <c r="AR156" t="e" cm="1">
        <f t="array" ref="AR156">pareto($AP$153:$AP$158,$AQ$153:$AQ$158,4,"rate",Summary!#REF!,$AQ$152,$AI$152)</f>
        <v>#VALUE!</v>
      </c>
      <c r="AS156" t="e" cm="1">
        <f t="array" ref="AS156">pareto($AP$153:$AP$158,$AQ$153:$AQ$158,4,"dist",Summary!#REF!,$AQ$152,$AI$152)</f>
        <v>#VALUE!</v>
      </c>
      <c r="AT156" t="e">
        <f>#REF!</f>
        <v>#REF!</v>
      </c>
      <c r="AU156" t="e">
        <f>#REF!</f>
        <v>#REF!</v>
      </c>
      <c r="AV156" t="e" cm="1">
        <f t="array" ref="AV156">pareto($AT$153:$AT$158,$AU$153:$AU$158,4,"rate",Summary!#REF!,$AQ$152,$AI$152)</f>
        <v>#VALUE!</v>
      </c>
      <c r="AW156" t="e" cm="1">
        <f t="array" ref="AW156">pareto($AT$153:$AT$158,$AU$153:$AU$158,4,"dist",Summary!#REF!,$AQ$152,$AI$152)</f>
        <v>#VALUE!</v>
      </c>
      <c r="AZ156" s="36" t="e">
        <f>#REF!</f>
        <v>#REF!</v>
      </c>
      <c r="BA156" s="36" t="e">
        <f>#REF!</f>
        <v>#REF!</v>
      </c>
      <c r="BB156" t="e" cm="1">
        <f t="array" ref="BB156">pareto($AZ$153:$AZ$158,$BA$153:$BA$158,4,"rate",Summary!#REF!,$BA$152,$BC$152)</f>
        <v>#VALUE!</v>
      </c>
      <c r="BC156" t="e" cm="1">
        <f t="array" ref="BC156">pareto($AZ$153:$AZ$158,$BA$153:$BA$158,4,"dist",Summary!#REF!,$BA$152,$BC$152)</f>
        <v>#VALUE!</v>
      </c>
      <c r="BD156" s="36" t="e">
        <f>#REF!</f>
        <v>#REF!</v>
      </c>
      <c r="BE156" s="36" t="e">
        <f>#REF!</f>
        <v>#REF!</v>
      </c>
      <c r="BF156" t="e" cm="1">
        <f t="array" ref="BF156">pareto($BD$153:$BD$158,$BE$153:$BE$158,4,"rate",Summary!#REF!,$BA$152,$BC$152)</f>
        <v>#VALUE!</v>
      </c>
      <c r="BG156" t="e" cm="1">
        <f t="array" ref="BG156">pareto($BD$153:$BD$158,$BE$153:$BE$158,4,"dist",Summary!#REF!,$BA$152,$BC$152)</f>
        <v>#VALUE!</v>
      </c>
    </row>
    <row r="157" spans="11:59" x14ac:dyDescent="0.25">
      <c r="L157" t="e">
        <f>#REF!</f>
        <v>#REF!</v>
      </c>
      <c r="M157" t="e">
        <f>#REF!</f>
        <v>#REF!</v>
      </c>
      <c r="N157" t="e" cm="1">
        <f t="array" ref="N157">pareto($L$153:$L$158,$M$153:$M$158,5,"rate",Summary!#REF!,$M$152,$O$152)</f>
        <v>#VALUE!</v>
      </c>
      <c r="O157" t="e" cm="1">
        <f t="array" ref="O157">pareto($L$153:$L$158,$M$153:$M$158,5,"dist",Summary!#REF!,$M$152,$O$152)</f>
        <v>#VALUE!</v>
      </c>
      <c r="P157" t="e">
        <f>#REF!</f>
        <v>#REF!</v>
      </c>
      <c r="Q157" t="e">
        <f>#REF!</f>
        <v>#REF!</v>
      </c>
      <c r="R157" t="e" cm="1">
        <f t="array" ref="R157">pareto($P$153:$P$158,$Q$153:$Q$158,5,"rate",Summary!#REF!,$M$152,$O$152)</f>
        <v>#VALUE!</v>
      </c>
      <c r="S157" t="e" cm="1">
        <f t="array" ref="S157">pareto($P$153:$P$158,$Q$153:$Q$158,5,"dist",Summary!#REF!,$M$152,$O$152)</f>
        <v>#VALUE!</v>
      </c>
      <c r="V157" t="e">
        <f>#REF!</f>
        <v>#REF!</v>
      </c>
      <c r="W157" t="e">
        <f>#REF!</f>
        <v>#REF!</v>
      </c>
      <c r="X157" t="e" cm="1">
        <f t="array" ref="X157">pareto($V$153:$V$158,$W$153:$W$158,5,"rate",Summary!#REF!,$W$152,$Y$152)</f>
        <v>#VALUE!</v>
      </c>
      <c r="Y157" t="e" cm="1">
        <f t="array" ref="Y157">pareto($V$153:$V$158,$W$153:$W$158,5,"dist",Summary!#REF!,$W$152,$Y$152)</f>
        <v>#VALUE!</v>
      </c>
      <c r="Z157" t="e">
        <f>#REF!</f>
        <v>#REF!</v>
      </c>
      <c r="AA157" t="e">
        <f>#REF!</f>
        <v>#REF!</v>
      </c>
      <c r="AB157" t="e" cm="1">
        <f t="array" ref="AB157">pareto($Z$153:$Z$158,$AA$153:$AA$158,5,"rate",Summary!#REF!,$W$152,$Y$152)</f>
        <v>#VALUE!</v>
      </c>
      <c r="AC157" t="e" cm="1">
        <f t="array" ref="AC157">pareto($Z$153:$Z$158,$AA$153:$AA$158,5,"dist",Summary!#REF!,$W$152,$Y$152)</f>
        <v>#VALUE!</v>
      </c>
      <c r="AF157" t="e">
        <f>#REF!</f>
        <v>#REF!</v>
      </c>
      <c r="AG157" t="e">
        <f>#REF!</f>
        <v>#REF!</v>
      </c>
      <c r="AH157" t="e" cm="1">
        <f t="array" ref="AH157">pareto($AF$153:$AF$158,$AG$153:$AG$158,5,"rate",Summary!#REF!,$AG$152,$AI$152)</f>
        <v>#VALUE!</v>
      </c>
      <c r="AI157" t="e" cm="1">
        <f t="array" ref="AI157">pareto($AF$153:$AF$158,$AG$153:$AG$158,5,"dist",Summary!#REF!,$AG$152,$AI$152)</f>
        <v>#VALUE!</v>
      </c>
      <c r="AJ157" t="e">
        <f>#REF!</f>
        <v>#REF!</v>
      </c>
      <c r="AK157" t="e">
        <f>#REF!</f>
        <v>#REF!</v>
      </c>
      <c r="AL157" t="e" cm="1">
        <f t="array" ref="AL157">pareto($AJ$153:$AJ$158,$AK$153:$AK$158,5,"rate",Summary!#REF!,$AG$152,$AI$152)</f>
        <v>#VALUE!</v>
      </c>
      <c r="AM157" t="e" cm="1">
        <f t="array" ref="AM157">pareto($AJ$153:$AJ$158,$AK$153:$AK$158,5,"dist",Summary!#REF!,$AG$152,$AI$152)</f>
        <v>#VALUE!</v>
      </c>
      <c r="AP157" t="e">
        <f>#REF!</f>
        <v>#REF!</v>
      </c>
      <c r="AQ157" t="e">
        <f>#REF!</f>
        <v>#REF!</v>
      </c>
      <c r="AR157" t="e" cm="1">
        <f t="array" ref="AR157">pareto($AP$153:$AP$158,$AQ$153:$AQ$158,5,"rate",Summary!#REF!,$AQ$152,$AI$152)</f>
        <v>#VALUE!</v>
      </c>
      <c r="AS157" t="e" cm="1">
        <f t="array" ref="AS157">pareto($AP$153:$AP$158,$AQ$153:$AQ$158,5,"dist",Summary!#REF!,$AQ$152,$AI$152)</f>
        <v>#VALUE!</v>
      </c>
      <c r="AT157" t="e">
        <f>#REF!</f>
        <v>#REF!</v>
      </c>
      <c r="AU157" t="e">
        <f>#REF!</f>
        <v>#REF!</v>
      </c>
      <c r="AV157" t="e" cm="1">
        <f t="array" ref="AV157">pareto($AT$153:$AT$158,$AU$153:$AU$158,5,"rate",Summary!#REF!,$AQ$152,$AI$152)</f>
        <v>#VALUE!</v>
      </c>
      <c r="AW157" t="e" cm="1">
        <f t="array" ref="AW157">pareto($AT$153:$AT$158,$AU$153:$AU$158,5,"dist",Summary!#REF!,$AQ$152,$AI$152)</f>
        <v>#VALUE!</v>
      </c>
      <c r="AZ157" s="36" t="e">
        <f>#REF!</f>
        <v>#REF!</v>
      </c>
      <c r="BA157" s="36" t="e">
        <f>#REF!</f>
        <v>#REF!</v>
      </c>
      <c r="BB157" t="e" cm="1">
        <f t="array" ref="BB157">pareto($AZ$153:$AZ$158,$BA$153:$BA$158,5,"rate",Summary!#REF!,$BA$152,$BC$152)</f>
        <v>#VALUE!</v>
      </c>
      <c r="BC157" t="e" cm="1">
        <f t="array" ref="BC157">pareto($AZ$153:$AZ$158,$BA$153:$BA$158,5,"dist",Summary!#REF!,$BA$152,$BC$152)</f>
        <v>#VALUE!</v>
      </c>
      <c r="BD157" s="36" t="e">
        <f>#REF!</f>
        <v>#REF!</v>
      </c>
      <c r="BE157" s="36" t="e">
        <f>#REF!</f>
        <v>#REF!</v>
      </c>
      <c r="BF157" t="e" cm="1">
        <f t="array" ref="BF157">pareto($BD$153:$BD$158,$BE$153:$BE$158,5,"rate",Summary!#REF!,$BA$152,$BC$152)</f>
        <v>#VALUE!</v>
      </c>
      <c r="BG157" t="e" cm="1">
        <f t="array" ref="BG157">pareto($BD$153:$BD$158,$BE$153:$BE$158,5,"dist",Summary!#REF!,$BA$152,$BC$152)</f>
        <v>#VALUE!</v>
      </c>
    </row>
    <row r="158" spans="11:59" x14ac:dyDescent="0.25">
      <c r="L158" t="e">
        <f>#REF!</f>
        <v>#REF!</v>
      </c>
      <c r="M158" t="e">
        <f>#REF!</f>
        <v>#REF!</v>
      </c>
      <c r="N158" t="e" cm="1">
        <f t="array" ref="N158">pareto($L$153:$L$158,$M$153:$M$158,6,"rate",Summary!#REF!,$M$152,$O$152)</f>
        <v>#VALUE!</v>
      </c>
      <c r="O158" t="e" cm="1">
        <f t="array" ref="O158">pareto($L$153:$L$158,$M$153:$M$158,6,"dist",Summary!#REF!,$M$152,$O$152)</f>
        <v>#VALUE!</v>
      </c>
      <c r="P158" t="e">
        <f>#REF!</f>
        <v>#REF!</v>
      </c>
      <c r="Q158" t="e">
        <f>#REF!</f>
        <v>#REF!</v>
      </c>
      <c r="R158" t="e" cm="1">
        <f t="array" ref="R158">pareto($P$153:$P$158,$Q$153:$Q$158,6,"rate",Summary!#REF!,$M$152,$O$152)</f>
        <v>#VALUE!</v>
      </c>
      <c r="S158" t="e" cm="1">
        <f t="array" ref="S158">pareto($P$153:$P$158,$Q$153:$Q$158,6,"dist",Summary!#REF!,$M$152,$O$152)</f>
        <v>#VALUE!</v>
      </c>
      <c r="V158" t="e">
        <f>#REF!</f>
        <v>#REF!</v>
      </c>
      <c r="W158" t="e">
        <f>#REF!</f>
        <v>#REF!</v>
      </c>
      <c r="X158" t="e" cm="1">
        <f t="array" ref="X158">pareto($V$153:$V$158,$W$153:$W$158,6,"rate",Summary!#REF!,$W$152,$Y$152)</f>
        <v>#VALUE!</v>
      </c>
      <c r="Y158" t="e" cm="1">
        <f t="array" ref="Y158">pareto($V$153:$V$158,$W$153:$W$158,6,"dist",Summary!#REF!,$W$152,$Y$152)</f>
        <v>#VALUE!</v>
      </c>
      <c r="Z158" t="e">
        <f>#REF!</f>
        <v>#REF!</v>
      </c>
      <c r="AA158" t="e">
        <f>#REF!</f>
        <v>#REF!</v>
      </c>
      <c r="AB158" t="e" cm="1">
        <f t="array" ref="AB158">pareto($Z$153:$Z$158,$AA$153:$AA$158,6,"rate",Summary!#REF!,$W$152,$Y$152)</f>
        <v>#VALUE!</v>
      </c>
      <c r="AC158" t="e" cm="1">
        <f t="array" ref="AC158">pareto($Z$153:$Z$158,$AA$153:$AA$158,6,"dist",Summary!#REF!,$W$152,$Y$152)</f>
        <v>#VALUE!</v>
      </c>
      <c r="AF158" t="e">
        <f>#REF!</f>
        <v>#REF!</v>
      </c>
      <c r="AG158" t="e">
        <f>#REF!</f>
        <v>#REF!</v>
      </c>
      <c r="AH158" t="e" cm="1">
        <f t="array" ref="AH158">pareto($AF$153:$AF$158,$AG$153:$AG$158,6,"rate",Summary!#REF!,$AG$152,$AI$152)</f>
        <v>#VALUE!</v>
      </c>
      <c r="AI158" t="e" cm="1">
        <f t="array" ref="AI158">pareto($AF$153:$AF$158,$AG$153:$AG$158,6,"dist",Summary!#REF!,$AG$152,$AI$152)</f>
        <v>#VALUE!</v>
      </c>
      <c r="AJ158" t="e">
        <f>#REF!</f>
        <v>#REF!</v>
      </c>
      <c r="AK158" t="e">
        <f>#REF!</f>
        <v>#REF!</v>
      </c>
      <c r="AL158" t="e" cm="1">
        <f t="array" ref="AL158">pareto($AJ$153:$AJ$158,$AK$153:$AK$158,6,"rate",Summary!#REF!,$AG$152,$AI$152)</f>
        <v>#VALUE!</v>
      </c>
      <c r="AM158" t="e" cm="1">
        <f t="array" ref="AM158">pareto($AJ$153:$AJ$158,$AK$153:$AK$158,6,"dist",Summary!#REF!,$AG$152,$AI$152)</f>
        <v>#VALUE!</v>
      </c>
      <c r="AP158" t="e">
        <f>#REF!</f>
        <v>#REF!</v>
      </c>
      <c r="AQ158" t="e">
        <f>#REF!</f>
        <v>#REF!</v>
      </c>
      <c r="AR158" t="e" cm="1">
        <f t="array" ref="AR158">pareto($AP$153:$AP$158,$AQ$153:$AQ$158,6,"rate",Summary!#REF!,$AQ$152,$AI$152)</f>
        <v>#VALUE!</v>
      </c>
      <c r="AS158" t="e" cm="1">
        <f t="array" ref="AS158">pareto($AP$153:$AP$158,$AQ$153:$AQ$158,6,"dist",Summary!#REF!,$AQ$152,$AI$152)</f>
        <v>#VALUE!</v>
      </c>
      <c r="AT158" t="e">
        <f>#REF!</f>
        <v>#REF!</v>
      </c>
      <c r="AU158" t="e">
        <f>#REF!</f>
        <v>#REF!</v>
      </c>
      <c r="AV158" t="e" cm="1">
        <f t="array" ref="AV158">pareto($AT$153:$AT$158,$AU$153:$AU$158,6,"rate",Summary!#REF!,$AQ$152,$AI$152)</f>
        <v>#VALUE!</v>
      </c>
      <c r="AW158" t="e" cm="1">
        <f t="array" ref="AW158">pareto($AT$153:$AT$158,$AU$153:$AU$158,6,"dist",Summary!#REF!,$AQ$152,$AI$152)</f>
        <v>#VALUE!</v>
      </c>
      <c r="AZ158" s="36" t="e">
        <f>#REF!</f>
        <v>#REF!</v>
      </c>
      <c r="BA158" s="36" t="e">
        <f>#REF!</f>
        <v>#REF!</v>
      </c>
      <c r="BB158" t="e" cm="1">
        <f t="array" ref="BB158">pareto($AZ$153:$AZ$158,$BA$153:$BA$158,6,"rate",Summary!#REF!,$BA$152,$BC$152)</f>
        <v>#VALUE!</v>
      </c>
      <c r="BC158" t="e" cm="1">
        <f t="array" ref="BC158">pareto($AZ$153:$AZ$158,$BA$153:$BA$158,6,"dist",Summary!#REF!,$BA$152,$BC$152)</f>
        <v>#VALUE!</v>
      </c>
      <c r="BD158" s="36" t="e">
        <f>#REF!</f>
        <v>#REF!</v>
      </c>
      <c r="BE158" s="36" t="e">
        <f>#REF!</f>
        <v>#REF!</v>
      </c>
      <c r="BF158" t="e" cm="1">
        <f t="array" ref="BF158">pareto($BD$153:$BD$158,$BE$153:$BE$158,6,"rate",Summary!#REF!,$BA$152,$BC$152)</f>
        <v>#VALUE!</v>
      </c>
      <c r="BG158" t="e" cm="1">
        <f t="array" ref="BG158">pareto($BD$153:$BD$158,$BE$153:$BE$158,6,"dist",Summary!#REF!,$BA$152,$BC$152)</f>
        <v>#VALUE!</v>
      </c>
    </row>
    <row r="159" spans="11:59" x14ac:dyDescent="0.25">
      <c r="BD159" s="36"/>
      <c r="BE159" s="36"/>
    </row>
    <row r="160" spans="11:59" x14ac:dyDescent="0.25">
      <c r="BD160" s="36"/>
      <c r="BE160" s="36"/>
    </row>
    <row r="161" spans="56:57" x14ac:dyDescent="0.25">
      <c r="BD161" s="36"/>
      <c r="BE161" s="36"/>
    </row>
    <row r="162" spans="56:57" x14ac:dyDescent="0.25">
      <c r="BD162" s="36"/>
      <c r="BE162" s="36"/>
    </row>
    <row r="163" spans="56:57" x14ac:dyDescent="0.25">
      <c r="BD163" s="36"/>
      <c r="BE163" s="36"/>
    </row>
    <row r="164" spans="56:57" x14ac:dyDescent="0.25">
      <c r="BD164" s="36"/>
      <c r="BE164" s="36"/>
    </row>
    <row r="165" spans="56:57" x14ac:dyDescent="0.25">
      <c r="BD165" s="36"/>
      <c r="BE165" s="36"/>
    </row>
    <row r="166" spans="56:57" x14ac:dyDescent="0.25">
      <c r="BD166" s="36"/>
      <c r="BE166" s="36"/>
    </row>
    <row r="167" spans="56:57" x14ac:dyDescent="0.25">
      <c r="BD167" s="36"/>
      <c r="BE167" s="36"/>
    </row>
    <row r="168" spans="56:57" x14ac:dyDescent="0.25">
      <c r="BD168" s="36"/>
      <c r="BE168" s="36"/>
    </row>
    <row r="169" spans="56:57" x14ac:dyDescent="0.25">
      <c r="BD169" s="36"/>
      <c r="BE169" s="36"/>
    </row>
    <row r="170" spans="56:57" x14ac:dyDescent="0.25">
      <c r="BD170" s="36"/>
      <c r="BE170" s="36"/>
    </row>
    <row r="171" spans="56:57" x14ac:dyDescent="0.25">
      <c r="BD171" s="36"/>
      <c r="BE171" s="36"/>
    </row>
    <row r="172" spans="56:57" x14ac:dyDescent="0.25">
      <c r="BD172" s="36"/>
      <c r="BE172" s="36"/>
    </row>
    <row r="173" spans="56:57" x14ac:dyDescent="0.25">
      <c r="BD173" s="36"/>
      <c r="BE173" s="36"/>
    </row>
    <row r="174" spans="56:57" x14ac:dyDescent="0.25">
      <c r="BD174" s="36"/>
      <c r="BE174" s="36"/>
    </row>
    <row r="175" spans="56:57" x14ac:dyDescent="0.25">
      <c r="BD175" s="36"/>
      <c r="BE175" s="36"/>
    </row>
    <row r="176" spans="56:57" x14ac:dyDescent="0.25">
      <c r="BD176" s="36"/>
      <c r="BE176" s="36"/>
    </row>
    <row r="177" spans="11:59" x14ac:dyDescent="0.25">
      <c r="K177" t="s">
        <v>62</v>
      </c>
      <c r="L177" t="s">
        <v>40</v>
      </c>
      <c r="M177">
        <v>70.148171000000005</v>
      </c>
      <c r="N177" t="s">
        <v>44</v>
      </c>
      <c r="O177">
        <v>20</v>
      </c>
      <c r="U177" t="s">
        <v>68</v>
      </c>
      <c r="V177" t="s">
        <v>40</v>
      </c>
      <c r="W177">
        <v>70.180002000000002</v>
      </c>
      <c r="X177" t="s">
        <v>44</v>
      </c>
      <c r="Y177">
        <v>20</v>
      </c>
      <c r="AE177" t="s">
        <v>73</v>
      </c>
      <c r="AF177" t="s">
        <v>40</v>
      </c>
      <c r="AG177">
        <v>66.903647000000007</v>
      </c>
      <c r="AH177" t="s">
        <v>44</v>
      </c>
      <c r="AI177">
        <v>20</v>
      </c>
      <c r="AO177" t="s">
        <v>77</v>
      </c>
      <c r="AP177" t="s">
        <v>40</v>
      </c>
      <c r="AQ177" s="71">
        <v>20.888005</v>
      </c>
      <c r="AR177" t="s">
        <v>44</v>
      </c>
      <c r="AS177">
        <v>20</v>
      </c>
      <c r="AT177" t="s">
        <v>40</v>
      </c>
      <c r="AU177" s="71"/>
      <c r="AY177" t="s">
        <v>70</v>
      </c>
      <c r="AZ177" t="s">
        <v>40</v>
      </c>
      <c r="BA177" s="71">
        <v>40.451067000000002</v>
      </c>
      <c r="BB177" t="s">
        <v>44</v>
      </c>
      <c r="BC177">
        <v>20</v>
      </c>
    </row>
    <row r="178" spans="11:59" x14ac:dyDescent="0.25">
      <c r="L178" t="e">
        <f>#REF!</f>
        <v>#REF!</v>
      </c>
      <c r="M178" t="e">
        <f>#REF!</f>
        <v>#REF!</v>
      </c>
      <c r="N178" t="e" cm="1">
        <f t="array" ref="N178">pareto($L$178:$L$183,$M$178:$M$183,1,"rate",Summary!#REF!,$M$177,$O$177)</f>
        <v>#VALUE!</v>
      </c>
      <c r="O178" t="e" cm="1">
        <f t="array" ref="O178">pareto($L$178:$L$183,$M$178:$M$183,1,"dist",Summary!#REF!,$M$177,$O$177)</f>
        <v>#VALUE!</v>
      </c>
      <c r="P178" t="e">
        <f>#REF!</f>
        <v>#REF!</v>
      </c>
      <c r="Q178" t="e">
        <f>#REF!</f>
        <v>#REF!</v>
      </c>
      <c r="R178" t="e" cm="1">
        <f t="array" ref="R178">pareto($P$178:$P$183,$Q$178:$Q$183,1,"rate",Summary!#REF!,$M$177,$O$177)</f>
        <v>#VALUE!</v>
      </c>
      <c r="S178" t="e" cm="1">
        <f t="array" ref="S178">pareto($P$178:$P$183,$Q$178:$Q$183,1,"dist",Summary!#REF!,$M$177,$O$177)</f>
        <v>#VALUE!</v>
      </c>
      <c r="V178" t="e">
        <f>#REF!</f>
        <v>#REF!</v>
      </c>
      <c r="W178" t="e">
        <f>#REF!</f>
        <v>#REF!</v>
      </c>
      <c r="X178" t="e" cm="1">
        <f t="array" ref="X178">pareto($V$178:$V$183,$W$178:$W$183,1,"rate",Summary!#REF!,$W$177,$Y$177)</f>
        <v>#VALUE!</v>
      </c>
      <c r="Y178" t="e" cm="1">
        <f t="array" ref="Y178">pareto($V$178:$V$183,$W$178:$W$183,1,"dist",Summary!#REF!,$W$177,$Y$177)</f>
        <v>#VALUE!</v>
      </c>
      <c r="Z178" t="e">
        <f>#REF!</f>
        <v>#REF!</v>
      </c>
      <c r="AA178" t="e">
        <f>#REF!</f>
        <v>#REF!</v>
      </c>
      <c r="AB178" t="e" cm="1">
        <f t="array" ref="AB178">pareto($Z$178:$Z$183,$AA$178:$AA$183,1,"rate",Summary!#REF!,$W$177,$Y$177)</f>
        <v>#VALUE!</v>
      </c>
      <c r="AC178" t="e" cm="1">
        <f t="array" ref="AC178">pareto($Z$178:$Z$183,$AA$178:$AA$183,1,"dist",Summary!#REF!,$W$177,$Y$177)</f>
        <v>#VALUE!</v>
      </c>
      <c r="AF178" t="e">
        <f>#REF!</f>
        <v>#REF!</v>
      </c>
      <c r="AG178" t="e">
        <f>#REF!</f>
        <v>#REF!</v>
      </c>
      <c r="AH178" t="e" cm="1">
        <f t="array" ref="AH178">pareto($AF$178:$AF$183,$AG$178:$AG$183,1,"rate",Summary!#REF!,$AG$177,$AI$177)</f>
        <v>#VALUE!</v>
      </c>
      <c r="AI178" t="e" cm="1">
        <f t="array" ref="AI178">pareto($AF$178:$AF$183,$AG$178:$AG$183,1,"dist",Summary!#REF!,$AG$177,$AI$177)</f>
        <v>#VALUE!</v>
      </c>
      <c r="AJ178" t="e">
        <f>#REF!</f>
        <v>#REF!</v>
      </c>
      <c r="AK178" t="e">
        <f>#REF!</f>
        <v>#REF!</v>
      </c>
      <c r="AL178" t="e" cm="1">
        <f t="array" ref="AL178">pareto($AJ$178:$AJ$183,$AK$178:$AK$183,1,"rate",Summary!#REF!,$AG$177,$AI$177)</f>
        <v>#VALUE!</v>
      </c>
      <c r="AM178" t="e" cm="1">
        <f t="array" ref="AM178">pareto($AJ$178:$AJ$183,$AK$178:$AK$183,1,"dist",Summary!#REF!,$AG$177,$AI$177)</f>
        <v>#VALUE!</v>
      </c>
      <c r="AP178" t="e">
        <f>#REF!</f>
        <v>#REF!</v>
      </c>
      <c r="AQ178" t="e">
        <f>#REF!</f>
        <v>#REF!</v>
      </c>
      <c r="AR178" t="e" cm="1">
        <f t="array" ref="AR178">pareto($AP$178:$AP$183,$AQ$178:$AQ$183,1,"rate",Summary!#REF!,$AQ$177,$AI$177)</f>
        <v>#VALUE!</v>
      </c>
      <c r="AS178" t="e" cm="1">
        <f t="array" ref="AS178">pareto($AP$178:$AP$183,$AQ$178:$AQ$183,1,"dist",Summary!#REF!,$AQ$177,$AI$177)</f>
        <v>#VALUE!</v>
      </c>
      <c r="AT178" t="e">
        <f>#REF!</f>
        <v>#REF!</v>
      </c>
      <c r="AU178" t="e">
        <f>#REF!</f>
        <v>#REF!</v>
      </c>
      <c r="AV178" t="e" cm="1">
        <f t="array" ref="AV178">pareto($AT$178:$AT$183,$AU$178:$AU$183,1,"rate",Summary!#REF!,$AQ$177,$AI$177)</f>
        <v>#VALUE!</v>
      </c>
      <c r="AW178" t="e" cm="1">
        <f t="array" ref="AW178">pareto($AT$178:$AT$183,$AU$178:$AU$183,1,"dist",Summary!#REF!,$AQ$177,$AI$177)</f>
        <v>#VALUE!</v>
      </c>
      <c r="AZ178" s="36" t="e">
        <f>#REF!</f>
        <v>#REF!</v>
      </c>
      <c r="BA178" s="36" t="e">
        <f>#REF!</f>
        <v>#REF!</v>
      </c>
      <c r="BB178" t="e" cm="1">
        <f t="array" ref="BB178">pareto($AZ$178:$AZ$183,$BA$178:$BA$183,1,"rate",Summary!#REF!,$BA$177,$BC$177)</f>
        <v>#VALUE!</v>
      </c>
      <c r="BC178" t="e" cm="1">
        <f t="array" ref="BC178">pareto($AZ$178:$AZ$183,$BA$178:$BA$183,1,"dist",Summary!#REF!,$BA$177,$BC$177)</f>
        <v>#VALUE!</v>
      </c>
      <c r="BD178" s="36" t="e">
        <f>#REF!</f>
        <v>#REF!</v>
      </c>
      <c r="BE178" s="36" t="e">
        <f>#REF!</f>
        <v>#REF!</v>
      </c>
      <c r="BF178" t="e" cm="1">
        <f t="array" ref="BF178">pareto($BD$178:$BD$183,$BE$178:$BE$183,1,"rate",Summary!#REF!,$BA$177,$BC$177)</f>
        <v>#VALUE!</v>
      </c>
      <c r="BG178" t="e" cm="1">
        <f t="array" ref="BG178">pareto($BD$178:$BD$183,$BE$178:$BE$183,1,"dist",Summary!#REF!,$BA$177,$BC$177)</f>
        <v>#VALUE!</v>
      </c>
    </row>
    <row r="179" spans="11:59" x14ac:dyDescent="0.25">
      <c r="L179" t="e">
        <f>#REF!</f>
        <v>#REF!</v>
      </c>
      <c r="M179" t="e">
        <f>#REF!</f>
        <v>#REF!</v>
      </c>
      <c r="N179" t="e" cm="1">
        <f t="array" ref="N179">pareto($L$178:$L$183,$M$178:$M$183,2,"rate",Summary!#REF!,$M$177,$O$177)</f>
        <v>#VALUE!</v>
      </c>
      <c r="O179" t="e" cm="1">
        <f t="array" ref="O179">pareto($L$178:$L$183,$M$178:$M$183,2,"dist",Summary!#REF!,$M$177,$O$177)</f>
        <v>#VALUE!</v>
      </c>
      <c r="P179" t="e">
        <f>#REF!</f>
        <v>#REF!</v>
      </c>
      <c r="Q179" t="e">
        <f>#REF!</f>
        <v>#REF!</v>
      </c>
      <c r="R179" t="e" cm="1">
        <f t="array" ref="R179">pareto($P$178:$P$183,$Q$178:$Q$183,2,"rate",Summary!#REF!,$M$177,$O$177)</f>
        <v>#VALUE!</v>
      </c>
      <c r="S179" t="e" cm="1">
        <f t="array" ref="S179">pareto($P$178:$P$183,$Q$178:$Q$183,2,"dist",Summary!#REF!,$M$177,$O$177)</f>
        <v>#VALUE!</v>
      </c>
      <c r="V179" t="e">
        <f>#REF!</f>
        <v>#REF!</v>
      </c>
      <c r="W179" t="e">
        <f>#REF!</f>
        <v>#REF!</v>
      </c>
      <c r="X179" t="e" cm="1">
        <f t="array" ref="X179">pareto($V$178:$V$183,$W$178:$W$183,2,"rate",Summary!#REF!,$W$177,$Y$177)</f>
        <v>#VALUE!</v>
      </c>
      <c r="Y179" t="e" cm="1">
        <f t="array" ref="Y179">pareto($V$178:$V$183,$W$178:$W$183,2,"dist",Summary!#REF!,$W$177,$Y$177)</f>
        <v>#VALUE!</v>
      </c>
      <c r="Z179" t="e">
        <f>#REF!</f>
        <v>#REF!</v>
      </c>
      <c r="AA179" t="e">
        <f>#REF!</f>
        <v>#REF!</v>
      </c>
      <c r="AB179" t="e" cm="1">
        <f t="array" ref="AB179">pareto($Z$178:$Z$183,$AA$178:$AA$183,2,"rate",Summary!#REF!,$W$177,$Y$177)</f>
        <v>#VALUE!</v>
      </c>
      <c r="AC179" t="e" cm="1">
        <f t="array" ref="AC179">pareto($Z$178:$Z$183,$AA$178:$AA$183,2,"dist",Summary!#REF!,$W$177,$Y$177)</f>
        <v>#VALUE!</v>
      </c>
      <c r="AF179" t="e">
        <f>#REF!</f>
        <v>#REF!</v>
      </c>
      <c r="AG179" t="e">
        <f>#REF!</f>
        <v>#REF!</v>
      </c>
      <c r="AH179" t="e" cm="1">
        <f t="array" ref="AH179">pareto($AF$178:$AF$183,$AG$178:$AG$183,2,"rate",Summary!#REF!,$AG$177,$AI$177)</f>
        <v>#VALUE!</v>
      </c>
      <c r="AI179" t="e" cm="1">
        <f t="array" ref="AI179">pareto($AF$178:$AF$183,$AG$178:$AG$183,2,"dist",Summary!#REF!,$AG$177,$AI$177)</f>
        <v>#VALUE!</v>
      </c>
      <c r="AJ179" t="e">
        <f>#REF!</f>
        <v>#REF!</v>
      </c>
      <c r="AK179" t="e">
        <f>#REF!</f>
        <v>#REF!</v>
      </c>
      <c r="AL179" t="e" cm="1">
        <f t="array" ref="AL179">pareto($AJ$178:$AJ$183,$AK$178:$AK$183,2,"rate",Summary!#REF!,$AG$177,$AI$177)</f>
        <v>#VALUE!</v>
      </c>
      <c r="AM179" t="e" cm="1">
        <f t="array" ref="AM179">pareto($AJ$178:$AJ$183,$AK$178:$AK$183,2,"dist",Summary!#REF!,$AG$177,$AI$177)</f>
        <v>#VALUE!</v>
      </c>
      <c r="AP179" t="e">
        <f>#REF!</f>
        <v>#REF!</v>
      </c>
      <c r="AQ179" t="e">
        <f>#REF!</f>
        <v>#REF!</v>
      </c>
      <c r="AR179" t="e" cm="1">
        <f t="array" ref="AR179">pareto($AP$178:$AP$183,$AQ$178:$AQ$183,2,"rate",Summary!#REF!,$AQ$177,$AI$177)</f>
        <v>#VALUE!</v>
      </c>
      <c r="AS179" t="e" cm="1">
        <f t="array" ref="AS179">pareto($AP$178:$AP$183,$AQ$178:$AQ$183,2,"dist",Summary!#REF!,$AQ$177,$AI$177)</f>
        <v>#VALUE!</v>
      </c>
      <c r="AT179" t="e">
        <f>#REF!</f>
        <v>#REF!</v>
      </c>
      <c r="AU179" t="e">
        <f>#REF!</f>
        <v>#REF!</v>
      </c>
      <c r="AV179" t="e" cm="1">
        <f t="array" ref="AV179">pareto($AT$178:$AT$183,$AU$178:$AU$183,2,"rate",Summary!#REF!,$AQ$177,$AI$177)</f>
        <v>#VALUE!</v>
      </c>
      <c r="AW179" t="e" cm="1">
        <f t="array" ref="AW179">pareto($AT$178:$AT$183,$AU$178:$AU$183,2,"dist",Summary!#REF!,$AQ$177,$AI$177)</f>
        <v>#VALUE!</v>
      </c>
      <c r="AZ179" s="36" t="e">
        <f>#REF!</f>
        <v>#REF!</v>
      </c>
      <c r="BA179" s="36" t="e">
        <f>#REF!</f>
        <v>#REF!</v>
      </c>
      <c r="BB179" t="e" cm="1">
        <f t="array" ref="BB179">pareto($AZ$178:$AZ$183,$BA$178:$BA$183,2,"rate",Summary!#REF!,$BA$177,$BC$177)</f>
        <v>#VALUE!</v>
      </c>
      <c r="BC179" t="e" cm="1">
        <f t="array" ref="BC179">pareto($AZ$178:$AZ$183,$BA$178:$BA$183,2,"dist",Summary!#REF!,$BA$177,$BC$177)</f>
        <v>#VALUE!</v>
      </c>
      <c r="BD179" s="36" t="e">
        <f>#REF!</f>
        <v>#REF!</v>
      </c>
      <c r="BE179" s="36" t="e">
        <f>#REF!</f>
        <v>#REF!</v>
      </c>
      <c r="BF179" t="e" cm="1">
        <f t="array" ref="BF179">pareto($BD$178:$BD$183,$BE$178:$BE$183,2,"rate",Summary!#REF!,$BA$177,$BC$177)</f>
        <v>#VALUE!</v>
      </c>
      <c r="BG179" t="e" cm="1">
        <f t="array" ref="BG179">pareto($BD$178:$BD$183,$BE$178:$BE$183,2,"dist",Summary!#REF!,$BA$177,$BC$177)</f>
        <v>#VALUE!</v>
      </c>
    </row>
    <row r="180" spans="11:59" x14ac:dyDescent="0.25">
      <c r="L180" t="e">
        <f>#REF!</f>
        <v>#REF!</v>
      </c>
      <c r="M180" t="e">
        <f>#REF!</f>
        <v>#REF!</v>
      </c>
      <c r="N180" t="e" cm="1">
        <f t="array" ref="N180">pareto($L$178:$L$183,$M$178:$M$183,3,"rate",Summary!#REF!,$M$177,$O$177)</f>
        <v>#VALUE!</v>
      </c>
      <c r="O180" t="e" cm="1">
        <f t="array" ref="O180">pareto($L$178:$L$183,$M$178:$M$183,3,"dist",Summary!#REF!,$M$177,$O$177)</f>
        <v>#VALUE!</v>
      </c>
      <c r="P180" t="e">
        <f>#REF!</f>
        <v>#REF!</v>
      </c>
      <c r="Q180" t="e">
        <f>#REF!</f>
        <v>#REF!</v>
      </c>
      <c r="R180" t="e" cm="1">
        <f t="array" ref="R180">pareto($P$178:$P$183,$Q$178:$Q$183,3,"rate",Summary!#REF!,$M$177,$O$177)</f>
        <v>#VALUE!</v>
      </c>
      <c r="S180" t="e" cm="1">
        <f t="array" ref="S180">pareto($P$178:$P$183,$Q$178:$Q$183,3,"dist",Summary!#REF!,$M$177,$O$177)</f>
        <v>#VALUE!</v>
      </c>
      <c r="V180" t="e">
        <f>#REF!</f>
        <v>#REF!</v>
      </c>
      <c r="W180" t="e">
        <f>#REF!</f>
        <v>#REF!</v>
      </c>
      <c r="X180" t="e" cm="1">
        <f t="array" ref="X180">pareto($V$178:$V$183,$W$178:$W$183,3,"rate",Summary!#REF!,$W$177,$Y$177)</f>
        <v>#VALUE!</v>
      </c>
      <c r="Y180" t="e" cm="1">
        <f t="array" ref="Y180">pareto($V$178:$V$183,$W$178:$W$183,3,"dist",Summary!#REF!,$W$177,$Y$177)</f>
        <v>#VALUE!</v>
      </c>
      <c r="Z180" t="e">
        <f>#REF!</f>
        <v>#REF!</v>
      </c>
      <c r="AA180" t="e">
        <f>#REF!</f>
        <v>#REF!</v>
      </c>
      <c r="AB180" t="e" cm="1">
        <f t="array" ref="AB180">pareto($Z$178:$Z$183,$AA$178:$AA$183,3,"rate",Summary!#REF!,$W$177,$Y$177)</f>
        <v>#VALUE!</v>
      </c>
      <c r="AC180" t="e" cm="1">
        <f t="array" ref="AC180">pareto($Z$178:$Z$183,$AA$178:$AA$183,3,"dist",Summary!#REF!,$W$177,$Y$177)</f>
        <v>#VALUE!</v>
      </c>
      <c r="AF180" t="e">
        <f>#REF!</f>
        <v>#REF!</v>
      </c>
      <c r="AG180" t="e">
        <f>#REF!</f>
        <v>#REF!</v>
      </c>
      <c r="AH180" t="e" cm="1">
        <f t="array" ref="AH180">pareto($AF$178:$AF$183,$AG$178:$AG$183,3,"rate",Summary!#REF!,$AG$177,$AI$177)</f>
        <v>#VALUE!</v>
      </c>
      <c r="AI180" t="e" cm="1">
        <f t="array" ref="AI180">pareto($AF$178:$AF$183,$AG$178:$AG$183,3,"dist",Summary!#REF!,$AG$177,$AI$177)</f>
        <v>#VALUE!</v>
      </c>
      <c r="AJ180" t="e">
        <f>#REF!</f>
        <v>#REF!</v>
      </c>
      <c r="AK180" t="e">
        <f>#REF!</f>
        <v>#REF!</v>
      </c>
      <c r="AL180" t="e" cm="1">
        <f t="array" ref="AL180">pareto($AJ$178:$AJ$183,$AK$178:$AK$183,3,"rate",Summary!#REF!,$AG$177,$AI$177)</f>
        <v>#VALUE!</v>
      </c>
      <c r="AM180" t="e" cm="1">
        <f t="array" ref="AM180">pareto($AJ$178:$AJ$183,$AK$178:$AK$183,3,"dist",Summary!#REF!,$AG$177,$AI$177)</f>
        <v>#VALUE!</v>
      </c>
      <c r="AP180" t="e">
        <f>#REF!</f>
        <v>#REF!</v>
      </c>
      <c r="AQ180" t="e">
        <f>#REF!</f>
        <v>#REF!</v>
      </c>
      <c r="AR180" t="e" cm="1">
        <f t="array" ref="AR180">pareto($AP$178:$AP$183,$AQ$178:$AQ$183,3,"rate",Summary!#REF!,$AQ$177,$AI$177)</f>
        <v>#VALUE!</v>
      </c>
      <c r="AS180" t="e" cm="1">
        <f t="array" ref="AS180">pareto($AP$178:$AP$183,$AQ$178:$AQ$183,3,"dist",Summary!#REF!,$AQ$177,$AI$177)</f>
        <v>#VALUE!</v>
      </c>
      <c r="AT180" t="e">
        <f>#REF!</f>
        <v>#REF!</v>
      </c>
      <c r="AU180" t="e">
        <f>#REF!</f>
        <v>#REF!</v>
      </c>
      <c r="AV180" t="e" cm="1">
        <f t="array" ref="AV180">pareto($AT$178:$AT$183,$AU$178:$AU$183,3,"rate",Summary!#REF!,$AQ$177,$AI$177)</f>
        <v>#VALUE!</v>
      </c>
      <c r="AW180" t="e" cm="1">
        <f t="array" ref="AW180">pareto($AT$178:$AT$183,$AU$178:$AU$183,3,"dist",Summary!#REF!,$AQ$177,$AI$177)</f>
        <v>#VALUE!</v>
      </c>
      <c r="AZ180" s="36" t="e">
        <f>#REF!</f>
        <v>#REF!</v>
      </c>
      <c r="BA180" s="36" t="e">
        <f>#REF!</f>
        <v>#REF!</v>
      </c>
      <c r="BB180" t="e" cm="1">
        <f t="array" ref="BB180">pareto($AZ$178:$AZ$183,$BA$178:$BA$183,3,"rate",Summary!#REF!,$BA$177,$BC$177)</f>
        <v>#VALUE!</v>
      </c>
      <c r="BC180" t="e" cm="1">
        <f t="array" ref="BC180">pareto($AZ$178:$AZ$183,$BA$178:$BA$183,3,"dist",Summary!#REF!,$BA$177,$BC$177)</f>
        <v>#VALUE!</v>
      </c>
      <c r="BD180" s="36" t="e">
        <f>#REF!</f>
        <v>#REF!</v>
      </c>
      <c r="BE180" s="36" t="e">
        <f>#REF!</f>
        <v>#REF!</v>
      </c>
      <c r="BF180" t="e" cm="1">
        <f t="array" ref="BF180">pareto($BD$178:$BD$183,$BE$178:$BE$183,3,"rate",Summary!#REF!,$BA$177,$BC$177)</f>
        <v>#VALUE!</v>
      </c>
      <c r="BG180" t="e" cm="1">
        <f t="array" ref="BG180">pareto($BD$178:$BD$183,$BE$178:$BE$183,3,"dist",Summary!#REF!,$BA$177,$BC$177)</f>
        <v>#VALUE!</v>
      </c>
    </row>
    <row r="181" spans="11:59" x14ac:dyDescent="0.25">
      <c r="L181" t="e">
        <f>#REF!</f>
        <v>#REF!</v>
      </c>
      <c r="M181" t="e">
        <f>#REF!</f>
        <v>#REF!</v>
      </c>
      <c r="N181" t="e" cm="1">
        <f t="array" ref="N181">pareto($L$178:$L$183,$M$178:$M$183,4,"rate",Summary!#REF!,$M$177,$O$177)</f>
        <v>#VALUE!</v>
      </c>
      <c r="O181" t="e" cm="1">
        <f t="array" ref="O181">pareto($L$178:$L$183,$M$178:$M$183,4,"dist",Summary!#REF!,$M$177,$O$177)</f>
        <v>#VALUE!</v>
      </c>
      <c r="P181" t="e">
        <f>#REF!</f>
        <v>#REF!</v>
      </c>
      <c r="Q181" t="e">
        <f>#REF!</f>
        <v>#REF!</v>
      </c>
      <c r="R181" t="e" cm="1">
        <f t="array" ref="R181">pareto($P$178:$P$183,$Q$178:$Q$183,4,"rate",Summary!#REF!,$M$177,$O$177)</f>
        <v>#VALUE!</v>
      </c>
      <c r="S181" t="e" cm="1">
        <f t="array" ref="S181">pareto($P$178:$P$183,$Q$178:$Q$183,4,"dist",Summary!#REF!,$M$177,$O$177)</f>
        <v>#VALUE!</v>
      </c>
      <c r="V181" t="e">
        <f>#REF!</f>
        <v>#REF!</v>
      </c>
      <c r="W181" t="e">
        <f>#REF!</f>
        <v>#REF!</v>
      </c>
      <c r="X181" t="e" cm="1">
        <f t="array" ref="X181">pareto($V$178:$V$183,$W$178:$W$183,4,"rate",Summary!#REF!,$W$177,$Y$177)</f>
        <v>#VALUE!</v>
      </c>
      <c r="Y181" t="e" cm="1">
        <f t="array" ref="Y181">pareto($V$178:$V$183,$W$178:$W$183,4,"dist",Summary!#REF!,$W$177,$Y$177)</f>
        <v>#VALUE!</v>
      </c>
      <c r="Z181" t="e">
        <f>#REF!</f>
        <v>#REF!</v>
      </c>
      <c r="AA181" t="e">
        <f>#REF!</f>
        <v>#REF!</v>
      </c>
      <c r="AB181" t="e" cm="1">
        <f t="array" ref="AB181">pareto($Z$178:$Z$183,$AA$178:$AA$183,4,"rate",Summary!#REF!,$W$177,$Y$177)</f>
        <v>#VALUE!</v>
      </c>
      <c r="AC181" t="e" cm="1">
        <f t="array" ref="AC181">pareto($Z$178:$Z$183,$AA$178:$AA$183,4,"dist",Summary!#REF!,$W$177,$Y$177)</f>
        <v>#VALUE!</v>
      </c>
      <c r="AF181" t="e">
        <f>#REF!</f>
        <v>#REF!</v>
      </c>
      <c r="AG181" t="e">
        <f>#REF!</f>
        <v>#REF!</v>
      </c>
      <c r="AH181" t="e" cm="1">
        <f t="array" ref="AH181">pareto($AF$178:$AF$183,$AG$178:$AG$183,4,"rate",Summary!#REF!,$AG$177,$AI$177)</f>
        <v>#VALUE!</v>
      </c>
      <c r="AI181" t="e" cm="1">
        <f t="array" ref="AI181">pareto($AF$178:$AF$183,$AG$178:$AG$183,4,"dist",Summary!#REF!,$AG$177,$AI$177)</f>
        <v>#VALUE!</v>
      </c>
      <c r="AJ181" t="e">
        <f>#REF!</f>
        <v>#REF!</v>
      </c>
      <c r="AK181" t="e">
        <f>#REF!</f>
        <v>#REF!</v>
      </c>
      <c r="AL181" t="e" cm="1">
        <f t="array" ref="AL181">pareto($AJ$178:$AJ$183,$AK$178:$AK$183,4,"rate",Summary!#REF!,$AG$177,$AI$177)</f>
        <v>#VALUE!</v>
      </c>
      <c r="AM181" t="e" cm="1">
        <f t="array" ref="AM181">pareto($AJ$178:$AJ$183,$AK$178:$AK$183,4,"dist",Summary!#REF!,$AG$177,$AI$177)</f>
        <v>#VALUE!</v>
      </c>
      <c r="AP181" t="e">
        <f>#REF!</f>
        <v>#REF!</v>
      </c>
      <c r="AQ181" t="e">
        <f>#REF!</f>
        <v>#REF!</v>
      </c>
      <c r="AR181" t="e" cm="1">
        <f t="array" ref="AR181">pareto($AP$178:$AP$183,$AQ$178:$AQ$183,4,"rate",Summary!#REF!,$AQ$177,$AI$177)</f>
        <v>#VALUE!</v>
      </c>
      <c r="AS181" t="e" cm="1">
        <f t="array" ref="AS181">pareto($AP$178:$AP$183,$AQ$178:$AQ$183,4,"dist",Summary!#REF!,$AQ$177,$AI$177)</f>
        <v>#VALUE!</v>
      </c>
      <c r="AT181" t="e">
        <f>#REF!</f>
        <v>#REF!</v>
      </c>
      <c r="AU181" t="e">
        <f>#REF!</f>
        <v>#REF!</v>
      </c>
      <c r="AV181" t="e" cm="1">
        <f t="array" ref="AV181">pareto($AT$178:$AT$183,$AU$178:$AU$183,4,"rate",Summary!#REF!,$AQ$177,$AI$177)</f>
        <v>#VALUE!</v>
      </c>
      <c r="AW181" t="e" cm="1">
        <f t="array" ref="AW181">pareto($AT$178:$AT$183,$AU$178:$AU$183,4,"dist",Summary!#REF!,$AQ$177,$AI$177)</f>
        <v>#VALUE!</v>
      </c>
      <c r="AZ181" s="36" t="e">
        <f>#REF!</f>
        <v>#REF!</v>
      </c>
      <c r="BA181" s="36" t="e">
        <f>#REF!</f>
        <v>#REF!</v>
      </c>
      <c r="BB181" t="e" cm="1">
        <f t="array" ref="BB181">pareto($AZ$178:$AZ$183,$BA$178:$BA$183,4,"rate",Summary!#REF!,$BA$177,$BC$177)</f>
        <v>#VALUE!</v>
      </c>
      <c r="BC181" t="e" cm="1">
        <f t="array" ref="BC181">pareto($AZ$178:$AZ$183,$BA$178:$BA$183,4,"dist",Summary!#REF!,$BA$177,$BC$177)</f>
        <v>#VALUE!</v>
      </c>
      <c r="BD181" s="36" t="e">
        <f>#REF!</f>
        <v>#REF!</v>
      </c>
      <c r="BE181" s="36" t="e">
        <f>#REF!</f>
        <v>#REF!</v>
      </c>
      <c r="BF181" t="e" cm="1">
        <f t="array" ref="BF181">pareto($BD$178:$BD$183,$BE$178:$BE$183,4,"rate",Summary!#REF!,$BA$177,$BC$177)</f>
        <v>#VALUE!</v>
      </c>
      <c r="BG181" t="e" cm="1">
        <f t="array" ref="BG181">pareto($BD$178:$BD$183,$BE$178:$BE$183,4,"dist",Summary!#REF!,$BA$177,$BC$177)</f>
        <v>#VALUE!</v>
      </c>
    </row>
    <row r="182" spans="11:59" x14ac:dyDescent="0.25">
      <c r="L182" t="e">
        <f>#REF!</f>
        <v>#REF!</v>
      </c>
      <c r="M182" t="e">
        <f>#REF!</f>
        <v>#REF!</v>
      </c>
      <c r="N182" t="e" cm="1">
        <f t="array" ref="N182">pareto($L$178:$L$183,$M$178:$M$183,5,"rate",Summary!#REF!,$M$177,$O$177)</f>
        <v>#VALUE!</v>
      </c>
      <c r="O182" t="e" cm="1">
        <f t="array" ref="O182">pareto($L$178:$L$183,$M$178:$M$183,5,"dist",Summary!#REF!,$M$177,$O$177)</f>
        <v>#VALUE!</v>
      </c>
      <c r="P182" t="e">
        <f>#REF!</f>
        <v>#REF!</v>
      </c>
      <c r="Q182" t="e">
        <f>#REF!</f>
        <v>#REF!</v>
      </c>
      <c r="R182" t="e" cm="1">
        <f t="array" ref="R182">pareto($P$178:$P$183,$Q$178:$Q$183,5,"rate",Summary!#REF!,$M$177,$O$177)</f>
        <v>#VALUE!</v>
      </c>
      <c r="S182" t="e" cm="1">
        <f t="array" ref="S182">pareto($P$178:$P$183,$Q$178:$Q$183,5,"dist",Summary!#REF!,$M$177,$O$177)</f>
        <v>#VALUE!</v>
      </c>
      <c r="V182" t="e">
        <f>#REF!</f>
        <v>#REF!</v>
      </c>
      <c r="W182" t="e">
        <f>#REF!</f>
        <v>#REF!</v>
      </c>
      <c r="X182" t="e" cm="1">
        <f t="array" ref="X182">pareto($V$178:$V$183,$W$178:$W$183,5,"rate",Summary!#REF!,$W$177,$Y$177)</f>
        <v>#VALUE!</v>
      </c>
      <c r="Y182" t="e" cm="1">
        <f t="array" ref="Y182">pareto($V$178:$V$183,$W$178:$W$183,5,"dist",Summary!#REF!,$W$177,$Y$177)</f>
        <v>#VALUE!</v>
      </c>
      <c r="Z182" t="e">
        <f>#REF!</f>
        <v>#REF!</v>
      </c>
      <c r="AA182" t="e">
        <f>#REF!</f>
        <v>#REF!</v>
      </c>
      <c r="AB182" t="e" cm="1">
        <f t="array" ref="AB182">pareto($Z$178:$Z$183,$AA$178:$AA$183,5,"rate",Summary!#REF!,$W$177,$Y$177)</f>
        <v>#VALUE!</v>
      </c>
      <c r="AC182" t="e" cm="1">
        <f t="array" ref="AC182">pareto($Z$178:$Z$183,$AA$178:$AA$183,5,"dist",Summary!#REF!,$W$177,$Y$177)</f>
        <v>#VALUE!</v>
      </c>
      <c r="AF182" t="e">
        <f>#REF!</f>
        <v>#REF!</v>
      </c>
      <c r="AG182" t="e">
        <f>#REF!</f>
        <v>#REF!</v>
      </c>
      <c r="AH182" t="e" cm="1">
        <f t="array" ref="AH182">pareto($AF$178:$AF$183,$AG$178:$AG$183,5,"rate",Summary!#REF!,$AG$177,$AI$177)</f>
        <v>#VALUE!</v>
      </c>
      <c r="AI182" t="e" cm="1">
        <f t="array" ref="AI182">pareto($AF$178:$AF$183,$AG$178:$AG$183,5,"dist",Summary!#REF!,$AG$177,$AI$177)</f>
        <v>#VALUE!</v>
      </c>
      <c r="AJ182" t="e">
        <f>#REF!</f>
        <v>#REF!</v>
      </c>
      <c r="AK182" t="e">
        <f>#REF!</f>
        <v>#REF!</v>
      </c>
      <c r="AL182" t="e" cm="1">
        <f t="array" ref="AL182">pareto($AJ$178:$AJ$183,$AK$178:$AK$183,5,"rate",Summary!#REF!,$AG$177,$AI$177)</f>
        <v>#VALUE!</v>
      </c>
      <c r="AM182" t="e" cm="1">
        <f t="array" ref="AM182">pareto($AJ$178:$AJ$183,$AK$178:$AK$183,5,"dist",Summary!#REF!,$AG$177,$AI$177)</f>
        <v>#VALUE!</v>
      </c>
      <c r="AP182" t="e">
        <f>#REF!</f>
        <v>#REF!</v>
      </c>
      <c r="AQ182" t="e">
        <f>#REF!</f>
        <v>#REF!</v>
      </c>
      <c r="AR182" t="e" cm="1">
        <f t="array" ref="AR182">pareto($AP$178:$AP$183,$AQ$178:$AQ$183,5,"rate",Summary!#REF!,$AQ$177,$AI$177)</f>
        <v>#VALUE!</v>
      </c>
      <c r="AS182" t="e" cm="1">
        <f t="array" ref="AS182">pareto($AP$178:$AP$183,$AQ$178:$AQ$183,5,"dist",Summary!#REF!,$AQ$177,$AI$177)</f>
        <v>#VALUE!</v>
      </c>
      <c r="AT182" t="e">
        <f>#REF!</f>
        <v>#REF!</v>
      </c>
      <c r="AU182" t="e">
        <f>#REF!</f>
        <v>#REF!</v>
      </c>
      <c r="AV182" t="e" cm="1">
        <f t="array" ref="AV182">pareto($AT$178:$AT$183,$AU$178:$AU$183,5,"rate",Summary!#REF!,$AQ$177,$AI$177)</f>
        <v>#VALUE!</v>
      </c>
      <c r="AW182" t="e" cm="1">
        <f t="array" ref="AW182">pareto($AT$178:$AT$183,$AU$178:$AU$183,5,"dist",Summary!#REF!,$AQ$177,$AI$177)</f>
        <v>#VALUE!</v>
      </c>
      <c r="AZ182" s="36" t="e">
        <f>#REF!</f>
        <v>#REF!</v>
      </c>
      <c r="BA182" s="36" t="e">
        <f>#REF!</f>
        <v>#REF!</v>
      </c>
      <c r="BB182" t="e" cm="1">
        <f t="array" ref="BB182">pareto($AZ$178:$AZ$183,$BA$178:$BA$183,5,"rate",Summary!#REF!,$BA$177,$BC$177)</f>
        <v>#VALUE!</v>
      </c>
      <c r="BC182" t="e" cm="1">
        <f t="array" ref="BC182">pareto($AZ$178:$AZ$183,$BA$178:$BA$183,5,"dist",Summary!#REF!,$BA$177,$BC$177)</f>
        <v>#VALUE!</v>
      </c>
      <c r="BD182" s="36" t="e">
        <f>#REF!</f>
        <v>#REF!</v>
      </c>
      <c r="BE182" s="36" t="e">
        <f>#REF!</f>
        <v>#REF!</v>
      </c>
      <c r="BF182" t="e" cm="1">
        <f t="array" ref="BF182">pareto($BD$178:$BD$183,$BE$178:$BE$183,5,"rate",Summary!#REF!,$BA$177,$BC$177)</f>
        <v>#VALUE!</v>
      </c>
      <c r="BG182" t="e" cm="1">
        <f t="array" ref="BG182">pareto($BD$178:$BD$183,$BE$178:$BE$183,5,"dist",Summary!#REF!,$BA$177,$BC$177)</f>
        <v>#VALUE!</v>
      </c>
    </row>
    <row r="183" spans="11:59" x14ac:dyDescent="0.25">
      <c r="L183" t="e">
        <f>#REF!</f>
        <v>#REF!</v>
      </c>
      <c r="M183" t="e">
        <f>#REF!</f>
        <v>#REF!</v>
      </c>
      <c r="N183" t="e" cm="1">
        <f t="array" ref="N183">pareto($L$178:$L$183,$M$178:$M$183,6,"rate",Summary!#REF!,$M$177,$O$177)</f>
        <v>#VALUE!</v>
      </c>
      <c r="O183" t="e" cm="1">
        <f t="array" ref="O183">pareto($L$178:$L$183,$M$178:$M$183,6,"dist",Summary!#REF!,$M$177,$O$177)</f>
        <v>#VALUE!</v>
      </c>
      <c r="P183" t="e">
        <f>#REF!</f>
        <v>#REF!</v>
      </c>
      <c r="Q183" t="e">
        <f>#REF!</f>
        <v>#REF!</v>
      </c>
      <c r="R183" t="e" cm="1">
        <f t="array" ref="R183">pareto($P$178:$P$183,$Q$178:$Q$183,6,"rate",Summary!#REF!,$M$177,$O$177)</f>
        <v>#VALUE!</v>
      </c>
      <c r="S183" t="e" cm="1">
        <f t="array" ref="S183">pareto($P$178:$P$183,$Q$178:$Q$183,6,"dist",Summary!#REF!,$M$177,$O$177)</f>
        <v>#VALUE!</v>
      </c>
      <c r="V183" t="e">
        <f>#REF!</f>
        <v>#REF!</v>
      </c>
      <c r="W183" t="e">
        <f>#REF!</f>
        <v>#REF!</v>
      </c>
      <c r="X183" t="e" cm="1">
        <f t="array" ref="X183">pareto($V$178:$V$183,$W$178:$W$183,6,"rate",Summary!#REF!,$W$177,$Y$177)</f>
        <v>#VALUE!</v>
      </c>
      <c r="Y183" t="e" cm="1">
        <f t="array" ref="Y183">pareto($V$178:$V$183,$W$178:$W$183,6,"dist",Summary!#REF!,$W$177,$Y$177)</f>
        <v>#VALUE!</v>
      </c>
      <c r="Z183" t="e">
        <f>#REF!</f>
        <v>#REF!</v>
      </c>
      <c r="AA183" t="e">
        <f>#REF!</f>
        <v>#REF!</v>
      </c>
      <c r="AB183" t="e" cm="1">
        <f t="array" ref="AB183">pareto($Z$178:$Z$183,$AA$178:$AA$183,6,"rate",Summary!#REF!,$W$177,$Y$177)</f>
        <v>#VALUE!</v>
      </c>
      <c r="AC183" t="e" cm="1">
        <f t="array" ref="AC183">pareto($Z$178:$Z$183,$AA$178:$AA$183,6,"dist",Summary!#REF!,$W$177,$Y$177)</f>
        <v>#VALUE!</v>
      </c>
      <c r="AF183" t="e">
        <f>#REF!</f>
        <v>#REF!</v>
      </c>
      <c r="AG183" t="e">
        <f>#REF!</f>
        <v>#REF!</v>
      </c>
      <c r="AH183" t="e" cm="1">
        <f t="array" ref="AH183">pareto($AF$178:$AF$183,$AG$178:$AG$183,6,"rate",Summary!#REF!,$AG$177,$AI$177)</f>
        <v>#VALUE!</v>
      </c>
      <c r="AI183" t="e" cm="1">
        <f t="array" ref="AI183">pareto($AF$178:$AF$183,$AG$178:$AG$183,6,"dist",Summary!#REF!,$AG$177,$AI$177)</f>
        <v>#VALUE!</v>
      </c>
      <c r="AJ183" t="e">
        <f>#REF!</f>
        <v>#REF!</v>
      </c>
      <c r="AK183" t="e">
        <f>#REF!</f>
        <v>#REF!</v>
      </c>
      <c r="AL183" t="e" cm="1">
        <f t="array" ref="AL183">pareto($AJ$178:$AJ$183,$AK$178:$AK$183,6,"rate",Summary!#REF!,$AG$177,$AI$177)</f>
        <v>#VALUE!</v>
      </c>
      <c r="AM183" t="e" cm="1">
        <f t="array" ref="AM183">pareto($AJ$178:$AJ$183,$AK$178:$AK$183,6,"dist",Summary!#REF!,$AG$177,$AI$177)</f>
        <v>#VALUE!</v>
      </c>
      <c r="AP183" t="e">
        <f>#REF!</f>
        <v>#REF!</v>
      </c>
      <c r="AQ183" t="e">
        <f>#REF!</f>
        <v>#REF!</v>
      </c>
      <c r="AR183" t="e" cm="1">
        <f t="array" ref="AR183">pareto($AP$178:$AP$183,$AQ$178:$AQ$183,6,"rate",Summary!#REF!,$AQ$177,$AI$177)</f>
        <v>#VALUE!</v>
      </c>
      <c r="AS183" t="e" cm="1">
        <f t="array" ref="AS183">pareto($AP$178:$AP$183,$AQ$178:$AQ$183,6,"dist",Summary!#REF!,$AQ$177,$AI$177)</f>
        <v>#VALUE!</v>
      </c>
      <c r="AT183" t="e">
        <f>#REF!</f>
        <v>#REF!</v>
      </c>
      <c r="AU183" t="e">
        <f>#REF!</f>
        <v>#REF!</v>
      </c>
      <c r="AV183" t="e" cm="1">
        <f t="array" ref="AV183">pareto($AT$178:$AT$183,$AU$178:$AU$183,6,"rate",Summary!#REF!,$AQ$177,$AI$177)</f>
        <v>#VALUE!</v>
      </c>
      <c r="AW183" t="e" cm="1">
        <f t="array" ref="AW183">pareto($AT$178:$AT$183,$AU$178:$AU$183,6,"dist",Summary!#REF!,$AQ$177,$AI$177)</f>
        <v>#VALUE!</v>
      </c>
      <c r="AZ183" s="36" t="e">
        <f>#REF!</f>
        <v>#REF!</v>
      </c>
      <c r="BA183" s="36" t="e">
        <f>#REF!</f>
        <v>#REF!</v>
      </c>
      <c r="BB183" t="e" cm="1">
        <f t="array" ref="BB183">pareto($AZ$178:$AZ$183,$BA$178:$BA$183,6,"rate",Summary!#REF!,$BA$177,$BC$177)</f>
        <v>#VALUE!</v>
      </c>
      <c r="BC183" t="e" cm="1">
        <f t="array" ref="BC183">pareto($AZ$178:$AZ$183,$BA$178:$BA$183,6,"dist",Summary!#REF!,$BA$177,$BC$177)</f>
        <v>#VALUE!</v>
      </c>
      <c r="BD183" s="36" t="e">
        <f>#REF!</f>
        <v>#REF!</v>
      </c>
      <c r="BE183" s="36" t="e">
        <f>#REF!</f>
        <v>#REF!</v>
      </c>
      <c r="BF183" t="e" cm="1">
        <f t="array" ref="BF183">pareto($BD$178:$BD$183,$BE$178:$BE$183,6,"rate",Summary!#REF!,$BA$177,$BC$177)</f>
        <v>#VALUE!</v>
      </c>
      <c r="BG183" t="e" cm="1">
        <f t="array" ref="BG183">pareto($BD$178:$BD$183,$BE$178:$BE$183,6,"dist",Summary!#REF!,$BA$177,$BC$177)</f>
        <v>#VALUE!</v>
      </c>
    </row>
    <row r="184" spans="11:59" x14ac:dyDescent="0.25">
      <c r="BD184" s="36"/>
      <c r="BE184" s="36"/>
    </row>
    <row r="185" spans="11:59" x14ac:dyDescent="0.25">
      <c r="BD185" s="36"/>
      <c r="BE185" s="36"/>
    </row>
    <row r="186" spans="11:59" x14ac:dyDescent="0.25">
      <c r="BD186" s="36"/>
      <c r="BE186" s="36"/>
    </row>
    <row r="187" spans="11:59" x14ac:dyDescent="0.25">
      <c r="BD187" s="36"/>
      <c r="BE187" s="36"/>
    </row>
    <row r="188" spans="11:59" x14ac:dyDescent="0.25">
      <c r="BD188" s="36"/>
      <c r="BE188" s="36"/>
    </row>
    <row r="189" spans="11:59" x14ac:dyDescent="0.25">
      <c r="BD189" s="36"/>
      <c r="BE189" s="36"/>
    </row>
    <row r="190" spans="11:59" x14ac:dyDescent="0.25">
      <c r="BD190" s="36"/>
      <c r="BE190" s="36"/>
    </row>
    <row r="191" spans="11:59" x14ac:dyDescent="0.25">
      <c r="BD191" s="36"/>
      <c r="BE191" s="36"/>
    </row>
    <row r="192" spans="11:59" x14ac:dyDescent="0.25">
      <c r="BD192" s="36"/>
      <c r="BE192" s="36"/>
    </row>
    <row r="193" spans="11:59" x14ac:dyDescent="0.25">
      <c r="BD193" s="36"/>
      <c r="BE193" s="36"/>
    </row>
    <row r="194" spans="11:59" x14ac:dyDescent="0.25">
      <c r="BD194" s="36"/>
      <c r="BE194" s="36"/>
    </row>
    <row r="195" spans="11:59" x14ac:dyDescent="0.25">
      <c r="BD195" s="36"/>
      <c r="BE195" s="36"/>
    </row>
    <row r="196" spans="11:59" x14ac:dyDescent="0.25">
      <c r="BD196" s="36"/>
      <c r="BE196" s="36"/>
    </row>
    <row r="197" spans="11:59" x14ac:dyDescent="0.25">
      <c r="BD197" s="36"/>
      <c r="BE197" s="36"/>
    </row>
    <row r="198" spans="11:59" x14ac:dyDescent="0.25">
      <c r="BD198" s="36"/>
      <c r="BE198" s="36"/>
    </row>
    <row r="199" spans="11:59" x14ac:dyDescent="0.25">
      <c r="BD199" s="36"/>
      <c r="BE199" s="36"/>
    </row>
    <row r="200" spans="11:59" x14ac:dyDescent="0.25">
      <c r="BD200" s="36"/>
      <c r="BE200" s="36"/>
    </row>
    <row r="201" spans="11:59" x14ac:dyDescent="0.25">
      <c r="BD201" s="36"/>
      <c r="BE201" s="36"/>
    </row>
    <row r="202" spans="11:59" x14ac:dyDescent="0.25">
      <c r="K202" t="s">
        <v>63</v>
      </c>
      <c r="L202" t="s">
        <v>40</v>
      </c>
      <c r="M202">
        <v>43.472600999999997</v>
      </c>
      <c r="N202" t="s">
        <v>44</v>
      </c>
      <c r="O202">
        <v>20</v>
      </c>
      <c r="U202" t="s">
        <v>69</v>
      </c>
      <c r="V202" t="s">
        <v>40</v>
      </c>
      <c r="W202">
        <v>51.641207000000001</v>
      </c>
      <c r="X202" t="s">
        <v>44</v>
      </c>
      <c r="Y202">
        <v>20</v>
      </c>
      <c r="AE202" t="s">
        <v>88</v>
      </c>
      <c r="AF202" t="s">
        <v>40</v>
      </c>
      <c r="AG202">
        <v>49.804110999999999</v>
      </c>
      <c r="AH202" t="s">
        <v>44</v>
      </c>
      <c r="AI202">
        <v>20</v>
      </c>
      <c r="AY202" t="s">
        <v>78</v>
      </c>
      <c r="AZ202" t="s">
        <v>40</v>
      </c>
      <c r="BA202" s="71">
        <v>29.43262</v>
      </c>
      <c r="BB202" t="s">
        <v>44</v>
      </c>
      <c r="BC202">
        <v>20</v>
      </c>
    </row>
    <row r="203" spans="11:59" x14ac:dyDescent="0.25">
      <c r="L203" t="e">
        <f>#REF!</f>
        <v>#REF!</v>
      </c>
      <c r="M203" t="e">
        <f>#REF!</f>
        <v>#REF!</v>
      </c>
      <c r="N203" t="e" cm="1">
        <f t="array" ref="N203">pareto($L$203:$L$208,$M$203:$M$208,1,"rate",Summary!#REF!,$M$202,$O$202)</f>
        <v>#VALUE!</v>
      </c>
      <c r="O203" t="e" cm="1">
        <f t="array" ref="O203">pareto($L$203:$L$208,$M$203:$M$208,1,"dist",Summary!#REF!,$M$202,$O$202)</f>
        <v>#VALUE!</v>
      </c>
      <c r="P203" t="e">
        <f>#REF!</f>
        <v>#REF!</v>
      </c>
      <c r="Q203" t="e">
        <f>#REF!</f>
        <v>#REF!</v>
      </c>
      <c r="R203" t="e" cm="1">
        <f t="array" ref="R203">pareto($P$203:$P$208,$Q$203:$Q$208,1,"rate",Summary!#REF!,$M$202,$O$202)</f>
        <v>#VALUE!</v>
      </c>
      <c r="S203" t="e" cm="1">
        <f t="array" ref="S203">pareto($P$203:$P$208,$Q$203:$Q$208,1,"dist",Summary!#REF!,$M$202,$O$202)</f>
        <v>#VALUE!</v>
      </c>
      <c r="V203" t="e">
        <f>#REF!</f>
        <v>#REF!</v>
      </c>
      <c r="W203" t="e">
        <f>#REF!</f>
        <v>#REF!</v>
      </c>
      <c r="X203" t="e" cm="1">
        <f t="array" ref="X203">pareto($V$203:$V$208,$W$203:$W$208,1,"rate",Summary!#REF!,$W$202,$Y$202)</f>
        <v>#VALUE!</v>
      </c>
      <c r="Y203" t="e" cm="1">
        <f t="array" ref="Y203">pareto($V$203:$V$208,$W$203:$W$208,1,"dist",Summary!#REF!,$W$202,$Y$202)</f>
        <v>#VALUE!</v>
      </c>
      <c r="Z203" t="e">
        <f>#REF!</f>
        <v>#REF!</v>
      </c>
      <c r="AA203" t="e">
        <f>#REF!</f>
        <v>#REF!</v>
      </c>
      <c r="AB203" t="e" cm="1">
        <f t="array" ref="AB203">pareto($Z$203:$Z$208,$AA$203:$AA$208,1,"rate",Summary!#REF!,$W$202,$Y$202)</f>
        <v>#VALUE!</v>
      </c>
      <c r="AC203" t="e" cm="1">
        <f t="array" ref="AC203">pareto($Z$203:$Z$208,$AA$203:$AA$208,1,"dist",Summary!#REF!,$W$202,$Y$202)</f>
        <v>#VALUE!</v>
      </c>
      <c r="AF203" t="e">
        <f>#REF!</f>
        <v>#REF!</v>
      </c>
      <c r="AG203" t="e">
        <f>#REF!</f>
        <v>#REF!</v>
      </c>
      <c r="AH203" t="e" cm="1">
        <f t="array" ref="AH203">pareto($AF$203:$AF$208,$AG$203:$AG$208,1,"rate",Summary!#REF!,$AG$202,$AI$202)</f>
        <v>#VALUE!</v>
      </c>
      <c r="AI203" t="e" cm="1">
        <f t="array" ref="AI203">pareto($AF$203:$AF$208,$AG$203:$AG$208,1,"dist",Summary!#REF!,$AG$202,$AI$202)</f>
        <v>#VALUE!</v>
      </c>
      <c r="AJ203" t="e">
        <f>#REF!</f>
        <v>#REF!</v>
      </c>
      <c r="AK203" t="e">
        <f>#REF!</f>
        <v>#REF!</v>
      </c>
      <c r="AL203" t="e" cm="1">
        <f t="array" ref="AL203">pareto($AJ$203:$AJ$208,$AK$203:$AK$208,1,"rate",Summary!#REF!,$AG$202,$AI$202)</f>
        <v>#VALUE!</v>
      </c>
      <c r="AM203" t="e" cm="1">
        <f t="array" ref="AM203">pareto($AJ$203:$AJ$208,$AK$203:$AK$208,1,"dist",Summary!#REF!,$AG$202,$AI$202)</f>
        <v>#VALUE!</v>
      </c>
      <c r="AZ203" s="36" t="e">
        <f>#REF!</f>
        <v>#REF!</v>
      </c>
      <c r="BA203" s="36" t="e">
        <f>#REF!</f>
        <v>#REF!</v>
      </c>
      <c r="BB203" t="e" cm="1">
        <f t="array" ref="BB203">pareto($AZ$203:$AZ$208,$BA$203:$BA$208,1,"rate",Summary!#REF!,$BA$202,$BC$202)</f>
        <v>#VALUE!</v>
      </c>
      <c r="BC203" t="e" cm="1">
        <f t="array" ref="BC203">pareto($AZ$203:$AZ$208,$BA$203:$BA$208,1,"dist",Summary!#REF!,$BA$202,$BC$202)</f>
        <v>#VALUE!</v>
      </c>
      <c r="BD203" s="36" t="e">
        <f>#REF!</f>
        <v>#REF!</v>
      </c>
      <c r="BE203" s="36" t="e">
        <f>#REF!</f>
        <v>#REF!</v>
      </c>
      <c r="BF203" t="e" cm="1">
        <f t="array" ref="BF203">pareto($BD$203:$BD$208,$BE$203:$BE$208,1,"rate",Summary!#REF!,$BA$202,$BC$202)</f>
        <v>#VALUE!</v>
      </c>
      <c r="BG203" t="e" cm="1">
        <f t="array" ref="BG203">pareto($BD$203:$BD$208,$BE$203:$BE$208,1,"dist",Summary!#REF!,$BA$202,$BC$202)</f>
        <v>#VALUE!</v>
      </c>
    </row>
    <row r="204" spans="11:59" x14ac:dyDescent="0.25">
      <c r="L204" t="e">
        <f>#REF!</f>
        <v>#REF!</v>
      </c>
      <c r="M204" t="e">
        <f>#REF!</f>
        <v>#REF!</v>
      </c>
      <c r="N204" t="e" cm="1">
        <f t="array" ref="N204">pareto($L$203:$L$208,$M$203:$M$208,2,"rate",Summary!#REF!,$M$202,$O$202)</f>
        <v>#VALUE!</v>
      </c>
      <c r="O204" t="e" cm="1">
        <f t="array" ref="O204">pareto($L$203:$L$208,$M$203:$M$208,2,"dist",Summary!#REF!,$M$202,$O$202)</f>
        <v>#VALUE!</v>
      </c>
      <c r="P204" t="e">
        <f>#REF!</f>
        <v>#REF!</v>
      </c>
      <c r="Q204" t="e">
        <f>#REF!</f>
        <v>#REF!</v>
      </c>
      <c r="R204" t="e" cm="1">
        <f t="array" ref="R204">pareto($P$203:$P$208,$Q$203:$Q$208,2,"rate",Summary!#REF!,$M$202,$O$202)</f>
        <v>#VALUE!</v>
      </c>
      <c r="S204" t="e" cm="1">
        <f t="array" ref="S204">pareto($P$203:$P$208,$Q$203:$Q$208,2,"dist",Summary!#REF!,$M$202,$O$202)</f>
        <v>#VALUE!</v>
      </c>
      <c r="V204" t="e">
        <f>#REF!</f>
        <v>#REF!</v>
      </c>
      <c r="W204" t="e">
        <f>#REF!</f>
        <v>#REF!</v>
      </c>
      <c r="X204" t="e" cm="1">
        <f t="array" ref="X204">pareto($V$203:$V$208,$W$203:$W$208,2,"rate",Summary!#REF!,$W$202,$Y$202)</f>
        <v>#VALUE!</v>
      </c>
      <c r="Y204" t="e" cm="1">
        <f t="array" ref="Y204">pareto($V$203:$V$208,$W$203:$W$208,2,"dist",Summary!#REF!,$W$202,$Y$202)</f>
        <v>#VALUE!</v>
      </c>
      <c r="Z204" t="e">
        <f>#REF!</f>
        <v>#REF!</v>
      </c>
      <c r="AA204" t="e">
        <f>#REF!</f>
        <v>#REF!</v>
      </c>
      <c r="AB204" t="e" cm="1">
        <f t="array" ref="AB204">pareto($Z$203:$Z$208,$AA$203:$AA$208,2,"rate",Summary!#REF!,$W$202,$Y$202)</f>
        <v>#VALUE!</v>
      </c>
      <c r="AC204" t="e" cm="1">
        <f t="array" ref="AC204">pareto($Z$203:$Z$208,$AA$203:$AA$208,2,"dist",Summary!#REF!,$W$202,$Y$202)</f>
        <v>#VALUE!</v>
      </c>
      <c r="AF204" t="e">
        <f>#REF!</f>
        <v>#REF!</v>
      </c>
      <c r="AG204" t="e">
        <f>#REF!</f>
        <v>#REF!</v>
      </c>
      <c r="AH204" t="e" cm="1">
        <f t="array" ref="AH204">pareto($AF$203:$AF$208,$AG$203:$AG$208,2,"rate",Summary!#REF!,$AG$202,$AI$202)</f>
        <v>#VALUE!</v>
      </c>
      <c r="AI204" t="e" cm="1">
        <f t="array" ref="AI204">pareto($AF$203:$AF$208,$AG$203:$AG$208,2,"dist",Summary!#REF!,$AG$202,$AI$202)</f>
        <v>#VALUE!</v>
      </c>
      <c r="AJ204" t="e">
        <f>#REF!</f>
        <v>#REF!</v>
      </c>
      <c r="AK204" t="e">
        <f>#REF!</f>
        <v>#REF!</v>
      </c>
      <c r="AL204" t="e" cm="1">
        <f t="array" ref="AL204">pareto($AJ$203:$AJ$208,$AK$203:$AK$208,2,"rate",Summary!#REF!,$AG$202,$AI$202)</f>
        <v>#VALUE!</v>
      </c>
      <c r="AM204" t="e" cm="1">
        <f t="array" ref="AM204">pareto($AJ$203:$AJ$208,$AK$203:$AK$208,2,"dist",Summary!#REF!,$AG$202,$AI$202)</f>
        <v>#VALUE!</v>
      </c>
      <c r="AZ204" s="36" t="e">
        <f>#REF!</f>
        <v>#REF!</v>
      </c>
      <c r="BA204" s="36" t="e">
        <f>#REF!</f>
        <v>#REF!</v>
      </c>
      <c r="BB204" t="e" cm="1">
        <f t="array" ref="BB204">pareto($AZ$203:$AZ$208,$BA$203:$BA$208,2,"rate",Summary!#REF!,$BA$202,$BC$202)</f>
        <v>#VALUE!</v>
      </c>
      <c r="BC204" t="e" cm="1">
        <f t="array" ref="BC204">pareto($AZ$203:$AZ$208,$BA$203:$BA$208,2,"dist",Summary!#REF!,$BA$202,$BC$202)</f>
        <v>#VALUE!</v>
      </c>
      <c r="BD204" s="36" t="e">
        <f>#REF!</f>
        <v>#REF!</v>
      </c>
      <c r="BE204" s="36" t="e">
        <f>#REF!</f>
        <v>#REF!</v>
      </c>
      <c r="BF204" t="e" cm="1">
        <f t="array" ref="BF204">pareto($BD$203:$BD$208,$BE$203:$BE$208,2,"rate",Summary!#REF!,$BA$202,$BC$202)</f>
        <v>#VALUE!</v>
      </c>
      <c r="BG204" t="e" cm="1">
        <f t="array" ref="BG204">pareto($BD$203:$BD$208,$BE$203:$BE$208,2,"dist",Summary!#REF!,$BA$202,$BC$202)</f>
        <v>#VALUE!</v>
      </c>
    </row>
    <row r="205" spans="11:59" x14ac:dyDescent="0.25">
      <c r="L205" t="e">
        <f>#REF!</f>
        <v>#REF!</v>
      </c>
      <c r="M205" t="e">
        <f>#REF!</f>
        <v>#REF!</v>
      </c>
      <c r="N205" t="e" cm="1">
        <f t="array" ref="N205">pareto($L$203:$L$208,$M$203:$M$208,3,"rate",Summary!#REF!,$M$202,$O$202)</f>
        <v>#VALUE!</v>
      </c>
      <c r="O205" t="e" cm="1">
        <f t="array" ref="O205">pareto($L$203:$L$208,$M$203:$M$208,3,"dist",Summary!#REF!,$M$202,$O$202)</f>
        <v>#VALUE!</v>
      </c>
      <c r="P205" t="e">
        <f>#REF!</f>
        <v>#REF!</v>
      </c>
      <c r="Q205" t="e">
        <f>#REF!</f>
        <v>#REF!</v>
      </c>
      <c r="R205" t="e" cm="1">
        <f t="array" ref="R205">pareto($P$203:$P$208,$Q$203:$Q$208,3,"rate",Summary!#REF!,$M$202,$O$202)</f>
        <v>#VALUE!</v>
      </c>
      <c r="S205" t="e" cm="1">
        <f t="array" ref="S205">pareto($P$203:$P$208,$Q$203:$Q$208,3,"dist",Summary!#REF!,$M$202,$O$202)</f>
        <v>#VALUE!</v>
      </c>
      <c r="V205" t="e">
        <f>#REF!</f>
        <v>#REF!</v>
      </c>
      <c r="W205" t="e">
        <f>#REF!</f>
        <v>#REF!</v>
      </c>
      <c r="X205" t="e" cm="1">
        <f t="array" ref="X205">pareto($V$203:$V$208,$W$203:$W$208,3,"rate",Summary!#REF!,$W$202,$Y$202)</f>
        <v>#VALUE!</v>
      </c>
      <c r="Y205" t="e" cm="1">
        <f t="array" ref="Y205">pareto($V$203:$V$208,$W$203:$W$208,3,"dist",Summary!#REF!,$W$202,$Y$202)</f>
        <v>#VALUE!</v>
      </c>
      <c r="Z205" t="e">
        <f>#REF!</f>
        <v>#REF!</v>
      </c>
      <c r="AA205" t="e">
        <f>#REF!</f>
        <v>#REF!</v>
      </c>
      <c r="AB205" t="e" cm="1">
        <f t="array" ref="AB205">pareto($Z$203:$Z$208,$AA$203:$AA$208,3,"rate",Summary!#REF!,$W$202,$Y$202)</f>
        <v>#VALUE!</v>
      </c>
      <c r="AC205" t="e" cm="1">
        <f t="array" ref="AC205">pareto($Z$203:$Z$208,$AA$203:$AA$208,3,"dist",Summary!#REF!,$W$202,$Y$202)</f>
        <v>#VALUE!</v>
      </c>
      <c r="AF205" t="e">
        <f>#REF!</f>
        <v>#REF!</v>
      </c>
      <c r="AG205" t="e">
        <f>#REF!</f>
        <v>#REF!</v>
      </c>
      <c r="AH205" t="e" cm="1">
        <f t="array" ref="AH205">pareto($AF$203:$AF$208,$AG$203:$AG$208,3,"rate",Summary!#REF!,$AG$202,$AI$202)</f>
        <v>#VALUE!</v>
      </c>
      <c r="AI205" t="e" cm="1">
        <f t="array" ref="AI205">pareto($AF$203:$AF$208,$AG$203:$AG$208,3,"dist",Summary!#REF!,$AG$202,$AI$202)</f>
        <v>#VALUE!</v>
      </c>
      <c r="AJ205" t="e">
        <f>#REF!</f>
        <v>#REF!</v>
      </c>
      <c r="AK205" t="e">
        <f>#REF!</f>
        <v>#REF!</v>
      </c>
      <c r="AL205" t="e" cm="1">
        <f t="array" ref="AL205">pareto($AJ$203:$AJ$208,$AK$203:$AK$208,3,"rate",Summary!#REF!,$AG$202,$AI$202)</f>
        <v>#VALUE!</v>
      </c>
      <c r="AM205" t="e" cm="1">
        <f t="array" ref="AM205">pareto($AJ$203:$AJ$208,$AK$203:$AK$208,3,"dist",Summary!#REF!,$AG$202,$AI$202)</f>
        <v>#VALUE!</v>
      </c>
      <c r="AZ205" s="36" t="e">
        <f>#REF!</f>
        <v>#REF!</v>
      </c>
      <c r="BA205" s="36" t="e">
        <f>#REF!</f>
        <v>#REF!</v>
      </c>
      <c r="BB205" t="e" cm="1">
        <f t="array" ref="BB205">pareto($AZ$203:$AZ$208,$BA$203:$BA$208,3,"rate",Summary!#REF!,$BA$202,$BC$202)</f>
        <v>#VALUE!</v>
      </c>
      <c r="BC205" t="e" cm="1">
        <f t="array" ref="BC205">pareto($AZ$203:$AZ$208,$BA$203:$BA$208,3,"dist",Summary!#REF!,$BA$202,$BC$202)</f>
        <v>#VALUE!</v>
      </c>
      <c r="BD205" s="36" t="e">
        <f>#REF!</f>
        <v>#REF!</v>
      </c>
      <c r="BE205" s="36" t="e">
        <f>#REF!</f>
        <v>#REF!</v>
      </c>
      <c r="BF205" t="e" cm="1">
        <f t="array" ref="BF205">pareto($BD$203:$BD$208,$BE$203:$BE$208,3,"rate",Summary!#REF!,$BA$202,$BC$202)</f>
        <v>#VALUE!</v>
      </c>
      <c r="BG205" t="e" cm="1">
        <f t="array" ref="BG205">pareto($BD$203:$BD$208,$BE$203:$BE$208,3,"dist",Summary!#REF!,$BA$202,$BC$202)</f>
        <v>#VALUE!</v>
      </c>
    </row>
    <row r="206" spans="11:59" x14ac:dyDescent="0.25">
      <c r="L206" t="e">
        <f>#REF!</f>
        <v>#REF!</v>
      </c>
      <c r="M206" t="e">
        <f>#REF!</f>
        <v>#REF!</v>
      </c>
      <c r="N206" t="e" cm="1">
        <f t="array" ref="N206">pareto($L$203:$L$208,$M$203:$M$208,4,"rate",Summary!#REF!,$M$202,$O$202)</f>
        <v>#VALUE!</v>
      </c>
      <c r="O206" t="e" cm="1">
        <f t="array" ref="O206">pareto($L$203:$L$208,$M$203:$M$208,4,"dist",Summary!#REF!,$M$202,$O$202)</f>
        <v>#VALUE!</v>
      </c>
      <c r="P206" t="e">
        <f>#REF!</f>
        <v>#REF!</v>
      </c>
      <c r="Q206" t="e">
        <f>#REF!</f>
        <v>#REF!</v>
      </c>
      <c r="R206" t="e" cm="1">
        <f t="array" ref="R206">pareto($P$203:$P$208,$Q$203:$Q$208,4,"rate",Summary!#REF!,$M$202,$O$202)</f>
        <v>#VALUE!</v>
      </c>
      <c r="S206" t="e" cm="1">
        <f t="array" ref="S206">pareto($P$203:$P$208,$Q$203:$Q$208,4,"dist",Summary!#REF!,$M$202,$O$202)</f>
        <v>#VALUE!</v>
      </c>
      <c r="V206" t="e">
        <f>#REF!</f>
        <v>#REF!</v>
      </c>
      <c r="W206" t="e">
        <f>#REF!</f>
        <v>#REF!</v>
      </c>
      <c r="X206" t="e" cm="1">
        <f t="array" ref="X206">pareto($V$203:$V$208,$W$203:$W$208,4,"rate",Summary!#REF!,$W$202,$Y$202)</f>
        <v>#VALUE!</v>
      </c>
      <c r="Y206" t="e" cm="1">
        <f t="array" ref="Y206">pareto($V$203:$V$208,$W$203:$W$208,4,"dist",Summary!#REF!,$W$202,$Y$202)</f>
        <v>#VALUE!</v>
      </c>
      <c r="Z206" t="e">
        <f>#REF!</f>
        <v>#REF!</v>
      </c>
      <c r="AA206" t="e">
        <f>#REF!</f>
        <v>#REF!</v>
      </c>
      <c r="AB206" t="e" cm="1">
        <f t="array" ref="AB206">pareto($Z$203:$Z$208,$AA$203:$AA$208,4,"rate",Summary!#REF!,$W$202,$Y$202)</f>
        <v>#VALUE!</v>
      </c>
      <c r="AC206" t="e" cm="1">
        <f t="array" ref="AC206">pareto($Z$203:$Z$208,$AA$203:$AA$208,4,"dist",Summary!#REF!,$W$202,$Y$202)</f>
        <v>#VALUE!</v>
      </c>
      <c r="AF206" t="e">
        <f>#REF!</f>
        <v>#REF!</v>
      </c>
      <c r="AG206" t="e">
        <f>#REF!</f>
        <v>#REF!</v>
      </c>
      <c r="AH206" t="e" cm="1">
        <f t="array" ref="AH206">pareto($AF$203:$AF$208,$AG$203:$AG$208,4,"rate",Summary!#REF!,$AG$202,$AI$202)</f>
        <v>#VALUE!</v>
      </c>
      <c r="AI206" t="e" cm="1">
        <f t="array" ref="AI206">pareto($AF$203:$AF$208,$AG$203:$AG$208,4,"dist",Summary!#REF!,$AG$202,$AI$202)</f>
        <v>#VALUE!</v>
      </c>
      <c r="AJ206" t="e">
        <f>#REF!</f>
        <v>#REF!</v>
      </c>
      <c r="AK206" t="e">
        <f>#REF!</f>
        <v>#REF!</v>
      </c>
      <c r="AL206" t="e" cm="1">
        <f t="array" ref="AL206">pareto($AJ$203:$AJ$208,$AK$203:$AK$208,4,"rate",Summary!#REF!,$AG$202,$AI$202)</f>
        <v>#VALUE!</v>
      </c>
      <c r="AM206" t="e" cm="1">
        <f t="array" ref="AM206">pareto($AJ$203:$AJ$208,$AK$203:$AK$208,4,"dist",Summary!#REF!,$AG$202,$AI$202)</f>
        <v>#VALUE!</v>
      </c>
      <c r="AZ206" s="36" t="e">
        <f>#REF!</f>
        <v>#REF!</v>
      </c>
      <c r="BA206" s="36" t="e">
        <f>#REF!</f>
        <v>#REF!</v>
      </c>
      <c r="BB206" t="e" cm="1">
        <f t="array" ref="BB206">pareto($AZ$203:$AZ$208,$BA$203:$BA$208,4,"rate",Summary!#REF!,$BA$202,$BC$202)</f>
        <v>#VALUE!</v>
      </c>
      <c r="BC206" t="e" cm="1">
        <f t="array" ref="BC206">pareto($AZ$203:$AZ$208,$BA$203:$BA$208,4,"dist",Summary!#REF!,$BA$202,$BC$202)</f>
        <v>#VALUE!</v>
      </c>
      <c r="BD206" s="36" t="e">
        <f>#REF!</f>
        <v>#REF!</v>
      </c>
      <c r="BE206" s="36" t="e">
        <f>#REF!</f>
        <v>#REF!</v>
      </c>
      <c r="BF206" t="e" cm="1">
        <f t="array" ref="BF206">pareto($BD$203:$BD$208,$BE$203:$BE$208,4,"rate",Summary!#REF!,$BA$202,$BC$202)</f>
        <v>#VALUE!</v>
      </c>
      <c r="BG206" t="e" cm="1">
        <f t="array" ref="BG206">pareto($BD$203:$BD$208,$BE$203:$BE$208,4,"dist",Summary!#REF!,$BA$202,$BC$202)</f>
        <v>#VALUE!</v>
      </c>
    </row>
    <row r="207" spans="11:59" x14ac:dyDescent="0.25">
      <c r="L207" t="e">
        <f>#REF!</f>
        <v>#REF!</v>
      </c>
      <c r="M207" t="e">
        <f>#REF!</f>
        <v>#REF!</v>
      </c>
      <c r="N207" t="e" cm="1">
        <f t="array" ref="N207">pareto($L$203:$L$208,$M$203:$M$208,5,"rate",Summary!#REF!,$M$202,$O$202)</f>
        <v>#VALUE!</v>
      </c>
      <c r="O207" t="e" cm="1">
        <f t="array" ref="O207">pareto($L$203:$L$208,$M$203:$M$208,5,"dist",Summary!#REF!,$M$202,$O$202)</f>
        <v>#VALUE!</v>
      </c>
      <c r="P207" t="e">
        <f>#REF!</f>
        <v>#REF!</v>
      </c>
      <c r="Q207" t="e">
        <f>#REF!</f>
        <v>#REF!</v>
      </c>
      <c r="R207" t="e" cm="1">
        <f t="array" ref="R207">pareto($P$203:$P$208,$Q$203:$Q$208,5,"rate",Summary!#REF!,$M$202,$O$202)</f>
        <v>#VALUE!</v>
      </c>
      <c r="S207" t="e" cm="1">
        <f t="array" ref="S207">pareto($P$203:$P$208,$Q$203:$Q$208,5,"dist",Summary!#REF!,$M$202,$O$202)</f>
        <v>#VALUE!</v>
      </c>
      <c r="V207" t="e">
        <f>#REF!</f>
        <v>#REF!</v>
      </c>
      <c r="W207" t="e">
        <f>#REF!</f>
        <v>#REF!</v>
      </c>
      <c r="X207" t="e" cm="1">
        <f t="array" ref="X207">pareto($V$203:$V$208,$W$203:$W$208,5,"rate",Summary!#REF!,$W$202,$Y$202)</f>
        <v>#VALUE!</v>
      </c>
      <c r="Y207" t="e" cm="1">
        <f t="array" ref="Y207">pareto($V$203:$V$208,$W$203:$W$208,5,"dist",Summary!#REF!,$W$202,$Y$202)</f>
        <v>#VALUE!</v>
      </c>
      <c r="Z207" t="e">
        <f>#REF!</f>
        <v>#REF!</v>
      </c>
      <c r="AA207" t="e">
        <f>#REF!</f>
        <v>#REF!</v>
      </c>
      <c r="AB207" t="e" cm="1">
        <f t="array" ref="AB207">pareto($Z$203:$Z$208,$AA$203:$AA$208,5,"rate",Summary!#REF!,$W$202,$Y$202)</f>
        <v>#VALUE!</v>
      </c>
      <c r="AC207" t="e" cm="1">
        <f t="array" ref="AC207">pareto($Z$203:$Z$208,$AA$203:$AA$208,5,"dist",Summary!#REF!,$W$202,$Y$202)</f>
        <v>#VALUE!</v>
      </c>
      <c r="AF207" t="e">
        <f>#REF!</f>
        <v>#REF!</v>
      </c>
      <c r="AG207" t="e">
        <f>#REF!</f>
        <v>#REF!</v>
      </c>
      <c r="AH207" t="e" cm="1">
        <f t="array" ref="AH207">pareto($AF$203:$AF$208,$AG$203:$AG$208,5,"rate",Summary!#REF!,$AG$202,$AI$202)</f>
        <v>#VALUE!</v>
      </c>
      <c r="AI207" t="e" cm="1">
        <f t="array" ref="AI207">pareto($AF$203:$AF$208,$AG$203:$AG$208,5,"dist",Summary!#REF!,$AG$202,$AI$202)</f>
        <v>#VALUE!</v>
      </c>
      <c r="AJ207" t="e">
        <f>#REF!</f>
        <v>#REF!</v>
      </c>
      <c r="AK207" t="e">
        <f>#REF!</f>
        <v>#REF!</v>
      </c>
      <c r="AL207" t="e" cm="1">
        <f t="array" ref="AL207">pareto($AJ$203:$AJ$208,$AK$203:$AK$208,5,"rate",Summary!#REF!,$AG$202,$AI$202)</f>
        <v>#VALUE!</v>
      </c>
      <c r="AM207" t="e" cm="1">
        <f t="array" ref="AM207">pareto($AJ$203:$AJ$208,$AK$203:$AK$208,5,"dist",Summary!#REF!,$AG$202,$AI$202)</f>
        <v>#VALUE!</v>
      </c>
      <c r="AZ207" s="36" t="e">
        <f>#REF!</f>
        <v>#REF!</v>
      </c>
      <c r="BA207" s="36" t="e">
        <f>#REF!</f>
        <v>#REF!</v>
      </c>
      <c r="BB207" t="e" cm="1">
        <f t="array" ref="BB207">pareto($AZ$203:$AZ$208,$BA$203:$BA$208,5,"rate",Summary!#REF!,$BA$202,$BC$202)</f>
        <v>#VALUE!</v>
      </c>
      <c r="BC207" t="e" cm="1">
        <f t="array" ref="BC207">pareto($AZ$203:$AZ$208,$BA$203:$BA$208,5,"dist",Summary!#REF!,$BA$202,$BC$202)</f>
        <v>#VALUE!</v>
      </c>
      <c r="BD207" s="36" t="e">
        <f>#REF!</f>
        <v>#REF!</v>
      </c>
      <c r="BE207" s="36" t="e">
        <f>#REF!</f>
        <v>#REF!</v>
      </c>
      <c r="BF207" t="e" cm="1">
        <f t="array" ref="BF207">pareto($BD$203:$BD$208,$BE$203:$BE$208,5,"rate",Summary!#REF!,$BA$202,$BC$202)</f>
        <v>#VALUE!</v>
      </c>
      <c r="BG207" t="e" cm="1">
        <f t="array" ref="BG207">pareto($BD$203:$BD$208,$BE$203:$BE$208,5,"dist",Summary!#REF!,$BA$202,$BC$202)</f>
        <v>#VALUE!</v>
      </c>
    </row>
    <row r="208" spans="11:59" x14ac:dyDescent="0.25">
      <c r="L208" t="e">
        <f>#REF!</f>
        <v>#REF!</v>
      </c>
      <c r="M208" t="e">
        <f>#REF!</f>
        <v>#REF!</v>
      </c>
      <c r="N208" t="e" cm="1">
        <f t="array" ref="N208">pareto($L$203:$L$208,$M$203:$M$208,6,"rate",Summary!#REF!,$M$202,$O$202)</f>
        <v>#VALUE!</v>
      </c>
      <c r="O208" t="e" cm="1">
        <f t="array" ref="O208">pareto($L$203:$L$208,$M$203:$M$208,6,"dist",Summary!#REF!,$M$202,$O$202)</f>
        <v>#VALUE!</v>
      </c>
      <c r="P208" t="e">
        <f>#REF!</f>
        <v>#REF!</v>
      </c>
      <c r="Q208" t="e">
        <f>#REF!</f>
        <v>#REF!</v>
      </c>
      <c r="R208" t="e" cm="1">
        <f t="array" ref="R208">pareto($P$203:$P$208,$Q$203:$Q$208,6,"rate",Summary!#REF!,$M$202,$O$202)</f>
        <v>#VALUE!</v>
      </c>
      <c r="S208" t="e" cm="1">
        <f t="array" ref="S208">pareto($P$203:$P$208,$Q$203:$Q$208,6,"dist",Summary!#REF!,$M$202,$O$202)</f>
        <v>#VALUE!</v>
      </c>
      <c r="V208" t="e">
        <f>#REF!</f>
        <v>#REF!</v>
      </c>
      <c r="W208" t="e">
        <f>#REF!</f>
        <v>#REF!</v>
      </c>
      <c r="X208" t="e" cm="1">
        <f t="array" ref="X208">pareto($V$203:$V$208,$W$203:$W$208,6,"rate",Summary!#REF!,$W$202,$Y$202)</f>
        <v>#VALUE!</v>
      </c>
      <c r="Y208" t="e" cm="1">
        <f t="array" ref="Y208">pareto($V$203:$V$208,$W$203:$W$208,6,"dist",Summary!#REF!,$W$202,$Y$202)</f>
        <v>#VALUE!</v>
      </c>
      <c r="Z208" t="e">
        <f>#REF!</f>
        <v>#REF!</v>
      </c>
      <c r="AA208" t="e">
        <f>#REF!</f>
        <v>#REF!</v>
      </c>
      <c r="AB208" t="e" cm="1">
        <f t="array" ref="AB208">pareto($Z$203:$Z$208,$AA$203:$AA$208,6,"rate",Summary!#REF!,$W$202,$Y$202)</f>
        <v>#VALUE!</v>
      </c>
      <c r="AC208" t="e" cm="1">
        <f t="array" ref="AC208">pareto($Z$203:$Z$208,$AA$203:$AA$208,6,"dist",Summary!#REF!,$W$202,$Y$202)</f>
        <v>#VALUE!</v>
      </c>
      <c r="AF208" t="e">
        <f>#REF!</f>
        <v>#REF!</v>
      </c>
      <c r="AG208" t="e">
        <f>#REF!</f>
        <v>#REF!</v>
      </c>
      <c r="AH208" t="e" cm="1">
        <f t="array" ref="AH208">pareto($AF$203:$AF$208,$AG$203:$AG$208,6,"rate",Summary!#REF!,$AG$202,$AI$202)</f>
        <v>#VALUE!</v>
      </c>
      <c r="AI208" t="e" cm="1">
        <f t="array" ref="AI208">pareto($AF$203:$AF$208,$AG$203:$AG$208,6,"dist",Summary!#REF!,$AG$202,$AI$202)</f>
        <v>#VALUE!</v>
      </c>
      <c r="AJ208" t="e">
        <f>#REF!</f>
        <v>#REF!</v>
      </c>
      <c r="AK208" t="e">
        <f>#REF!</f>
        <v>#REF!</v>
      </c>
      <c r="AL208" t="e" cm="1">
        <f t="array" ref="AL208">pareto($AJ$203:$AJ$208,$AK$203:$AK$208,6,"rate",Summary!#REF!,$AG$202,$AI$202)</f>
        <v>#VALUE!</v>
      </c>
      <c r="AM208" t="e" cm="1">
        <f t="array" ref="AM208">pareto($AJ$203:$AJ$208,$AK$203:$AK$208,6,"dist",Summary!#REF!,$AG$202,$AI$202)</f>
        <v>#VALUE!</v>
      </c>
      <c r="AZ208" s="36" t="e">
        <f>#REF!</f>
        <v>#REF!</v>
      </c>
      <c r="BA208" s="36" t="e">
        <f>#REF!</f>
        <v>#REF!</v>
      </c>
      <c r="BB208" t="e" cm="1">
        <f t="array" ref="BB208">pareto($AZ$203:$AZ$208,$BA$203:$BA$208,6,"rate",Summary!#REF!,$BA$202,$BC$202)</f>
        <v>#VALUE!</v>
      </c>
      <c r="BC208" t="e" cm="1">
        <f t="array" ref="BC208">pareto($AZ$203:$AZ$208,$BA$203:$BA$208,6,"dist",Summary!#REF!,$BA$202,$BC$202)</f>
        <v>#VALUE!</v>
      </c>
      <c r="BD208" s="36" t="e">
        <f>#REF!</f>
        <v>#REF!</v>
      </c>
      <c r="BE208" s="36" t="e">
        <f>#REF!</f>
        <v>#REF!</v>
      </c>
      <c r="BF208" t="e" cm="1">
        <f t="array" ref="BF208">pareto($BD$203:$BD$208,$BE$203:$BE$208,6,"rate",Summary!#REF!,$BA$202,$BC$202)</f>
        <v>#VALUE!</v>
      </c>
      <c r="BG208" t="e" cm="1">
        <f t="array" ref="BG208">pareto($BD$203:$BD$208,$BE$203:$BE$208,6,"dist",Summary!#REF!,$BA$202,$BC$202)</f>
        <v>#VALUE!</v>
      </c>
    </row>
    <row r="209" spans="56:57" x14ac:dyDescent="0.25">
      <c r="BD209" s="36"/>
      <c r="BE209" s="36"/>
    </row>
    <row r="210" spans="56:57" x14ac:dyDescent="0.25">
      <c r="BD210" s="36"/>
      <c r="BE210" s="36"/>
    </row>
    <row r="211" spans="56:57" x14ac:dyDescent="0.25">
      <c r="BD211" s="36"/>
      <c r="BE211" s="36"/>
    </row>
    <row r="212" spans="56:57" x14ac:dyDescent="0.25">
      <c r="BD212" s="36"/>
      <c r="BE212" s="36"/>
    </row>
    <row r="213" spans="56:57" x14ac:dyDescent="0.25">
      <c r="BD213" s="36"/>
      <c r="BE213" s="36"/>
    </row>
    <row r="214" spans="56:57" x14ac:dyDescent="0.25">
      <c r="BD214" s="36"/>
      <c r="BE214" s="36"/>
    </row>
    <row r="215" spans="56:57" x14ac:dyDescent="0.25">
      <c r="BD215" s="36"/>
      <c r="BE215" s="36"/>
    </row>
    <row r="216" spans="56:57" x14ac:dyDescent="0.25">
      <c r="BD216" s="36"/>
      <c r="BE216" s="36"/>
    </row>
    <row r="217" spans="56:57" x14ac:dyDescent="0.25">
      <c r="BD217" s="36"/>
      <c r="BE217" s="36"/>
    </row>
    <row r="218" spans="56:57" x14ac:dyDescent="0.25">
      <c r="BD218" s="36"/>
      <c r="BE218" s="36"/>
    </row>
    <row r="219" spans="56:57" x14ac:dyDescent="0.25">
      <c r="BD219" s="36"/>
      <c r="BE219" s="36"/>
    </row>
    <row r="220" spans="56:57" x14ac:dyDescent="0.25">
      <c r="BD220" s="36"/>
      <c r="BE220" s="36"/>
    </row>
    <row r="221" spans="56:57" x14ac:dyDescent="0.25">
      <c r="BD221" s="36"/>
      <c r="BE221" s="36"/>
    </row>
    <row r="222" spans="56:57" x14ac:dyDescent="0.25">
      <c r="BD222" s="36"/>
      <c r="BE222" s="36"/>
    </row>
    <row r="223" spans="56:57" x14ac:dyDescent="0.25">
      <c r="BD223" s="36"/>
      <c r="BE223" s="36"/>
    </row>
    <row r="224" spans="56:57" x14ac:dyDescent="0.25">
      <c r="BD224" s="36"/>
      <c r="BE224" s="36"/>
    </row>
    <row r="225" spans="11:57" x14ac:dyDescent="0.25">
      <c r="BD225" s="36"/>
      <c r="BE225" s="36"/>
    </row>
    <row r="226" spans="11:57" x14ac:dyDescent="0.25">
      <c r="BD226" s="36"/>
      <c r="BE226" s="36"/>
    </row>
    <row r="227" spans="11:57" x14ac:dyDescent="0.25">
      <c r="K227" t="s">
        <v>64</v>
      </c>
      <c r="L227" t="s">
        <v>40</v>
      </c>
      <c r="M227">
        <v>41.49</v>
      </c>
      <c r="N227" t="s">
        <v>44</v>
      </c>
      <c r="O227">
        <v>20</v>
      </c>
    </row>
    <row r="228" spans="11:57" x14ac:dyDescent="0.25">
      <c r="L228" t="e">
        <f>#REF!</f>
        <v>#REF!</v>
      </c>
      <c r="M228" t="e">
        <f>#REF!</f>
        <v>#REF!</v>
      </c>
      <c r="N228" t="e" cm="1">
        <f t="array" ref="N228">pareto($L$228:$L$233,$M$228:$M$233,1,"rate",Summary!#REF!,$M$227,$O$227)</f>
        <v>#VALUE!</v>
      </c>
      <c r="O228" t="e" cm="1">
        <f t="array" ref="O228">pareto($L$228:$L$233,$M$228:$M$233,1,"dist",Summary!#REF!,$M$227,$O$227)</f>
        <v>#VALUE!</v>
      </c>
      <c r="P228" t="e">
        <f>#REF!</f>
        <v>#REF!</v>
      </c>
      <c r="Q228" t="e">
        <f>#REF!</f>
        <v>#REF!</v>
      </c>
      <c r="R228" t="e" cm="1">
        <f t="array" ref="R228">pareto($P$228:$P$233,$Q$228:$Q$233,1,"rate",Summary!#REF!,$M$227,$O$227)</f>
        <v>#VALUE!</v>
      </c>
      <c r="S228" t="e" cm="1">
        <f t="array" ref="S228">pareto($P$228:$P$233,$Q$228:$Q$233,1,"dist",Summary!#REF!,$M$227,$O$227)</f>
        <v>#VALUE!</v>
      </c>
    </row>
    <row r="229" spans="11:57" x14ac:dyDescent="0.25">
      <c r="L229" t="e">
        <f>#REF!</f>
        <v>#REF!</v>
      </c>
      <c r="M229" t="e">
        <f>#REF!</f>
        <v>#REF!</v>
      </c>
      <c r="N229" t="e" cm="1">
        <f t="array" ref="N229">pareto($L$228:$L$233,$M$228:$M$233,2,"rate",Summary!#REF!,$M$227,$O$227)</f>
        <v>#VALUE!</v>
      </c>
      <c r="O229" t="e" cm="1">
        <f t="array" ref="O229">pareto($L$228:$L$233,$M$228:$M$233,2,"dist",Summary!#REF!,$M$227,$O$227)</f>
        <v>#VALUE!</v>
      </c>
      <c r="P229" t="e">
        <f>#REF!</f>
        <v>#REF!</v>
      </c>
      <c r="Q229" t="e">
        <f>#REF!</f>
        <v>#REF!</v>
      </c>
      <c r="R229" t="e" cm="1">
        <f t="array" ref="R229">pareto($P$228:$P$233,$Q$228:$Q$233,2,"rate",Summary!#REF!,$M$227,$O$227)</f>
        <v>#VALUE!</v>
      </c>
      <c r="S229" t="e" cm="1">
        <f t="array" ref="S229">pareto($P$228:$P$233,$Q$228:$Q$233,2,"dist",Summary!#REF!,$M$227,$O$227)</f>
        <v>#VALUE!</v>
      </c>
    </row>
    <row r="230" spans="11:57" x14ac:dyDescent="0.25">
      <c r="L230" t="e">
        <f>#REF!</f>
        <v>#REF!</v>
      </c>
      <c r="M230" t="e">
        <f>#REF!</f>
        <v>#REF!</v>
      </c>
      <c r="N230" t="e" cm="1">
        <f t="array" ref="N230">pareto($L$228:$L$233,$M$228:$M$233,3,"rate",Summary!#REF!,$M$227,$O$227)</f>
        <v>#VALUE!</v>
      </c>
      <c r="O230" t="e" cm="1">
        <f t="array" ref="O230">pareto($L$228:$L$233,$M$228:$M$233,3,"dist",Summary!#REF!,$M$227,$O$227)</f>
        <v>#VALUE!</v>
      </c>
      <c r="P230" t="e">
        <f>#REF!</f>
        <v>#REF!</v>
      </c>
      <c r="Q230" t="e">
        <f>#REF!</f>
        <v>#REF!</v>
      </c>
      <c r="R230" t="e" cm="1">
        <f t="array" ref="R230">pareto($P$228:$P$233,$Q$228:$Q$233,3,"rate",Summary!#REF!,$M$227,$O$227)</f>
        <v>#VALUE!</v>
      </c>
      <c r="S230" t="e" cm="1">
        <f t="array" ref="S230">pareto($P$228:$P$233,$Q$228:$Q$233,3,"dist",Summary!#REF!,$M$227,$O$227)</f>
        <v>#VALUE!</v>
      </c>
    </row>
    <row r="231" spans="11:57" x14ac:dyDescent="0.25">
      <c r="L231" t="e">
        <f>#REF!</f>
        <v>#REF!</v>
      </c>
      <c r="M231" t="e">
        <f>#REF!</f>
        <v>#REF!</v>
      </c>
      <c r="N231" t="e" cm="1">
        <f t="array" ref="N231">pareto($L$228:$L$233,$M$228:$M$233,4,"rate",Summary!#REF!,$M$227,$O$227)</f>
        <v>#VALUE!</v>
      </c>
      <c r="O231" t="e" cm="1">
        <f t="array" ref="O231">pareto($L$228:$L$233,$M$228:$M$233,4,"dist",Summary!#REF!,$M$227,$O$227)</f>
        <v>#VALUE!</v>
      </c>
      <c r="P231" t="e">
        <f>#REF!</f>
        <v>#REF!</v>
      </c>
      <c r="Q231" t="e">
        <f>#REF!</f>
        <v>#REF!</v>
      </c>
      <c r="R231" t="e" cm="1">
        <f t="array" ref="R231">pareto($P$228:$P$233,$Q$228:$Q$233,4,"rate",Summary!#REF!,$M$227,$O$227)</f>
        <v>#VALUE!</v>
      </c>
      <c r="S231" t="e" cm="1">
        <f t="array" ref="S231">pareto($P$228:$P$233,$Q$228:$Q$233,4,"dist",Summary!#REF!,$M$227,$O$227)</f>
        <v>#VALUE!</v>
      </c>
    </row>
    <row r="232" spans="11:57" x14ac:dyDescent="0.25">
      <c r="L232" t="e">
        <f>#REF!</f>
        <v>#REF!</v>
      </c>
      <c r="M232" t="e">
        <f>#REF!</f>
        <v>#REF!</v>
      </c>
      <c r="N232" t="e" cm="1">
        <f t="array" ref="N232">pareto($L$228:$L$233,$M$228:$M$233,5,"rate",Summary!#REF!,$M$227,$O$227)</f>
        <v>#VALUE!</v>
      </c>
      <c r="O232" t="e" cm="1">
        <f t="array" ref="O232">pareto($L$228:$L$233,$M$228:$M$233,5,"dist",Summary!#REF!,$M$227,$O$227)</f>
        <v>#VALUE!</v>
      </c>
      <c r="P232" t="e">
        <f>#REF!</f>
        <v>#REF!</v>
      </c>
      <c r="Q232" t="e">
        <f>#REF!</f>
        <v>#REF!</v>
      </c>
      <c r="R232" t="e" cm="1">
        <f t="array" ref="R232">pareto($P$228:$P$233,$Q$228:$Q$233,5,"rate",Summary!#REF!,$M$227,$O$227)</f>
        <v>#VALUE!</v>
      </c>
      <c r="S232" t="e" cm="1">
        <f t="array" ref="S232">pareto($P$228:$P$233,$Q$228:$Q$233,5,"dist",Summary!#REF!,$M$227,$O$227)</f>
        <v>#VALUE!</v>
      </c>
    </row>
    <row r="233" spans="11:57" x14ac:dyDescent="0.25">
      <c r="L233" t="e">
        <f>#REF!</f>
        <v>#REF!</v>
      </c>
      <c r="M233" t="e">
        <f>#REF!</f>
        <v>#REF!</v>
      </c>
      <c r="N233" t="e" cm="1">
        <f t="array" ref="N233">pareto($L$228:$L$233,$M$228:$M$233,6,"rate",Summary!#REF!,$M$227,$O$227)</f>
        <v>#VALUE!</v>
      </c>
      <c r="O233" t="e" cm="1">
        <f t="array" ref="O233">pareto($L$228:$L$233,$M$228:$M$233,6,"dist",Summary!#REF!,$M$227,$O$227)</f>
        <v>#VALUE!</v>
      </c>
      <c r="P233" t="e">
        <f>#REF!</f>
        <v>#REF!</v>
      </c>
      <c r="Q233" t="e">
        <f>#REF!</f>
        <v>#REF!</v>
      </c>
      <c r="R233" t="e" cm="1">
        <f t="array" ref="R233">pareto($P$228:$P$233,$Q$228:$Q$233,6,"rate",Summary!#REF!,$M$227,$O$227)</f>
        <v>#VALUE!</v>
      </c>
      <c r="S233" t="e" cm="1">
        <f t="array" ref="S233">pareto($P$228:$P$233,$Q$228:$Q$233,6,"dist",Summary!#REF!,$M$227,$O$227)</f>
        <v>#VALUE!</v>
      </c>
    </row>
    <row r="254" spans="1:59" x14ac:dyDescent="0.25">
      <c r="A254" t="s">
        <v>149</v>
      </c>
    </row>
    <row r="255" spans="1:59" x14ac:dyDescent="0.25">
      <c r="A255" t="s">
        <v>57</v>
      </c>
      <c r="B255" s="312" t="s">
        <v>26</v>
      </c>
      <c r="C255" s="312"/>
      <c r="D255" s="312" t="s">
        <v>27</v>
      </c>
      <c r="E255" s="312"/>
      <c r="F255" s="312" t="s">
        <v>28</v>
      </c>
      <c r="G255" s="312"/>
      <c r="H255" s="312" t="s">
        <v>29</v>
      </c>
      <c r="I255" s="312"/>
      <c r="K255" s="35" t="s">
        <v>59</v>
      </c>
      <c r="L255" s="312" t="s">
        <v>26</v>
      </c>
      <c r="M255" s="312"/>
      <c r="N255" s="312" t="s">
        <v>27</v>
      </c>
      <c r="O255" s="312"/>
      <c r="P255" s="312" t="s">
        <v>28</v>
      </c>
      <c r="Q255" s="312"/>
      <c r="R255" s="312" t="s">
        <v>29</v>
      </c>
      <c r="S255" s="312"/>
      <c r="U255" t="s">
        <v>65</v>
      </c>
      <c r="V255" s="312" t="s">
        <v>26</v>
      </c>
      <c r="W255" s="312"/>
      <c r="X255" s="312" t="s">
        <v>27</v>
      </c>
      <c r="Y255" s="312"/>
      <c r="Z255" s="312" t="s">
        <v>28</v>
      </c>
      <c r="AA255" s="312"/>
      <c r="AB255" s="312" t="s">
        <v>29</v>
      </c>
      <c r="AC255" s="312"/>
      <c r="AD255" s="17"/>
      <c r="AE255" t="s">
        <v>70</v>
      </c>
      <c r="AF255" s="312" t="s">
        <v>26</v>
      </c>
      <c r="AG255" s="312"/>
      <c r="AH255" s="312" t="s">
        <v>27</v>
      </c>
      <c r="AI255" s="312"/>
      <c r="AJ255" s="312" t="s">
        <v>28</v>
      </c>
      <c r="AK255" s="312"/>
      <c r="AL255" s="312" t="s">
        <v>29</v>
      </c>
      <c r="AM255" s="312"/>
      <c r="AO255" t="s">
        <v>78</v>
      </c>
      <c r="AP255" s="312" t="s">
        <v>26</v>
      </c>
      <c r="AQ255" s="312"/>
      <c r="AR255" s="312" t="s">
        <v>27</v>
      </c>
      <c r="AS255" s="312"/>
      <c r="AT255" s="312" t="s">
        <v>28</v>
      </c>
      <c r="AU255" s="312"/>
      <c r="AV255" s="312" t="s">
        <v>29</v>
      </c>
      <c r="AW255" s="312"/>
      <c r="AY255" t="s">
        <v>102</v>
      </c>
      <c r="AZ255" s="312" t="s">
        <v>26</v>
      </c>
      <c r="BA255" s="312"/>
      <c r="BB255" s="312" t="s">
        <v>27</v>
      </c>
      <c r="BC255" s="312"/>
      <c r="BD255" s="312" t="s">
        <v>28</v>
      </c>
      <c r="BE255" s="312"/>
      <c r="BF255" s="312" t="s">
        <v>29</v>
      </c>
      <c r="BG255" s="312"/>
    </row>
    <row r="256" spans="1:59" x14ac:dyDescent="0.25">
      <c r="B256" t="s">
        <v>24</v>
      </c>
      <c r="C256" t="s">
        <v>25</v>
      </c>
      <c r="D256" t="s">
        <v>24</v>
      </c>
      <c r="E256" t="s">
        <v>25</v>
      </c>
      <c r="F256" t="s">
        <v>24</v>
      </c>
      <c r="G256" t="s">
        <v>25</v>
      </c>
      <c r="H256" t="s">
        <v>24</v>
      </c>
      <c r="I256" t="s">
        <v>25</v>
      </c>
      <c r="L256" t="s">
        <v>24</v>
      </c>
      <c r="M256" t="s">
        <v>25</v>
      </c>
      <c r="N256" t="s">
        <v>24</v>
      </c>
      <c r="O256" t="s">
        <v>25</v>
      </c>
      <c r="P256" t="s">
        <v>24</v>
      </c>
      <c r="Q256" t="s">
        <v>25</v>
      </c>
      <c r="R256" t="s">
        <v>24</v>
      </c>
      <c r="S256" t="s">
        <v>25</v>
      </c>
      <c r="V256" t="s">
        <v>24</v>
      </c>
      <c r="W256" t="s">
        <v>25</v>
      </c>
      <c r="X256" t="s">
        <v>24</v>
      </c>
      <c r="Y256" t="s">
        <v>25</v>
      </c>
      <c r="Z256" t="s">
        <v>24</v>
      </c>
      <c r="AA256" t="s">
        <v>25</v>
      </c>
      <c r="AB256" t="s">
        <v>24</v>
      </c>
      <c r="AC256" t="s">
        <v>25</v>
      </c>
      <c r="AF256" t="s">
        <v>24</v>
      </c>
      <c r="AG256" t="s">
        <v>53</v>
      </c>
      <c r="AH256" t="s">
        <v>24</v>
      </c>
      <c r="AI256" t="s">
        <v>53</v>
      </c>
      <c r="AJ256" t="s">
        <v>24</v>
      </c>
      <c r="AK256" t="s">
        <v>53</v>
      </c>
      <c r="AL256" t="s">
        <v>24</v>
      </c>
      <c r="AM256" t="s">
        <v>53</v>
      </c>
      <c r="AP256" t="s">
        <v>24</v>
      </c>
      <c r="AQ256" t="s">
        <v>25</v>
      </c>
      <c r="AR256" t="s">
        <v>24</v>
      </c>
      <c r="AS256" t="s">
        <v>25</v>
      </c>
      <c r="AT256" t="s">
        <v>24</v>
      </c>
      <c r="AU256" t="s">
        <v>25</v>
      </c>
      <c r="AV256" t="s">
        <v>24</v>
      </c>
      <c r="AW256" t="s">
        <v>25</v>
      </c>
      <c r="AZ256" t="s">
        <v>24</v>
      </c>
      <c r="BA256" t="s">
        <v>25</v>
      </c>
      <c r="BB256" t="s">
        <v>24</v>
      </c>
      <c r="BC256" t="s">
        <v>25</v>
      </c>
      <c r="BD256" t="s">
        <v>24</v>
      </c>
      <c r="BE256" t="s">
        <v>25</v>
      </c>
      <c r="BF256" t="s">
        <v>24</v>
      </c>
      <c r="BG256" t="s">
        <v>25</v>
      </c>
    </row>
    <row r="257" spans="1:59" x14ac:dyDescent="0.25">
      <c r="A257" t="s">
        <v>58</v>
      </c>
      <c r="B257" t="s">
        <v>40</v>
      </c>
      <c r="C257">
        <v>44.241199000000002</v>
      </c>
      <c r="D257" t="s">
        <v>44</v>
      </c>
      <c r="E257">
        <v>20</v>
      </c>
      <c r="K257" t="s">
        <v>60</v>
      </c>
      <c r="L257" t="s">
        <v>40</v>
      </c>
      <c r="M257">
        <v>77.041349999999994</v>
      </c>
      <c r="N257" t="s">
        <v>44</v>
      </c>
      <c r="O257">
        <v>20</v>
      </c>
      <c r="Q257" s="36"/>
      <c r="U257" t="s">
        <v>66</v>
      </c>
      <c r="V257" t="s">
        <v>40</v>
      </c>
      <c r="W257">
        <v>27.288250999999999</v>
      </c>
      <c r="X257" t="s">
        <v>44</v>
      </c>
      <c r="Y257">
        <v>20</v>
      </c>
      <c r="AE257" t="s">
        <v>71</v>
      </c>
      <c r="AF257" t="s">
        <v>40</v>
      </c>
      <c r="AG257">
        <v>34.423498000000002</v>
      </c>
      <c r="AH257" t="s">
        <v>44</v>
      </c>
      <c r="AI257">
        <v>20</v>
      </c>
      <c r="AO257" t="s">
        <v>75</v>
      </c>
      <c r="AP257" t="s">
        <v>40</v>
      </c>
      <c r="AQ257" s="71">
        <v>23.965539</v>
      </c>
      <c r="AR257" t="s">
        <v>44</v>
      </c>
      <c r="AS257">
        <v>20</v>
      </c>
      <c r="AY257" t="s">
        <v>100</v>
      </c>
      <c r="AZ257" t="s">
        <v>40</v>
      </c>
      <c r="BA257" s="71">
        <v>44.790391999999997</v>
      </c>
      <c r="BB257" t="s">
        <v>44</v>
      </c>
      <c r="BC257">
        <v>20</v>
      </c>
    </row>
    <row r="258" spans="1:59" x14ac:dyDescent="0.25">
      <c r="B258" t="e">
        <f>#REF!</f>
        <v>#REF!</v>
      </c>
      <c r="C258" s="36" t="e">
        <f>#REF!</f>
        <v>#REF!</v>
      </c>
      <c r="D258" t="e" cm="1">
        <f t="array" ref="D258">pareto($B$258:$B$263,$C$258:$C$263,1,"rate",Summary!#REF!,$C$257,$E$257)</f>
        <v>#VALUE!</v>
      </c>
      <c r="E258" t="e" cm="1">
        <f t="array" ref="E258">pareto($B$258:$B$263,$C$258:$C$263,1,"dist",Summary!#REF!,$C$257,$E$257)</f>
        <v>#VALUE!</v>
      </c>
      <c r="F258" t="e">
        <f>#REF!</f>
        <v>#REF!</v>
      </c>
      <c r="G258" t="e">
        <f>#REF!</f>
        <v>#REF!</v>
      </c>
      <c r="H258" t="e" cm="1">
        <f t="array" ref="H258">pareto($F$258:$F$263,$G$258:$G$263,1,"rate",Summary!#REF!,$C$257,$E$257)</f>
        <v>#VALUE!</v>
      </c>
      <c r="I258" t="e" cm="1">
        <f t="array" ref="I258">pareto($F$258:$F$263,$G$258:$G$263,1,"dist",Summary!#REF!,$C$257,$E$257)</f>
        <v>#VALUE!</v>
      </c>
      <c r="L258" t="e">
        <f>#REF!</f>
        <v>#REF!</v>
      </c>
      <c r="M258" s="36" t="e">
        <f>#REF!</f>
        <v>#REF!</v>
      </c>
      <c r="N258" t="e" cm="1">
        <f t="array" ref="N258">pareto($L$258:$L$263,$M$258:$M$263,1,"rate",Summary!#REF!,$M$257,$O$257)</f>
        <v>#VALUE!</v>
      </c>
      <c r="O258" t="e" cm="1">
        <f t="array" ref="O258">pareto($L$258:$L$263,$M$258:$M$263,1,"dist",Summary!#REF!,$M$257,$O$257)</f>
        <v>#VALUE!</v>
      </c>
      <c r="P258" t="e">
        <f>#REF!</f>
        <v>#REF!</v>
      </c>
      <c r="Q258" t="e">
        <f>#REF!</f>
        <v>#REF!</v>
      </c>
      <c r="R258" t="e" cm="1">
        <f t="array" ref="R258">pareto($P$258:$P$263,$Q$258:$Q$263,1,"rate",Summary!#REF!,$M$257,$O$257)</f>
        <v>#VALUE!</v>
      </c>
      <c r="S258" t="e" cm="1">
        <f t="array" ref="S258">pareto($P$258:$P$263,$Q$258:$Q$263,1,"dist",Summary!#REF!,$M$257,$O$257)</f>
        <v>#VALUE!</v>
      </c>
      <c r="V258" t="e">
        <f>#REF!</f>
        <v>#REF!</v>
      </c>
      <c r="W258" s="36" t="e">
        <f>#REF!</f>
        <v>#REF!</v>
      </c>
      <c r="X258" t="e" cm="1">
        <f t="array" ref="X258">pareto($V$258:$V$263,$W$258:$W$263,1,"rate",Summary!#REF!,$W$257,$Y$257)</f>
        <v>#VALUE!</v>
      </c>
      <c r="Y258" t="e" cm="1">
        <f t="array" ref="Y258">pareto($V$258:$V$263,$W$258:$W$263,1,"dist",Summary!#REF!,$W$257,$Y$257)</f>
        <v>#VALUE!</v>
      </c>
      <c r="Z258" t="e">
        <f>#REF!</f>
        <v>#REF!</v>
      </c>
      <c r="AA258" t="e">
        <f>#REF!</f>
        <v>#REF!</v>
      </c>
      <c r="AB258" t="e" cm="1">
        <f t="array" ref="AB258">pareto($Z$258:$Z$263,$AA$258:$AA$263,1,"rate",Summary!#REF!,$W$257,$Y$257)</f>
        <v>#VALUE!</v>
      </c>
      <c r="AC258" t="e" cm="1">
        <f t="array" ref="AC258">pareto($Z$258:$Z$263,$AA$258:$AA$263,1,"dist",Summary!#REF!,$W$257,$Y$257)</f>
        <v>#VALUE!</v>
      </c>
      <c r="AF258" t="e">
        <f>#REF!</f>
        <v>#REF!</v>
      </c>
      <c r="AG258" t="e">
        <f>#REF!</f>
        <v>#REF!</v>
      </c>
      <c r="AH258" t="e" cm="1">
        <f t="array" ref="AH258">pareto($AF$258:$AF$263,$AG$258:$AG$263,1,"rate",Summary!#REF!,$AG$257,$AI$257)</f>
        <v>#VALUE!</v>
      </c>
      <c r="AI258" t="e" cm="1">
        <f t="array" ref="AI258">pareto($AF$258:$AF$263,$AG$258:$AG$263,1,"dist",Summary!#REF!,$AG$257,$AI$257)</f>
        <v>#VALUE!</v>
      </c>
      <c r="AJ258" t="e">
        <f>#REF!</f>
        <v>#REF!</v>
      </c>
      <c r="AK258" t="e">
        <f>#REF!</f>
        <v>#REF!</v>
      </c>
      <c r="AL258" t="e" cm="1">
        <f t="array" ref="AL258">pareto($AJ$258:$AJ$263,$AK$258:$AK$263,1,"rate",Summary!#REF!,$AG$257,$AI$257)</f>
        <v>#VALUE!</v>
      </c>
      <c r="AM258" t="e" cm="1">
        <f t="array" ref="AM258">pareto($AJ$258:$AJ$263,$AK$258:$AK$263,1,"dist",Summary!#REF!,$AG$257,$AI$257)</f>
        <v>#VALUE!</v>
      </c>
      <c r="AP258" t="e">
        <f>#REF!</f>
        <v>#REF!</v>
      </c>
      <c r="AQ258" t="e">
        <f>#REF!</f>
        <v>#REF!</v>
      </c>
      <c r="AR258" t="e" cm="1">
        <f t="array" ref="AR258">pareto($AP$258:$AP$263,$AQ$258:$AQ$263,1,"rate",Summary!#REF!,$AQ$257,$AS$257)</f>
        <v>#VALUE!</v>
      </c>
      <c r="AS258" t="e" cm="1">
        <f t="array" ref="AS258">pareto($AP$258:$AP$263,$AQ$258:$AQ$263,1,"dist",Summary!#REF!,$AQ$257,$AS$257)</f>
        <v>#VALUE!</v>
      </c>
      <c r="AT258" t="e">
        <f>#REF!</f>
        <v>#REF!</v>
      </c>
      <c r="AU258" t="e">
        <f>#REF!</f>
        <v>#REF!</v>
      </c>
      <c r="AV258" t="e" cm="1">
        <f t="array" ref="AV258">pareto($AT$258:$AT$263,$AU$258:$AU$263,1,"rate",Summary!#REF!,$AQ$257,$AS$257)</f>
        <v>#VALUE!</v>
      </c>
      <c r="AW258" t="e" cm="1">
        <f t="array" ref="AW258">pareto($AT$258:$AT$263,$AU$258:$AU$263,1,"dist",Summary!#REF!,$AQ$257,$AS$257)</f>
        <v>#VALUE!</v>
      </c>
      <c r="AZ258" s="36" t="e">
        <f>#REF!</f>
        <v>#REF!</v>
      </c>
      <c r="BA258" s="36" t="e">
        <f>#REF!</f>
        <v>#REF!</v>
      </c>
      <c r="BB258" t="e" cm="1">
        <f t="array" ref="BB258">pareto($AZ$258:$AZ$263,$BA$258:$BA$263,1,"rate",Summary!#REF!,$BA$257,$BC$257)</f>
        <v>#VALUE!</v>
      </c>
      <c r="BC258" t="e" cm="1">
        <f t="array" ref="BC258">pareto($AZ$258:$AZ$263,$BA$258:$BA$263,1,"dist",Summary!#REF!,$BA$257,$BC$257)</f>
        <v>#VALUE!</v>
      </c>
      <c r="BD258" s="36" t="e">
        <f>#REF!</f>
        <v>#REF!</v>
      </c>
      <c r="BE258" s="36" t="e">
        <f>#REF!</f>
        <v>#REF!</v>
      </c>
      <c r="BF258" t="e" cm="1">
        <f t="array" ref="BF258">pareto($BD$258:$BD$263,$BE$258:$BE$263,1,"rate",Summary!#REF!,$BA$257,$BC$257)</f>
        <v>#VALUE!</v>
      </c>
      <c r="BG258" t="e" cm="1">
        <f t="array" ref="BG258">pareto($BD$258:$BD$263,$BE$258:$BE$263,1,"dist",Summary!#REF!,$BA$257,$BC$257)</f>
        <v>#VALUE!</v>
      </c>
    </row>
    <row r="259" spans="1:59" x14ac:dyDescent="0.25">
      <c r="B259" t="e">
        <f>#REF!</f>
        <v>#REF!</v>
      </c>
      <c r="C259" s="36" t="e">
        <f>#REF!</f>
        <v>#REF!</v>
      </c>
      <c r="D259" t="e" cm="1">
        <f t="array" ref="D259">pareto($B$258:$B$263,$C$258:$C$263,2,"rate",Summary!#REF!,$C$257,$E$257)</f>
        <v>#VALUE!</v>
      </c>
      <c r="E259" t="e" cm="1">
        <f t="array" ref="E259">pareto($B$258:$B$263,$C$258:$C$263,2,"dist",Summary!#REF!,$C$257,$E$257)</f>
        <v>#VALUE!</v>
      </c>
      <c r="F259" t="e">
        <f>#REF!</f>
        <v>#REF!</v>
      </c>
      <c r="G259" t="e">
        <f>#REF!</f>
        <v>#REF!</v>
      </c>
      <c r="H259" t="e" cm="1">
        <f t="array" ref="H259">pareto($F$258:$F$263,$G$258:$G$263,2,"rate",Summary!#REF!,$C$257,$E$257)</f>
        <v>#VALUE!</v>
      </c>
      <c r="I259" t="e" cm="1">
        <f t="array" ref="I259">pareto($F$258:$F$263,$G$258:$G$263,2,"dist",Summary!#REF!,$C$257,$E$257)</f>
        <v>#VALUE!</v>
      </c>
      <c r="L259" t="e">
        <f>#REF!</f>
        <v>#REF!</v>
      </c>
      <c r="M259" s="36" t="e">
        <f>#REF!</f>
        <v>#REF!</v>
      </c>
      <c r="N259" t="e" cm="1">
        <f t="array" ref="N259">pareto($L$258:$L$263,$M$258:$M$263,2,"rate",Summary!#REF!,$M$257,$O$257)</f>
        <v>#VALUE!</v>
      </c>
      <c r="O259" t="e" cm="1">
        <f t="array" ref="O259">pareto($L$258:$L$263,$M$258:$M$263,2,"dist",Summary!#REF!,$M$257,$O$257)</f>
        <v>#VALUE!</v>
      </c>
      <c r="P259" t="e">
        <f>#REF!</f>
        <v>#REF!</v>
      </c>
      <c r="Q259" t="e">
        <f>#REF!</f>
        <v>#REF!</v>
      </c>
      <c r="R259" t="e" cm="1">
        <f t="array" ref="R259">pareto($P$258:$P$263,$Q$258:$Q$263,2,"rate",Summary!#REF!,$M$257,$O$257)</f>
        <v>#VALUE!</v>
      </c>
      <c r="S259" t="e" cm="1">
        <f t="array" ref="S259">pareto($P$258:$P$263,$Q$258:$Q$263,2,"dist",Summary!#REF!,$M$257,$O$257)</f>
        <v>#VALUE!</v>
      </c>
      <c r="V259" t="e">
        <f>#REF!</f>
        <v>#REF!</v>
      </c>
      <c r="W259" s="36" t="e">
        <f>#REF!</f>
        <v>#REF!</v>
      </c>
      <c r="X259" t="e" cm="1">
        <f t="array" ref="X259">pareto($V$258:$V$263,$W$258:$W$263,2,"rate",Summary!#REF!,$W$257,$Y$257)</f>
        <v>#VALUE!</v>
      </c>
      <c r="Y259" t="e" cm="1">
        <f t="array" ref="Y259">pareto($V$258:$V$263,$W$258:$W$263,2,"dist",Summary!#REF!,$W$257,$Y$257)</f>
        <v>#VALUE!</v>
      </c>
      <c r="Z259" t="e">
        <f>#REF!</f>
        <v>#REF!</v>
      </c>
      <c r="AA259" t="e">
        <f>#REF!</f>
        <v>#REF!</v>
      </c>
      <c r="AB259" t="e" cm="1">
        <f t="array" ref="AB259">pareto($Z$258:$Z$263,$AA$258:$AA$263,2,"rate",Summary!#REF!,$W$257,$Y$257)</f>
        <v>#VALUE!</v>
      </c>
      <c r="AC259" t="e" cm="1">
        <f t="array" ref="AC259">pareto($Z$258:$Z$263,$AA$258:$AA$263,2,"dist",Summary!#REF!,$W$257,$Y$257)</f>
        <v>#VALUE!</v>
      </c>
      <c r="AF259" t="e">
        <f>#REF!</f>
        <v>#REF!</v>
      </c>
      <c r="AG259" t="e">
        <f>#REF!</f>
        <v>#REF!</v>
      </c>
      <c r="AH259" t="e" cm="1">
        <f t="array" ref="AH259">pareto($AF$258:$AF$263,$AG$258:$AG$263,2,"rate",Summary!#REF!,$AG$257,$AI$257)</f>
        <v>#VALUE!</v>
      </c>
      <c r="AI259" t="e" cm="1">
        <f t="array" ref="AI259">pareto($AF$258:$AF$263,$AG$258:$AG$263,2,"dist",Summary!#REF!,$AG$257,$AI$257)</f>
        <v>#VALUE!</v>
      </c>
      <c r="AJ259" t="e">
        <f>#REF!</f>
        <v>#REF!</v>
      </c>
      <c r="AK259" t="e">
        <f>#REF!</f>
        <v>#REF!</v>
      </c>
      <c r="AL259" t="e" cm="1">
        <f t="array" ref="AL259">pareto($AJ$258:$AJ$263,$AK$258:$AK$263,2,"rate",Summary!#REF!,$AG$257,$AI$257)</f>
        <v>#VALUE!</v>
      </c>
      <c r="AM259" t="e" cm="1">
        <f t="array" ref="AM259">pareto($AJ$258:$AJ$263,$AK$258:$AK$263,2,"dist",Summary!#REF!,$AG$257,$AI$257)</f>
        <v>#VALUE!</v>
      </c>
      <c r="AP259" t="e">
        <f>#REF!</f>
        <v>#REF!</v>
      </c>
      <c r="AQ259" t="e">
        <f>#REF!</f>
        <v>#REF!</v>
      </c>
      <c r="AR259" t="e" cm="1">
        <f t="array" ref="AR259">pareto($AP$258:$AP$263,$AQ$258:$AQ$263,2,"rate",Summary!#REF!,$AQ$257,$AS$257)</f>
        <v>#VALUE!</v>
      </c>
      <c r="AS259" t="e" cm="1">
        <f t="array" ref="AS259">pareto($AP$258:$AP$263,$AQ$258:$AQ$263,2,"dist",Summary!#REF!,$AQ$257,$AS$257)</f>
        <v>#VALUE!</v>
      </c>
      <c r="AT259" t="e">
        <f>#REF!</f>
        <v>#REF!</v>
      </c>
      <c r="AU259" t="e">
        <f>#REF!</f>
        <v>#REF!</v>
      </c>
      <c r="AV259" t="e" cm="1">
        <f t="array" ref="AV259">pareto($AT$258:$AT$263,$AU$258:$AU$263,2,"rate",Summary!#REF!,$AQ$257,$AS$257)</f>
        <v>#VALUE!</v>
      </c>
      <c r="AW259" t="e" cm="1">
        <f t="array" ref="AW259">pareto($AT$258:$AT$263,$AU$258:$AU$263,2,"dist",Summary!#REF!,$AQ$257,$AS$257)</f>
        <v>#VALUE!</v>
      </c>
      <c r="AZ259" s="36" t="e">
        <f>#REF!</f>
        <v>#REF!</v>
      </c>
      <c r="BA259" s="36" t="e">
        <f>#REF!</f>
        <v>#REF!</v>
      </c>
      <c r="BB259" t="e" cm="1">
        <f t="array" ref="BB259">pareto($AZ$258:$AZ$263,$BA$258:$BA$263,2,"rate",Summary!#REF!,$BA$257,$BC$257)</f>
        <v>#VALUE!</v>
      </c>
      <c r="BC259" t="e" cm="1">
        <f t="array" ref="BC259">pareto($AZ$258:$AZ$263,$BA$258:$BA$263,2,"dist",Summary!#REF!,$BA$257,$BC$257)</f>
        <v>#VALUE!</v>
      </c>
      <c r="BD259" s="36" t="e">
        <f>#REF!</f>
        <v>#REF!</v>
      </c>
      <c r="BE259" s="36" t="e">
        <f>#REF!</f>
        <v>#REF!</v>
      </c>
      <c r="BF259" t="e" cm="1">
        <f t="array" ref="BF259">pareto($BD$258:$BD$263,$BE$258:$BE$263,2,"rate",Summary!#REF!,$BA$257,$BC$257)</f>
        <v>#VALUE!</v>
      </c>
      <c r="BG259" t="e" cm="1">
        <f t="array" ref="BG259">pareto($BD$258:$BD$263,$BE$258:$BE$263,2,"dist",Summary!#REF!,$BA$257,$BC$257)</f>
        <v>#VALUE!</v>
      </c>
    </row>
    <row r="260" spans="1:59" x14ac:dyDescent="0.25">
      <c r="B260" t="e">
        <f>#REF!</f>
        <v>#REF!</v>
      </c>
      <c r="C260" s="36" t="e">
        <f>#REF!</f>
        <v>#REF!</v>
      </c>
      <c r="D260" t="e" cm="1">
        <f t="array" ref="D260">pareto($B$258:$B$263,$C$258:$C$263,3,"rate",Summary!#REF!,$C$257,$E$257)</f>
        <v>#VALUE!</v>
      </c>
      <c r="E260" t="e" cm="1">
        <f t="array" ref="E260">pareto($B$258:$B$263,$C$258:$C$263,3,"dist",Summary!#REF!,$C$257,$E$257)</f>
        <v>#VALUE!</v>
      </c>
      <c r="F260" t="e">
        <f>#REF!</f>
        <v>#REF!</v>
      </c>
      <c r="G260" t="e">
        <f>#REF!</f>
        <v>#REF!</v>
      </c>
      <c r="H260" t="e" cm="1">
        <f t="array" ref="H260">pareto($F$258:$F$263,$G$258:$G$263,3,"rate",Summary!#REF!,$C$257,$E$257)</f>
        <v>#VALUE!</v>
      </c>
      <c r="I260" t="e" cm="1">
        <f t="array" ref="I260">pareto($F$258:$F$263,$G$258:$G$263,3,"dist",Summary!#REF!,$C$257,$E$257)</f>
        <v>#VALUE!</v>
      </c>
      <c r="L260" t="e">
        <f>#REF!</f>
        <v>#REF!</v>
      </c>
      <c r="M260" s="36" t="e">
        <f>#REF!</f>
        <v>#REF!</v>
      </c>
      <c r="N260" t="e" cm="1">
        <f t="array" ref="N260">pareto($L$258:$L$263,$M$258:$M$263,3,"rate",Summary!#REF!,$M$257,$O$257)</f>
        <v>#VALUE!</v>
      </c>
      <c r="O260" t="e" cm="1">
        <f t="array" ref="O260">pareto($L$258:$L$263,$M$258:$M$263,3,"dist",Summary!#REF!,$M$257,$O$257)</f>
        <v>#VALUE!</v>
      </c>
      <c r="P260" t="e">
        <f>#REF!</f>
        <v>#REF!</v>
      </c>
      <c r="Q260" t="e">
        <f>#REF!</f>
        <v>#REF!</v>
      </c>
      <c r="R260" t="e" cm="1">
        <f t="array" ref="R260">pareto($P$258:$P$263,$Q$258:$Q$263,3,"rate",Summary!#REF!,$M$257,$O$257)</f>
        <v>#VALUE!</v>
      </c>
      <c r="S260" t="e" cm="1">
        <f t="array" ref="S260">pareto($P$258:$P$263,$Q$258:$Q$263,3,"dist",Summary!#REF!,$M$257,$O$257)</f>
        <v>#VALUE!</v>
      </c>
      <c r="V260" t="e">
        <f>#REF!</f>
        <v>#REF!</v>
      </c>
      <c r="W260" s="36" t="e">
        <f>#REF!</f>
        <v>#REF!</v>
      </c>
      <c r="X260" t="e" cm="1">
        <f t="array" ref="X260">pareto($V$258:$V$263,$W$258:$W$263,3,"rate",Summary!#REF!,$W$257,$Y$257)</f>
        <v>#VALUE!</v>
      </c>
      <c r="Y260" t="e" cm="1">
        <f t="array" ref="Y260">pareto($V$258:$V$263,$W$258:$W$263,3,"dist",Summary!#REF!,$W$257,$Y$257)</f>
        <v>#VALUE!</v>
      </c>
      <c r="Z260" t="e">
        <f>#REF!</f>
        <v>#REF!</v>
      </c>
      <c r="AA260" t="e">
        <f>#REF!</f>
        <v>#REF!</v>
      </c>
      <c r="AB260" t="e" cm="1">
        <f t="array" ref="AB260">pareto($Z$258:$Z$263,$AA$258:$AA$263,3,"rate",Summary!#REF!,$W$257,$Y$257)</f>
        <v>#VALUE!</v>
      </c>
      <c r="AC260" t="e" cm="1">
        <f t="array" ref="AC260">pareto($Z$258:$Z$263,$AA$258:$AA$263,3,"dist",Summary!#REF!,$W$257,$Y$257)</f>
        <v>#VALUE!</v>
      </c>
      <c r="AF260" t="e">
        <f>#REF!</f>
        <v>#REF!</v>
      </c>
      <c r="AG260" t="e">
        <f>#REF!</f>
        <v>#REF!</v>
      </c>
      <c r="AH260" t="e" cm="1">
        <f t="array" ref="AH260">pareto($AF$258:$AF$263,$AG$258:$AG$263,3,"rate",Summary!#REF!,$AG$257,$AI$257)</f>
        <v>#VALUE!</v>
      </c>
      <c r="AI260" t="e" cm="1">
        <f t="array" ref="AI260">pareto($AF$258:$AF$263,$AG$258:$AG$263,3,"dist",Summary!#REF!,$AG$257,$AI$257)</f>
        <v>#VALUE!</v>
      </c>
      <c r="AJ260" t="e">
        <f>#REF!</f>
        <v>#REF!</v>
      </c>
      <c r="AK260" t="e">
        <f>#REF!</f>
        <v>#REF!</v>
      </c>
      <c r="AL260" t="e" cm="1">
        <f t="array" ref="AL260">pareto($AJ$258:$AJ$263,$AK$258:$AK$263,3,"rate",Summary!#REF!,$AG$257,$AI$257)</f>
        <v>#VALUE!</v>
      </c>
      <c r="AM260" t="e" cm="1">
        <f t="array" ref="AM260">pareto($AJ$258:$AJ$263,$AK$258:$AK$263,3,"dist",Summary!#REF!,$AG$257,$AI$257)</f>
        <v>#VALUE!</v>
      </c>
      <c r="AP260" t="e">
        <f>#REF!</f>
        <v>#REF!</v>
      </c>
      <c r="AQ260" t="e">
        <f>#REF!</f>
        <v>#REF!</v>
      </c>
      <c r="AR260" t="e" cm="1">
        <f t="array" ref="AR260">pareto($AP$258:$AP$263,$AQ$258:$AQ$263,3,"rate",Summary!#REF!,$AQ$257,$AS$257)</f>
        <v>#VALUE!</v>
      </c>
      <c r="AS260" t="e" cm="1">
        <f t="array" ref="AS260">pareto($AP$258:$AP$263,$AQ$258:$AQ$263,3,"dist",Summary!#REF!,$AQ$257,$AS$257)</f>
        <v>#VALUE!</v>
      </c>
      <c r="AT260" t="e">
        <f>#REF!</f>
        <v>#REF!</v>
      </c>
      <c r="AU260" t="e">
        <f>#REF!</f>
        <v>#REF!</v>
      </c>
      <c r="AV260" t="e" cm="1">
        <f t="array" ref="AV260">pareto($AT$258:$AT$263,$AU$258:$AU$263,3,"rate",Summary!#REF!,$AQ$257,$AS$257)</f>
        <v>#VALUE!</v>
      </c>
      <c r="AW260" t="e" cm="1">
        <f t="array" ref="AW260">pareto($AT$258:$AT$263,$AU$258:$AU$263,3,"dist",Summary!#REF!,$AQ$257,$AS$257)</f>
        <v>#VALUE!</v>
      </c>
      <c r="AZ260" s="36" t="e">
        <f>#REF!</f>
        <v>#REF!</v>
      </c>
      <c r="BA260" s="36" t="e">
        <f>#REF!</f>
        <v>#REF!</v>
      </c>
      <c r="BB260" t="e" cm="1">
        <f t="array" ref="BB260">pareto($AZ$258:$AZ$263,$BA$258:$BA$263,3,"rate",Summary!#REF!,$BA$257,$BC$257)</f>
        <v>#VALUE!</v>
      </c>
      <c r="BC260" t="e" cm="1">
        <f t="array" ref="BC260">pareto($AZ$258:$AZ$263,$BA$258:$BA$263,3,"dist",Summary!#REF!,$BA$257,$BC$257)</f>
        <v>#VALUE!</v>
      </c>
      <c r="BD260" s="36" t="e">
        <f>#REF!</f>
        <v>#REF!</v>
      </c>
      <c r="BE260" s="36" t="e">
        <f>#REF!</f>
        <v>#REF!</v>
      </c>
      <c r="BF260" t="e" cm="1">
        <f t="array" ref="BF260">pareto($BD$258:$BD$263,$BE$258:$BE$263,3,"rate",Summary!#REF!,$BA$257,$BC$257)</f>
        <v>#VALUE!</v>
      </c>
      <c r="BG260" t="e" cm="1">
        <f t="array" ref="BG260">pareto($BD$258:$BD$263,$BE$258:$BE$263,3,"dist",Summary!#REF!,$BA$257,$BC$257)</f>
        <v>#VALUE!</v>
      </c>
    </row>
    <row r="261" spans="1:59" x14ac:dyDescent="0.25">
      <c r="B261" t="e">
        <f>#REF!</f>
        <v>#REF!</v>
      </c>
      <c r="C261" s="36" t="e">
        <f>#REF!</f>
        <v>#REF!</v>
      </c>
      <c r="D261" t="e" cm="1">
        <f t="array" ref="D261">pareto($B$258:$B$263,$C$258:$C$263,4,"rate",Summary!#REF!,$C$257,$E$257)</f>
        <v>#VALUE!</v>
      </c>
      <c r="E261" t="e" cm="1">
        <f t="array" ref="E261">pareto($B$258:$B$263,$C$258:$C$263,4,"dist",Summary!#REF!,$C$257,$E$257)</f>
        <v>#VALUE!</v>
      </c>
      <c r="F261" t="e">
        <f>#REF!</f>
        <v>#REF!</v>
      </c>
      <c r="G261" t="e">
        <f>#REF!</f>
        <v>#REF!</v>
      </c>
      <c r="H261" t="e" cm="1">
        <f t="array" ref="H261">pareto($F$258:$F$263,$G$258:$G$263,4,"rate",Summary!#REF!,$C$257,$E$257)</f>
        <v>#VALUE!</v>
      </c>
      <c r="I261" t="e" cm="1">
        <f t="array" ref="I261">pareto($F$258:$F$263,$G$258:$G$263,4,"dist",Summary!#REF!,$C$257,$E$257)</f>
        <v>#VALUE!</v>
      </c>
      <c r="L261" t="e">
        <f>#REF!</f>
        <v>#REF!</v>
      </c>
      <c r="M261" s="36" t="e">
        <f>#REF!</f>
        <v>#REF!</v>
      </c>
      <c r="N261" t="e" cm="1">
        <f t="array" ref="N261">pareto($L$258:$L$263,$M$258:$M$263,4,"rate",Summary!#REF!,$M$257,$O$257)</f>
        <v>#VALUE!</v>
      </c>
      <c r="O261" t="e" cm="1">
        <f t="array" ref="O261">pareto($L$258:$L$263,$M$258:$M$263,4,"dist",Summary!#REF!,$M$257,$O$257)</f>
        <v>#VALUE!</v>
      </c>
      <c r="P261" t="e">
        <f>#REF!</f>
        <v>#REF!</v>
      </c>
      <c r="Q261" t="e">
        <f>#REF!</f>
        <v>#REF!</v>
      </c>
      <c r="R261" t="e" cm="1">
        <f t="array" ref="R261">pareto($P$258:$P$263,$Q$258:$Q$263,4,"rate",Summary!#REF!,$M$257,$O$257)</f>
        <v>#VALUE!</v>
      </c>
      <c r="S261" t="e" cm="1">
        <f t="array" ref="S261">pareto($P$258:$P$263,$Q$258:$Q$263,4,"dist",Summary!#REF!,$M$257,$O$257)</f>
        <v>#VALUE!</v>
      </c>
      <c r="V261" t="e">
        <f>#REF!</f>
        <v>#REF!</v>
      </c>
      <c r="W261" s="36" t="e">
        <f>#REF!</f>
        <v>#REF!</v>
      </c>
      <c r="X261" t="e" cm="1">
        <f t="array" ref="X261">pareto($V$258:$V$263,$W$258:$W$263,4,"rate",Summary!#REF!,$W$257,$Y$257)</f>
        <v>#VALUE!</v>
      </c>
      <c r="Y261" t="e" cm="1">
        <f t="array" ref="Y261">pareto($V$258:$V$263,$W$258:$W$263,4,"dist",Summary!#REF!,$W$257,$Y$257)</f>
        <v>#VALUE!</v>
      </c>
      <c r="Z261" t="e">
        <f>#REF!</f>
        <v>#REF!</v>
      </c>
      <c r="AA261" t="e">
        <f>#REF!</f>
        <v>#REF!</v>
      </c>
      <c r="AB261" t="e" cm="1">
        <f t="array" ref="AB261">pareto($Z$258:$Z$263,$AA$258:$AA$263,4,"rate",Summary!#REF!,$W$257,$Y$257)</f>
        <v>#VALUE!</v>
      </c>
      <c r="AC261" t="e" cm="1">
        <f t="array" ref="AC261">pareto($Z$258:$Z$263,$AA$258:$AA$263,4,"dist",Summary!#REF!,$W$257,$Y$257)</f>
        <v>#VALUE!</v>
      </c>
      <c r="AF261" t="e">
        <f>#REF!</f>
        <v>#REF!</v>
      </c>
      <c r="AG261" t="e">
        <f>#REF!</f>
        <v>#REF!</v>
      </c>
      <c r="AH261" t="e" cm="1">
        <f t="array" ref="AH261">pareto($AF$258:$AF$263,$AG$258:$AG$263,4,"rate",Summary!#REF!,$AG$257,$AI$257)</f>
        <v>#VALUE!</v>
      </c>
      <c r="AI261" t="e" cm="1">
        <f t="array" ref="AI261">pareto($AF$258:$AF$263,$AG$258:$AG$263,4,"dist",Summary!#REF!,$AG$257,$AI$257)</f>
        <v>#VALUE!</v>
      </c>
      <c r="AJ261" t="e">
        <f>#REF!</f>
        <v>#REF!</v>
      </c>
      <c r="AK261" t="e">
        <f>#REF!</f>
        <v>#REF!</v>
      </c>
      <c r="AL261" t="e" cm="1">
        <f t="array" ref="AL261">pareto($AJ$258:$AJ$263,$AK$258:$AK$263,4,"rate",Summary!#REF!,$AG$257,$AI$257)</f>
        <v>#VALUE!</v>
      </c>
      <c r="AM261" t="e" cm="1">
        <f t="array" ref="AM261">pareto($AJ$258:$AJ$263,$AK$258:$AK$263,4,"dist",Summary!#REF!,$AG$257,$AI$257)</f>
        <v>#VALUE!</v>
      </c>
      <c r="AP261" t="e">
        <f>#REF!</f>
        <v>#REF!</v>
      </c>
      <c r="AQ261" t="e">
        <f>#REF!</f>
        <v>#REF!</v>
      </c>
      <c r="AR261" t="e" cm="1">
        <f t="array" ref="AR261">pareto($AP$258:$AP$263,$AQ$258:$AQ$263,4,"rate",Summary!#REF!,$AQ$257,$AS$257)</f>
        <v>#VALUE!</v>
      </c>
      <c r="AS261" t="e" cm="1">
        <f t="array" ref="AS261">pareto($AP$258:$AP$263,$AQ$258:$AQ$263,4,"dist",Summary!#REF!,$AQ$257,$AS$257)</f>
        <v>#VALUE!</v>
      </c>
      <c r="AT261" t="e">
        <f>#REF!</f>
        <v>#REF!</v>
      </c>
      <c r="AU261" t="e">
        <f>#REF!</f>
        <v>#REF!</v>
      </c>
      <c r="AV261" t="e" cm="1">
        <f t="array" ref="AV261">pareto($AT$258:$AT$263,$AU$258:$AU$263,4,"rate",Summary!#REF!,$AQ$257,$AS$257)</f>
        <v>#VALUE!</v>
      </c>
      <c r="AW261" t="e" cm="1">
        <f t="array" ref="AW261">pareto($AT$258:$AT$263,$AU$258:$AU$263,4,"dist",Summary!#REF!,$AQ$257,$AS$257)</f>
        <v>#VALUE!</v>
      </c>
      <c r="AZ261" s="36" t="e">
        <f>#REF!</f>
        <v>#REF!</v>
      </c>
      <c r="BA261" s="36" t="e">
        <f>#REF!</f>
        <v>#REF!</v>
      </c>
      <c r="BB261" t="e" cm="1">
        <f t="array" ref="BB261">pareto($AZ$258:$AZ$263,$BA$258:$BA$263,4,"rate",Summary!#REF!,$BA$257,$BC$257)</f>
        <v>#VALUE!</v>
      </c>
      <c r="BC261" t="e" cm="1">
        <f t="array" ref="BC261">pareto($AZ$258:$AZ$263,$BA$258:$BA$263,4,"dist",Summary!#REF!,$BA$257,$BC$257)</f>
        <v>#VALUE!</v>
      </c>
      <c r="BD261" s="36" t="e">
        <f>#REF!</f>
        <v>#REF!</v>
      </c>
      <c r="BE261" s="36" t="e">
        <f>#REF!</f>
        <v>#REF!</v>
      </c>
      <c r="BF261" t="e" cm="1">
        <f t="array" ref="BF261">pareto($BD$258:$BD$263,$BE$258:$BE$263,4,"rate",Summary!#REF!,$BA$257,$BC$257)</f>
        <v>#VALUE!</v>
      </c>
      <c r="BG261" t="e" cm="1">
        <f t="array" ref="BG261">pareto($BD$258:$BD$263,$BE$258:$BE$263,4,"dist",Summary!#REF!,$BA$257,$BC$257)</f>
        <v>#VALUE!</v>
      </c>
    </row>
    <row r="262" spans="1:59" x14ac:dyDescent="0.25">
      <c r="B262" t="e">
        <f>#REF!</f>
        <v>#REF!</v>
      </c>
      <c r="C262" s="36" t="e">
        <f>#REF!</f>
        <v>#REF!</v>
      </c>
      <c r="D262" t="e" cm="1">
        <f t="array" ref="D262">pareto($B$258:$B$263,$C$258:$C$263,5,"rate",Summary!#REF!,$C$257,$E$257)</f>
        <v>#VALUE!</v>
      </c>
      <c r="E262" t="e" cm="1">
        <f t="array" ref="E262">pareto($B$258:$B$263,$C$258:$C$263,5,"dist",Summary!#REF!,$C$257,$E$257)</f>
        <v>#VALUE!</v>
      </c>
      <c r="F262" t="e">
        <f>#REF!</f>
        <v>#REF!</v>
      </c>
      <c r="G262" t="e">
        <f>#REF!</f>
        <v>#REF!</v>
      </c>
      <c r="H262" t="e" cm="1">
        <f t="array" ref="H262">pareto($F$258:$F$263,$G$258:$G$263,5,"rate",Summary!#REF!,$C$257,$E$257)</f>
        <v>#VALUE!</v>
      </c>
      <c r="I262" t="e" cm="1">
        <f t="array" ref="I262">pareto($F$258:$F$263,$G$258:$G$263,5,"dist",Summary!#REF!,$C$257,$E$257)</f>
        <v>#VALUE!</v>
      </c>
      <c r="L262" t="e">
        <f>#REF!</f>
        <v>#REF!</v>
      </c>
      <c r="M262" s="36" t="e">
        <f>#REF!</f>
        <v>#REF!</v>
      </c>
      <c r="N262" t="e" cm="1">
        <f t="array" ref="N262">pareto($L$258:$L$263,$M$258:$M$263,5,"rate",Summary!#REF!,$M$257,$O$257)</f>
        <v>#VALUE!</v>
      </c>
      <c r="O262" t="e" cm="1">
        <f t="array" ref="O262">pareto($L$258:$L$263,$M$258:$M$263,5,"dist",Summary!#REF!,$M$257,$O$257)</f>
        <v>#VALUE!</v>
      </c>
      <c r="P262" t="e">
        <f>#REF!</f>
        <v>#REF!</v>
      </c>
      <c r="Q262" t="e">
        <f>#REF!</f>
        <v>#REF!</v>
      </c>
      <c r="R262" t="e" cm="1">
        <f t="array" ref="R262">pareto($P$258:$P$263,$Q$258:$Q$263,5,"rate",Summary!#REF!,$M$257,$O$257)</f>
        <v>#VALUE!</v>
      </c>
      <c r="S262" t="e" cm="1">
        <f t="array" ref="S262">pareto($P$258:$P$263,$Q$258:$Q$263,5,"dist",Summary!#REF!,$M$257,$O$257)</f>
        <v>#VALUE!</v>
      </c>
      <c r="V262" t="e">
        <f>#REF!</f>
        <v>#REF!</v>
      </c>
      <c r="W262" s="36" t="e">
        <f>#REF!</f>
        <v>#REF!</v>
      </c>
      <c r="X262" t="e" cm="1">
        <f t="array" ref="X262">pareto($V$258:$V$263,$W$258:$W$263,5,"rate",Summary!#REF!,$W$257,$Y$257)</f>
        <v>#VALUE!</v>
      </c>
      <c r="Y262" t="e" cm="1">
        <f t="array" ref="Y262">pareto($V$258:$V$263,$W$258:$W$263,5,"dist",Summary!#REF!,$W$257,$Y$257)</f>
        <v>#VALUE!</v>
      </c>
      <c r="Z262" t="e">
        <f>#REF!</f>
        <v>#REF!</v>
      </c>
      <c r="AA262" t="e">
        <f>#REF!</f>
        <v>#REF!</v>
      </c>
      <c r="AB262" t="e" cm="1">
        <f t="array" ref="AB262">pareto($Z$258:$Z$263,$AA$258:$AA$263,5,"rate",Summary!#REF!,$W$257,$Y$257)</f>
        <v>#VALUE!</v>
      </c>
      <c r="AC262" t="e" cm="1">
        <f t="array" ref="AC262">pareto($Z$258:$Z$263,$AA$258:$AA$263,5,"dist",Summary!#REF!,$W$257,$Y$257)</f>
        <v>#VALUE!</v>
      </c>
      <c r="AF262" t="e">
        <f>#REF!</f>
        <v>#REF!</v>
      </c>
      <c r="AG262" t="e">
        <f>#REF!</f>
        <v>#REF!</v>
      </c>
      <c r="AH262" t="e" cm="1">
        <f t="array" ref="AH262">pareto($AF$258:$AF$263,$AG$258:$AG$263,5,"rate",Summary!#REF!,$AG$257,$AI$257)</f>
        <v>#VALUE!</v>
      </c>
      <c r="AI262" t="e" cm="1">
        <f t="array" ref="AI262">pareto($AF$258:$AF$263,$AG$258:$AG$263,5,"dist",Summary!#REF!,$AG$257,$AI$257)</f>
        <v>#VALUE!</v>
      </c>
      <c r="AJ262" t="e">
        <f>#REF!</f>
        <v>#REF!</v>
      </c>
      <c r="AK262" t="e">
        <f>#REF!</f>
        <v>#REF!</v>
      </c>
      <c r="AL262" t="e" cm="1">
        <f t="array" ref="AL262">pareto($AJ$258:$AJ$263,$AK$258:$AK$263,5,"rate",Summary!#REF!,$AG$257,$AI$257)</f>
        <v>#VALUE!</v>
      </c>
      <c r="AM262" t="e" cm="1">
        <f t="array" ref="AM262">pareto($AJ$258:$AJ$263,$AK$258:$AK$263,5,"dist",Summary!#REF!,$AG$257,$AI$257)</f>
        <v>#VALUE!</v>
      </c>
      <c r="AP262" t="e">
        <f>#REF!</f>
        <v>#REF!</v>
      </c>
      <c r="AQ262" t="e">
        <f>#REF!</f>
        <v>#REF!</v>
      </c>
      <c r="AR262" t="e" cm="1">
        <f t="array" ref="AR262">pareto($AP$258:$AP$263,$AQ$258:$AQ$263,5,"rate",Summary!#REF!,$AQ$257,$AS$257)</f>
        <v>#VALUE!</v>
      </c>
      <c r="AS262" t="e" cm="1">
        <f t="array" ref="AS262">pareto($AP$258:$AP$263,$AQ$258:$AQ$263,5,"dist",Summary!#REF!,$AQ$257,$AS$257)</f>
        <v>#VALUE!</v>
      </c>
      <c r="AT262" t="e">
        <f>#REF!</f>
        <v>#REF!</v>
      </c>
      <c r="AU262" t="e">
        <f>#REF!</f>
        <v>#REF!</v>
      </c>
      <c r="AV262" t="e" cm="1">
        <f t="array" ref="AV262">pareto($AT$258:$AT$263,$AU$258:$AU$263,5,"rate",Summary!#REF!,$AQ$257,$AS$257)</f>
        <v>#VALUE!</v>
      </c>
      <c r="AW262" t="e" cm="1">
        <f t="array" ref="AW262">pareto($AT$258:$AT$263,$AU$258:$AU$263,5,"dist",Summary!#REF!,$AQ$257,$AS$257)</f>
        <v>#VALUE!</v>
      </c>
      <c r="AZ262" s="36" t="e">
        <f>#REF!</f>
        <v>#REF!</v>
      </c>
      <c r="BA262" s="36" t="e">
        <f>#REF!</f>
        <v>#REF!</v>
      </c>
      <c r="BB262" t="e" cm="1">
        <f t="array" ref="BB262">pareto($AZ$258:$AZ$263,$BA$258:$BA$263,5,"rate",Summary!#REF!,$BA$257,$BC$257)</f>
        <v>#VALUE!</v>
      </c>
      <c r="BC262" t="e" cm="1">
        <f t="array" ref="BC262">pareto($AZ$258:$AZ$263,$BA$258:$BA$263,5,"dist",Summary!#REF!,$BA$257,$BC$257)</f>
        <v>#VALUE!</v>
      </c>
      <c r="BD262" s="36" t="e">
        <f>#REF!</f>
        <v>#REF!</v>
      </c>
      <c r="BE262" s="36" t="e">
        <f>#REF!</f>
        <v>#REF!</v>
      </c>
      <c r="BF262" t="e" cm="1">
        <f t="array" ref="BF262">pareto($BD$258:$BD$263,$BE$258:$BE$263,5,"rate",Summary!#REF!,$BA$257,$BC$257)</f>
        <v>#VALUE!</v>
      </c>
      <c r="BG262" t="e" cm="1">
        <f t="array" ref="BG262">pareto($BD$258:$BD$263,$BE$258:$BE$263,5,"dist",Summary!#REF!,$BA$257,$BC$257)</f>
        <v>#VALUE!</v>
      </c>
    </row>
    <row r="263" spans="1:59" x14ac:dyDescent="0.25">
      <c r="B263" t="e">
        <f>#REF!</f>
        <v>#REF!</v>
      </c>
      <c r="C263" s="36" t="e">
        <f>#REF!</f>
        <v>#REF!</v>
      </c>
      <c r="D263" t="e" cm="1">
        <f t="array" ref="D263">pareto($B$258:$B$263,$C$258:$C$263,6,"rate",Summary!#REF!,$C$257,$E$257)</f>
        <v>#VALUE!</v>
      </c>
      <c r="E263" t="e" cm="1">
        <f t="array" ref="E263">pareto($B$258:$B$263,$C$258:$C$263,6,"dist",Summary!#REF!,$C$257,$E$257)</f>
        <v>#VALUE!</v>
      </c>
      <c r="F263" t="e">
        <f>#REF!</f>
        <v>#REF!</v>
      </c>
      <c r="G263" t="e">
        <f>#REF!</f>
        <v>#REF!</v>
      </c>
      <c r="H263" t="e" cm="1">
        <f t="array" ref="H263">pareto($F$258:$F$263,$G$258:$G$263,6,"rate",Summary!#REF!,$C$257,$E$257)</f>
        <v>#VALUE!</v>
      </c>
      <c r="I263" t="e" cm="1">
        <f t="array" ref="I263">pareto($F$258:$F$263,$G$258:$G$263,6,"dist",Summary!#REF!,$C$257,$E$257)</f>
        <v>#VALUE!</v>
      </c>
      <c r="L263" t="e">
        <f>#REF!</f>
        <v>#REF!</v>
      </c>
      <c r="M263" s="36" t="e">
        <f>#REF!</f>
        <v>#REF!</v>
      </c>
      <c r="N263" t="e" cm="1">
        <f t="array" ref="N263">pareto($L$258:$L$263,$M$258:$M$263,6,"rate",Summary!#REF!,$M$257,$O$257)</f>
        <v>#VALUE!</v>
      </c>
      <c r="O263" t="e" cm="1">
        <f t="array" ref="O263">pareto($L$258:$L$263,$M$258:$M$263,6,"dist",Summary!#REF!,$M$257,$O$257)</f>
        <v>#VALUE!</v>
      </c>
      <c r="P263" t="e">
        <f>#REF!</f>
        <v>#REF!</v>
      </c>
      <c r="Q263" t="e">
        <f>#REF!</f>
        <v>#REF!</v>
      </c>
      <c r="R263" t="e" cm="1">
        <f t="array" ref="R263">pareto($P$258:$P$263,$Q$258:$Q$263,6,"rate",Summary!#REF!,$M$257,$O$257)</f>
        <v>#VALUE!</v>
      </c>
      <c r="S263" t="e" cm="1">
        <f t="array" ref="S263">pareto($P$258:$P$263,$Q$258:$Q$263,6,"dist",Summary!#REF!,$M$257,$O$257)</f>
        <v>#VALUE!</v>
      </c>
      <c r="V263" t="e">
        <f>#REF!</f>
        <v>#REF!</v>
      </c>
      <c r="W263" s="36" t="e">
        <f>#REF!</f>
        <v>#REF!</v>
      </c>
      <c r="X263" t="e" cm="1">
        <f t="array" ref="X263">pareto($V$258:$V$263,$W$258:$W$263,6,"rate",Summary!#REF!,$W$257,$Y$257)</f>
        <v>#VALUE!</v>
      </c>
      <c r="Y263" t="e" cm="1">
        <f t="array" ref="Y263">pareto($V$258:$V$263,$W$258:$W$263,6,"dist",Summary!#REF!,$W$257,$Y$257)</f>
        <v>#VALUE!</v>
      </c>
      <c r="Z263" t="e">
        <f>#REF!</f>
        <v>#REF!</v>
      </c>
      <c r="AA263" t="e">
        <f>#REF!</f>
        <v>#REF!</v>
      </c>
      <c r="AB263" t="e" cm="1">
        <f t="array" ref="AB263">pareto($Z$258:$Z$263,$AA$258:$AA$263,6,"rate",Summary!#REF!,$W$257,$Y$257)</f>
        <v>#VALUE!</v>
      </c>
      <c r="AC263" t="e" cm="1">
        <f t="array" ref="AC263">pareto($Z$258:$Z$263,$AA$258:$AA$263,6,"dist",Summary!#REF!,$W$257,$Y$257)</f>
        <v>#VALUE!</v>
      </c>
      <c r="AF263" t="e">
        <f>#REF!</f>
        <v>#REF!</v>
      </c>
      <c r="AG263" t="e">
        <f>#REF!</f>
        <v>#REF!</v>
      </c>
      <c r="AH263" t="e" cm="1">
        <f t="array" ref="AH263">pareto($AF$258:$AF$263,$AG$258:$AG$263,6,"rate",Summary!#REF!,$AG$257,$AI$257)</f>
        <v>#VALUE!</v>
      </c>
      <c r="AI263" t="e" cm="1">
        <f t="array" ref="AI263">pareto($AF$258:$AF$263,$AG$258:$AG$263,6,"dist",Summary!#REF!,$AG$257,$AI$257)</f>
        <v>#VALUE!</v>
      </c>
      <c r="AJ263" t="e">
        <f>#REF!</f>
        <v>#REF!</v>
      </c>
      <c r="AK263" t="e">
        <f>#REF!</f>
        <v>#REF!</v>
      </c>
      <c r="AL263" t="e" cm="1">
        <f t="array" ref="AL263">pareto($AJ$258:$AJ$263,$AK$258:$AK$263,6,"rate",Summary!#REF!,$AG$257,$AI$257)</f>
        <v>#VALUE!</v>
      </c>
      <c r="AM263" t="e" cm="1">
        <f t="array" ref="AM263">pareto($AJ$258:$AJ$263,$AK$258:$AK$263,6,"dist",Summary!#REF!,$AG$257,$AI$257)</f>
        <v>#VALUE!</v>
      </c>
      <c r="AP263" t="e">
        <f>#REF!</f>
        <v>#REF!</v>
      </c>
      <c r="AQ263" t="e">
        <f>#REF!</f>
        <v>#REF!</v>
      </c>
      <c r="AR263" t="e" cm="1">
        <f t="array" ref="AR263">pareto($AP$258:$AP$263,$AQ$258:$AQ$263,6,"rate",Summary!#REF!,$AQ$257,$AS$257)</f>
        <v>#VALUE!</v>
      </c>
      <c r="AS263" t="e" cm="1">
        <f t="array" ref="AS263">pareto($AP$258:$AP$263,$AQ$258:$AQ$263,6,"dist",Summary!#REF!,$AQ$257,$AS$257)</f>
        <v>#VALUE!</v>
      </c>
      <c r="AT263" t="e">
        <f>#REF!</f>
        <v>#REF!</v>
      </c>
      <c r="AU263" t="e">
        <f>#REF!</f>
        <v>#REF!</v>
      </c>
      <c r="AV263" t="e" cm="1">
        <f t="array" ref="AV263">pareto($AT$258:$AT$263,$AU$258:$AU$263,6,"rate",Summary!#REF!,$AQ$257,$AS$257)</f>
        <v>#VALUE!</v>
      </c>
      <c r="AW263" t="e" cm="1">
        <f t="array" ref="AW263">pareto($AT$258:$AT$263,$AU$258:$AU$263,6,"dist",Summary!#REF!,$AQ$257,$AS$257)</f>
        <v>#VALUE!</v>
      </c>
      <c r="AZ263" s="36" t="e">
        <f>#REF!</f>
        <v>#REF!</v>
      </c>
      <c r="BA263" s="36" t="e">
        <f>#REF!</f>
        <v>#REF!</v>
      </c>
      <c r="BB263" t="e" cm="1">
        <f t="array" ref="BB263">pareto($AZ$258:$AZ$263,$BA$258:$BA$263,6,"rate",Summary!#REF!,$BA$257,$BC$257)</f>
        <v>#VALUE!</v>
      </c>
      <c r="BC263" t="e" cm="1">
        <f t="array" ref="BC263">pareto($AZ$258:$AZ$263,$BA$258:$BA$263,6,"dist",Summary!#REF!,$BA$257,$BC$257)</f>
        <v>#VALUE!</v>
      </c>
      <c r="BD263" s="36" t="e">
        <f>#REF!</f>
        <v>#REF!</v>
      </c>
      <c r="BE263" s="36" t="e">
        <f>#REF!</f>
        <v>#REF!</v>
      </c>
      <c r="BF263" t="e" cm="1">
        <f t="array" ref="BF263">pareto($BD$258:$BD$263,$BE$258:$BE$263,6,"rate",Summary!#REF!,$BA$257,$BC$257)</f>
        <v>#VALUE!</v>
      </c>
      <c r="BG263" t="e" cm="1">
        <f t="array" ref="BG263">pareto($BD$258:$BD$263,$BE$258:$BE$263,6,"dist",Summary!#REF!,$BA$257,$BC$257)</f>
        <v>#VALUE!</v>
      </c>
    </row>
    <row r="264" spans="1:59" x14ac:dyDescent="0.25">
      <c r="BD264" s="36"/>
      <c r="BE264" s="36"/>
    </row>
    <row r="265" spans="1:59" x14ac:dyDescent="0.25">
      <c r="BD265" s="36"/>
      <c r="BE265" s="36"/>
    </row>
    <row r="266" spans="1:59" x14ac:dyDescent="0.25">
      <c r="BD266" s="36"/>
      <c r="BE266" s="36"/>
    </row>
    <row r="267" spans="1:59" x14ac:dyDescent="0.25">
      <c r="BD267" s="36"/>
      <c r="BE267" s="36"/>
    </row>
    <row r="268" spans="1:59" x14ac:dyDescent="0.25">
      <c r="BD268" s="36"/>
      <c r="BE268" s="36"/>
    </row>
    <row r="269" spans="1:59" x14ac:dyDescent="0.25">
      <c r="BD269" s="36"/>
      <c r="BE269" s="36"/>
    </row>
    <row r="270" spans="1:59" x14ac:dyDescent="0.25">
      <c r="BD270" s="36"/>
      <c r="BE270" s="36"/>
    </row>
    <row r="271" spans="1:59" x14ac:dyDescent="0.25">
      <c r="BD271" s="36"/>
      <c r="BE271" s="36"/>
    </row>
    <row r="272" spans="1:59" x14ac:dyDescent="0.25">
      <c r="BD272" s="36"/>
      <c r="BE272" s="36"/>
    </row>
    <row r="273" spans="11:59" x14ac:dyDescent="0.25">
      <c r="BD273" s="36"/>
      <c r="BE273" s="36"/>
    </row>
    <row r="274" spans="11:59" x14ac:dyDescent="0.25">
      <c r="BD274" s="36"/>
      <c r="BE274" s="36"/>
    </row>
    <row r="275" spans="11:59" x14ac:dyDescent="0.25">
      <c r="BD275" s="36"/>
      <c r="BE275" s="36"/>
    </row>
    <row r="276" spans="11:59" x14ac:dyDescent="0.25">
      <c r="BD276" s="36"/>
      <c r="BE276" s="36"/>
    </row>
    <row r="277" spans="11:59" x14ac:dyDescent="0.25">
      <c r="BD277" s="36"/>
      <c r="BE277" s="36"/>
    </row>
    <row r="278" spans="11:59" x14ac:dyDescent="0.25">
      <c r="BD278" s="36"/>
      <c r="BE278" s="36"/>
    </row>
    <row r="279" spans="11:59" x14ac:dyDescent="0.25">
      <c r="BD279" s="36"/>
      <c r="BE279" s="36"/>
    </row>
    <row r="280" spans="11:59" x14ac:dyDescent="0.25">
      <c r="BD280" s="36"/>
      <c r="BE280" s="36"/>
    </row>
    <row r="281" spans="11:59" x14ac:dyDescent="0.25">
      <c r="BD281" s="36"/>
      <c r="BE281" s="36"/>
    </row>
    <row r="282" spans="11:59" x14ac:dyDescent="0.25">
      <c r="K282" t="s">
        <v>61</v>
      </c>
      <c r="L282" t="s">
        <v>40</v>
      </c>
      <c r="M282">
        <v>57.383850000000002</v>
      </c>
      <c r="N282" t="s">
        <v>44</v>
      </c>
      <c r="O282">
        <v>20</v>
      </c>
      <c r="U282" t="s">
        <v>67</v>
      </c>
      <c r="V282" t="s">
        <v>40</v>
      </c>
      <c r="W282">
        <v>45.630575</v>
      </c>
      <c r="X282" t="s">
        <v>44</v>
      </c>
      <c r="Y282">
        <v>20</v>
      </c>
      <c r="AE282" t="s">
        <v>72</v>
      </c>
      <c r="AF282" t="s">
        <v>40</v>
      </c>
      <c r="AG282">
        <v>37.037838999999998</v>
      </c>
      <c r="AH282" t="s">
        <v>44</v>
      </c>
      <c r="AI282">
        <v>20</v>
      </c>
      <c r="AO282" t="s">
        <v>76</v>
      </c>
      <c r="AP282" t="s">
        <v>40</v>
      </c>
      <c r="AQ282" s="71">
        <v>62.044910000000002</v>
      </c>
      <c r="AR282" t="s">
        <v>44</v>
      </c>
      <c r="AS282">
        <v>20</v>
      </c>
      <c r="AT282" t="s">
        <v>40</v>
      </c>
      <c r="AU282" s="71"/>
      <c r="AY282" t="s">
        <v>65</v>
      </c>
      <c r="AZ282" t="s">
        <v>40</v>
      </c>
      <c r="BA282" s="71">
        <v>44.789563000000001</v>
      </c>
      <c r="BB282" t="s">
        <v>44</v>
      </c>
      <c r="BC282">
        <v>20</v>
      </c>
    </row>
    <row r="283" spans="11:59" x14ac:dyDescent="0.25">
      <c r="L283" t="e">
        <f>#REF!</f>
        <v>#REF!</v>
      </c>
      <c r="M283" s="36" t="e">
        <f>#REF!</f>
        <v>#REF!</v>
      </c>
      <c r="N283" t="e" cm="1">
        <f t="array" ref="N283">pareto($L$283:$L$288,$M$283:$M$288,1,"rate",Summary!#REF!,$M$282,$O$282)</f>
        <v>#VALUE!</v>
      </c>
      <c r="O283" t="e" cm="1">
        <f t="array" ref="O283">pareto($L$283:$L$288,$M$283:$M$288,1,"dist",Summary!#REF!,$M$282,$O$282)</f>
        <v>#VALUE!</v>
      </c>
      <c r="P283" t="e">
        <f>#REF!</f>
        <v>#REF!</v>
      </c>
      <c r="Q283" t="e">
        <f>#REF!</f>
        <v>#REF!</v>
      </c>
      <c r="R283" t="e" cm="1">
        <f t="array" ref="R283">pareto($P$283:$P$288,$Q$283:$Q$288,1,"rate",Summary!#REF!,$M$282,$O$282)</f>
        <v>#VALUE!</v>
      </c>
      <c r="S283" t="e" cm="1">
        <f t="array" ref="S283">pareto($P$283:$P$288,$Q$283:$Q$288,1,"dist",Summary!#REF!,$M$282,$O$282)</f>
        <v>#VALUE!</v>
      </c>
      <c r="V283" t="e">
        <f>#REF!</f>
        <v>#REF!</v>
      </c>
      <c r="W283" t="e">
        <f>#REF!</f>
        <v>#REF!</v>
      </c>
      <c r="X283" t="e" cm="1">
        <f t="array" ref="X283">pareto($V$283:$V$288,$W$283:$W$288,1,"rate",Summary!#REF!,$W$282,$Y$282)</f>
        <v>#VALUE!</v>
      </c>
      <c r="Y283" t="e" cm="1">
        <f t="array" ref="Y283">pareto($V$283:$V$288,$W$283:$W$288,1,"dist",Summary!#REF!,$W$282,$Y$282)</f>
        <v>#VALUE!</v>
      </c>
      <c r="Z283" t="e">
        <f>#REF!</f>
        <v>#REF!</v>
      </c>
      <c r="AA283" t="e">
        <f>#REF!</f>
        <v>#REF!</v>
      </c>
      <c r="AB283" t="e" cm="1">
        <f t="array" ref="AB283">pareto($Z$283:$Z$288,$AA$283:$AA$288,1,"rate",Summary!#REF!,$W$282,$Y$282)</f>
        <v>#VALUE!</v>
      </c>
      <c r="AC283" t="e" cm="1">
        <f t="array" ref="AC283">pareto($Z$283:$Z$288,$AA$283:$AA$288,1,"dist",Summary!#REF!,$W$282,$Y$282)</f>
        <v>#VALUE!</v>
      </c>
      <c r="AF283" t="e">
        <f>#REF!</f>
        <v>#REF!</v>
      </c>
      <c r="AG283" t="e">
        <f>#REF!</f>
        <v>#REF!</v>
      </c>
      <c r="AH283" t="e" cm="1">
        <f t="array" ref="AH283">pareto($AF$283:$AF$288,$AG$283:$AG$288,1,"rate",Summary!#REF!,$AG$282,$AI$282)</f>
        <v>#VALUE!</v>
      </c>
      <c r="AI283" t="e" cm="1">
        <f t="array" ref="AI283">pareto($AF$283:$AF$288,$AG$283:$AG$288,1,"dist",Summary!#REF!,$AG$282,$AI$282)</f>
        <v>#VALUE!</v>
      </c>
      <c r="AJ283" t="e">
        <f>#REF!</f>
        <v>#REF!</v>
      </c>
      <c r="AK283" t="e">
        <f>#REF!</f>
        <v>#REF!</v>
      </c>
      <c r="AL283" t="e" cm="1">
        <f t="array" ref="AL283">pareto($AJ$283:$AJ$288,$AK$283:$AK$288,1,"rate",Summary!#REF!,$AG$282,$AI$282)</f>
        <v>#VALUE!</v>
      </c>
      <c r="AM283" t="e" cm="1">
        <f t="array" ref="AM283">pareto($AJ$283:$AJ$288,$AK$283:$AK$288,1,"dist",Summary!#REF!,$AG$282,$AI$282)</f>
        <v>#VALUE!</v>
      </c>
      <c r="AP283" t="e">
        <f>#REF!</f>
        <v>#REF!</v>
      </c>
      <c r="AQ283" t="e">
        <f>#REF!</f>
        <v>#REF!</v>
      </c>
      <c r="AR283" t="e" cm="1">
        <f t="array" ref="AR283">pareto($AP$283:$AP$288,$AQ$283:$AQ$288,1,"rate",Summary!#REF!,$AQ$282,$AS$282)</f>
        <v>#VALUE!</v>
      </c>
      <c r="AS283" t="e" cm="1">
        <f t="array" ref="AS283">pareto($AP$283:$AP$288,$AQ$283:$AQ$288,1,"dist",Summary!#REF!,$AQ$282,$AS$282)</f>
        <v>#VALUE!</v>
      </c>
      <c r="AT283" t="e">
        <f>#REF!</f>
        <v>#REF!</v>
      </c>
      <c r="AU283" t="e">
        <f>#REF!</f>
        <v>#REF!</v>
      </c>
      <c r="AV283" t="e" cm="1">
        <f t="array" ref="AV283">pareto($AT$283:$AT$288,$AU$283:$AU$288,1,"rate",Summary!#REF!,$AQ$282,$AS$282)</f>
        <v>#VALUE!</v>
      </c>
      <c r="AW283" t="e" cm="1">
        <f t="array" ref="AW283">pareto($AT$283:$AT$288,$AU$283:$AU$288,1,"dist",Summary!#REF!,$AQ$282,$AS$282)</f>
        <v>#VALUE!</v>
      </c>
      <c r="AZ283" s="36" t="e">
        <f>#REF!</f>
        <v>#REF!</v>
      </c>
      <c r="BA283" s="36" t="e">
        <f>#REF!</f>
        <v>#REF!</v>
      </c>
      <c r="BB283" t="e" cm="1">
        <f t="array" ref="BB283">pareto($AZ$283:$AZ$288,$BA$283:$BA$288,1,"rate",Summary!#REF!,$BA$282,$BC$282)</f>
        <v>#VALUE!</v>
      </c>
      <c r="BC283" t="e" cm="1">
        <f t="array" ref="BC283">pareto($AZ$283:$AZ$288,$BA$283:$BA$288,1,"dist",Summary!#REF!,$BA$282,$BC$282)</f>
        <v>#VALUE!</v>
      </c>
      <c r="BD283" s="36" t="e">
        <f>#REF!</f>
        <v>#REF!</v>
      </c>
      <c r="BE283" s="36" t="e">
        <f>#REF!</f>
        <v>#REF!</v>
      </c>
      <c r="BF283" t="e" cm="1">
        <f t="array" ref="BF283">pareto($BD$283:$BD$288,$BE$283:$BE$288,1,"rate",Summary!#REF!,$BA$282,$BC$282)</f>
        <v>#VALUE!</v>
      </c>
      <c r="BG283" t="e" cm="1">
        <f t="array" ref="BG283">pareto($BD$283:$BD$288,$BE$283:$BE$288,1,"dist",Summary!#REF!,$BA$282,$BC$282)</f>
        <v>#VALUE!</v>
      </c>
    </row>
    <row r="284" spans="11:59" x14ac:dyDescent="0.25">
      <c r="L284" t="e">
        <f>#REF!</f>
        <v>#REF!</v>
      </c>
      <c r="M284" s="36" t="e">
        <f>#REF!</f>
        <v>#REF!</v>
      </c>
      <c r="N284" t="e" cm="1">
        <f t="array" ref="N284">pareto($L$283:$L$288,$M$283:$M$288,2,"rate",Summary!#REF!,$M$282,$O$282)</f>
        <v>#VALUE!</v>
      </c>
      <c r="O284" t="e" cm="1">
        <f t="array" ref="O284">pareto($L$283:$L$288,$M$283:$M$288,2,"dist",Summary!#REF!,$M$282,$O$282)</f>
        <v>#VALUE!</v>
      </c>
      <c r="P284" t="e">
        <f>#REF!</f>
        <v>#REF!</v>
      </c>
      <c r="Q284" t="e">
        <f>#REF!</f>
        <v>#REF!</v>
      </c>
      <c r="R284" t="e" cm="1">
        <f t="array" ref="R284">pareto($P$283:$P$288,$Q$283:$Q$288,2,"rate",Summary!#REF!,$M$282,$O$282)</f>
        <v>#VALUE!</v>
      </c>
      <c r="S284" t="e" cm="1">
        <f t="array" ref="S284">pareto($P$283:$P$288,$Q$283:$Q$288,2,"dist",Summary!#REF!,$M$282,$O$282)</f>
        <v>#VALUE!</v>
      </c>
      <c r="V284" t="e">
        <f>#REF!</f>
        <v>#REF!</v>
      </c>
      <c r="W284" t="e">
        <f>#REF!</f>
        <v>#REF!</v>
      </c>
      <c r="X284" t="e" cm="1">
        <f t="array" ref="X284">pareto($V$283:$V$288,$W$283:$W$288,2,"rate",Summary!#REF!,$W$282,$Y$282)</f>
        <v>#VALUE!</v>
      </c>
      <c r="Y284" t="e" cm="1">
        <f t="array" ref="Y284">pareto($V$283:$V$288,$W$283:$W$288,2,"dist",Summary!#REF!,$W$282,$Y$282)</f>
        <v>#VALUE!</v>
      </c>
      <c r="Z284" t="e">
        <f>#REF!</f>
        <v>#REF!</v>
      </c>
      <c r="AA284" t="e">
        <f>#REF!</f>
        <v>#REF!</v>
      </c>
      <c r="AB284" t="e" cm="1">
        <f t="array" ref="AB284">pareto($Z$283:$Z$288,$AA$283:$AA$288,2,"rate",Summary!#REF!,$W$282,$Y$282)</f>
        <v>#VALUE!</v>
      </c>
      <c r="AC284" t="e" cm="1">
        <f t="array" ref="AC284">pareto($Z$283:$Z$288,$AA$283:$AA$288,2,"dist",Summary!#REF!,$W$282,$Y$282)</f>
        <v>#VALUE!</v>
      </c>
      <c r="AF284" t="e">
        <f>#REF!</f>
        <v>#REF!</v>
      </c>
      <c r="AG284" t="e">
        <f>#REF!</f>
        <v>#REF!</v>
      </c>
      <c r="AH284" t="e" cm="1">
        <f t="array" ref="AH284">pareto($AF$283:$AF$288,$AG$283:$AG$288,2,"rate",Summary!#REF!,$AG$282,$AI$282)</f>
        <v>#VALUE!</v>
      </c>
      <c r="AI284" t="e" cm="1">
        <f t="array" ref="AI284">pareto($AF$283:$AF$288,$AG$283:$AG$288,2,"dist",Summary!#REF!,$AG$282,$AI$282)</f>
        <v>#VALUE!</v>
      </c>
      <c r="AJ284" t="e">
        <f>#REF!</f>
        <v>#REF!</v>
      </c>
      <c r="AK284" t="e">
        <f>#REF!</f>
        <v>#REF!</v>
      </c>
      <c r="AL284" t="e" cm="1">
        <f t="array" ref="AL284">pareto($AJ$283:$AJ$288,$AK$283:$AK$288,2,"rate",Summary!#REF!,$AG$282,$AI$282)</f>
        <v>#VALUE!</v>
      </c>
      <c r="AM284" t="e" cm="1">
        <f t="array" ref="AM284">pareto($AJ$283:$AJ$288,$AK$283:$AK$288,2,"dist",Summary!#REF!,$AG$282,$AI$282)</f>
        <v>#VALUE!</v>
      </c>
      <c r="AP284" t="e">
        <f>#REF!</f>
        <v>#REF!</v>
      </c>
      <c r="AQ284" t="e">
        <f>#REF!</f>
        <v>#REF!</v>
      </c>
      <c r="AR284" t="e" cm="1">
        <f t="array" ref="AR284">pareto($AP$283:$AP$288,$AQ$283:$AQ$288,2,"rate",Summary!#REF!,$AQ$282,$AS$282)</f>
        <v>#VALUE!</v>
      </c>
      <c r="AS284" t="e" cm="1">
        <f t="array" ref="AS284">pareto($AP$283:$AP$288,$AQ$283:$AQ$288,2,"dist",Summary!#REF!,$AQ$282,$AS$282)</f>
        <v>#VALUE!</v>
      </c>
      <c r="AT284" t="e">
        <f>#REF!</f>
        <v>#REF!</v>
      </c>
      <c r="AU284" t="e">
        <f>#REF!</f>
        <v>#REF!</v>
      </c>
      <c r="AV284" t="e" cm="1">
        <f t="array" ref="AV284">pareto($AT$283:$AT$288,$AU$283:$AU$288,2,"rate",Summary!#REF!,$AQ$282,$AS$282)</f>
        <v>#VALUE!</v>
      </c>
      <c r="AW284" t="e" cm="1">
        <f t="array" ref="AW284">pareto($AT$283:$AT$288,$AU$283:$AU$288,2,"dist",Summary!#REF!,$AQ$282,$AS$282)</f>
        <v>#VALUE!</v>
      </c>
      <c r="AZ284" s="36" t="e">
        <f>#REF!</f>
        <v>#REF!</v>
      </c>
      <c r="BA284" s="36" t="e">
        <f>#REF!</f>
        <v>#REF!</v>
      </c>
      <c r="BB284" t="e" cm="1">
        <f t="array" ref="BB284">pareto($AZ$283:$AZ$288,$BA$283:$BA$288,2,"rate",Summary!#REF!,$BA$282,$BC$282)</f>
        <v>#VALUE!</v>
      </c>
      <c r="BC284" t="e" cm="1">
        <f t="array" ref="BC284">pareto($AZ$283:$AZ$288,$BA$283:$BA$288,2,"dist",Summary!#REF!,$BA$282,$BC$282)</f>
        <v>#VALUE!</v>
      </c>
      <c r="BD284" s="36" t="e">
        <f>#REF!</f>
        <v>#REF!</v>
      </c>
      <c r="BE284" s="36" t="e">
        <f>#REF!</f>
        <v>#REF!</v>
      </c>
      <c r="BF284" t="e" cm="1">
        <f t="array" ref="BF284">pareto($BD$283:$BD$288,$BE$283:$BE$288,2,"rate",Summary!#REF!,$BA$282,$BC$282)</f>
        <v>#VALUE!</v>
      </c>
      <c r="BG284" t="e" cm="1">
        <f t="array" ref="BG284">pareto($BD$283:$BD$288,$BE$283:$BE$288,2,"dist",Summary!#REF!,$BA$282,$BC$282)</f>
        <v>#VALUE!</v>
      </c>
    </row>
    <row r="285" spans="11:59" x14ac:dyDescent="0.25">
      <c r="L285" t="e">
        <f>#REF!</f>
        <v>#REF!</v>
      </c>
      <c r="M285" s="36" t="e">
        <f>#REF!</f>
        <v>#REF!</v>
      </c>
      <c r="N285" t="e" cm="1">
        <f t="array" ref="N285">pareto($L$283:$L$288,$M$283:$M$288,3,"rate",Summary!#REF!,$M$282,$O$282)</f>
        <v>#VALUE!</v>
      </c>
      <c r="O285" t="e" cm="1">
        <f t="array" ref="O285">pareto($L$283:$L$288,$M$283:$M$288,3,"dist",Summary!#REF!,$M$282,$O$282)</f>
        <v>#VALUE!</v>
      </c>
      <c r="P285" t="e">
        <f>#REF!</f>
        <v>#REF!</v>
      </c>
      <c r="Q285" t="e">
        <f>#REF!</f>
        <v>#REF!</v>
      </c>
      <c r="R285" t="e" cm="1">
        <f t="array" ref="R285">pareto($P$283:$P$288,$Q$283:$Q$288,3,"rate",Summary!#REF!,$M$282,$O$282)</f>
        <v>#VALUE!</v>
      </c>
      <c r="S285" t="e" cm="1">
        <f t="array" ref="S285">pareto($P$283:$P$288,$Q$283:$Q$288,3,"dist",Summary!#REF!,$M$282,$O$282)</f>
        <v>#VALUE!</v>
      </c>
      <c r="V285" t="e">
        <f>#REF!</f>
        <v>#REF!</v>
      </c>
      <c r="W285" t="e">
        <f>#REF!</f>
        <v>#REF!</v>
      </c>
      <c r="X285" t="e" cm="1">
        <f t="array" ref="X285">pareto($V$283:$V$288,$W$283:$W$288,3,"rate",Summary!#REF!,$W$282,$Y$282)</f>
        <v>#VALUE!</v>
      </c>
      <c r="Y285" t="e" cm="1">
        <f t="array" ref="Y285">pareto($V$283:$V$288,$W$283:$W$288,3,"dist",Summary!#REF!,$W$282,$Y$282)</f>
        <v>#VALUE!</v>
      </c>
      <c r="Z285" t="e">
        <f>#REF!</f>
        <v>#REF!</v>
      </c>
      <c r="AA285" t="e">
        <f>#REF!</f>
        <v>#REF!</v>
      </c>
      <c r="AB285" t="e" cm="1">
        <f t="array" ref="AB285">pareto($Z$283:$Z$288,$AA$283:$AA$288,3,"rate",Summary!#REF!,$W$282,$Y$282)</f>
        <v>#VALUE!</v>
      </c>
      <c r="AC285" t="e" cm="1">
        <f t="array" ref="AC285">pareto($Z$283:$Z$288,$AA$283:$AA$288,3,"dist",Summary!#REF!,$W$282,$Y$282)</f>
        <v>#VALUE!</v>
      </c>
      <c r="AF285" t="e">
        <f>#REF!</f>
        <v>#REF!</v>
      </c>
      <c r="AG285" t="e">
        <f>#REF!</f>
        <v>#REF!</v>
      </c>
      <c r="AH285" t="e" cm="1">
        <f t="array" ref="AH285">pareto($AF$283:$AF$288,$AG$283:$AG$288,3,"rate",Summary!#REF!,$AG$282,$AI$282)</f>
        <v>#VALUE!</v>
      </c>
      <c r="AI285" t="e" cm="1">
        <f t="array" ref="AI285">pareto($AF$283:$AF$288,$AG$283:$AG$288,3,"dist",Summary!#REF!,$AG$282,$AI$282)</f>
        <v>#VALUE!</v>
      </c>
      <c r="AJ285" t="e">
        <f>#REF!</f>
        <v>#REF!</v>
      </c>
      <c r="AK285" t="e">
        <f>#REF!</f>
        <v>#REF!</v>
      </c>
      <c r="AL285" t="e" cm="1">
        <f t="array" ref="AL285">pareto($AJ$283:$AJ$288,$AK$283:$AK$288,3,"rate",Summary!#REF!,$AG$282,$AI$282)</f>
        <v>#VALUE!</v>
      </c>
      <c r="AM285" t="e" cm="1">
        <f t="array" ref="AM285">pareto($AJ$283:$AJ$288,$AK$283:$AK$288,3,"dist",Summary!#REF!,$AG$282,$AI$282)</f>
        <v>#VALUE!</v>
      </c>
      <c r="AP285" t="e">
        <f>#REF!</f>
        <v>#REF!</v>
      </c>
      <c r="AQ285" t="e">
        <f>#REF!</f>
        <v>#REF!</v>
      </c>
      <c r="AR285" t="e" cm="1">
        <f t="array" ref="AR285">pareto($AP$283:$AP$288,$AQ$283:$AQ$288,3,"rate",Summary!#REF!,$AQ$282,$AS$282)</f>
        <v>#VALUE!</v>
      </c>
      <c r="AS285" t="e" cm="1">
        <f t="array" ref="AS285">pareto($AP$283:$AP$288,$AQ$283:$AQ$288,3,"dist",Summary!#REF!,$AQ$282,$AS$282)</f>
        <v>#VALUE!</v>
      </c>
      <c r="AT285" t="e">
        <f>#REF!</f>
        <v>#REF!</v>
      </c>
      <c r="AU285" t="e">
        <f>#REF!</f>
        <v>#REF!</v>
      </c>
      <c r="AV285" t="e" cm="1">
        <f t="array" ref="AV285">pareto($AT$283:$AT$288,$AU$283:$AU$288,3,"rate",Summary!#REF!,$AQ$282,$AS$282)</f>
        <v>#VALUE!</v>
      </c>
      <c r="AW285" t="e" cm="1">
        <f t="array" ref="AW285">pareto($AT$283:$AT$288,$AU$283:$AU$288,3,"dist",Summary!#REF!,$AQ$282,$AS$282)</f>
        <v>#VALUE!</v>
      </c>
      <c r="AZ285" s="36" t="e">
        <f>#REF!</f>
        <v>#REF!</v>
      </c>
      <c r="BA285" s="36" t="e">
        <f>#REF!</f>
        <v>#REF!</v>
      </c>
      <c r="BB285" t="e" cm="1">
        <f t="array" ref="BB285">pareto($AZ$283:$AZ$288,$BA$283:$BA$288,3,"rate",Summary!#REF!,$BA$282,$BC$282)</f>
        <v>#VALUE!</v>
      </c>
      <c r="BC285" t="e" cm="1">
        <f t="array" ref="BC285">pareto($AZ$283:$AZ$288,$BA$283:$BA$288,3,"dist",Summary!#REF!,$BA$282,$BC$282)</f>
        <v>#VALUE!</v>
      </c>
      <c r="BD285" s="36" t="e">
        <f>#REF!</f>
        <v>#REF!</v>
      </c>
      <c r="BE285" s="36" t="e">
        <f>#REF!</f>
        <v>#REF!</v>
      </c>
      <c r="BF285" t="e" cm="1">
        <f t="array" ref="BF285">pareto($BD$283:$BD$288,$BE$283:$BE$288,3,"rate",Summary!#REF!,$BA$282,$BC$282)</f>
        <v>#VALUE!</v>
      </c>
      <c r="BG285" t="e" cm="1">
        <f t="array" ref="BG285">pareto($BD$283:$BD$288,$BE$283:$BE$288,3,"dist",Summary!#REF!,$BA$282,$BC$282)</f>
        <v>#VALUE!</v>
      </c>
    </row>
    <row r="286" spans="11:59" x14ac:dyDescent="0.25">
      <c r="L286" t="e">
        <f>#REF!</f>
        <v>#REF!</v>
      </c>
      <c r="M286" s="36" t="e">
        <f>#REF!</f>
        <v>#REF!</v>
      </c>
      <c r="N286" t="e" cm="1">
        <f t="array" ref="N286">pareto($L$283:$L$288,$M$283:$M$288,4,"rate",Summary!#REF!,$M$282,$O$282)</f>
        <v>#VALUE!</v>
      </c>
      <c r="O286" t="e" cm="1">
        <f t="array" ref="O286">pareto($L$283:$L$288,$M$283:$M$288,4,"dist",Summary!#REF!,$M$282,$O$282)</f>
        <v>#VALUE!</v>
      </c>
      <c r="P286" t="e">
        <f>#REF!</f>
        <v>#REF!</v>
      </c>
      <c r="Q286" t="e">
        <f>#REF!</f>
        <v>#REF!</v>
      </c>
      <c r="R286" t="e" cm="1">
        <f t="array" ref="R286">pareto($P$283:$P$288,$Q$283:$Q$288,4,"rate",Summary!#REF!,$M$282,$O$282)</f>
        <v>#VALUE!</v>
      </c>
      <c r="S286" t="e" cm="1">
        <f t="array" ref="S286">pareto($P$283:$P$288,$Q$283:$Q$288,4,"dist",Summary!#REF!,$M$282,$O$282)</f>
        <v>#VALUE!</v>
      </c>
      <c r="V286" t="e">
        <f>#REF!</f>
        <v>#REF!</v>
      </c>
      <c r="W286" t="e">
        <f>#REF!</f>
        <v>#REF!</v>
      </c>
      <c r="X286" t="e" cm="1">
        <f t="array" ref="X286">pareto($V$283:$V$288,$W$283:$W$288,4,"rate",Summary!#REF!,$W$282,$Y$282)</f>
        <v>#VALUE!</v>
      </c>
      <c r="Y286" t="e" cm="1">
        <f t="array" ref="Y286">pareto($V$283:$V$288,$W$283:$W$288,4,"dist",Summary!#REF!,$W$282,$Y$282)</f>
        <v>#VALUE!</v>
      </c>
      <c r="Z286" t="e">
        <f>#REF!</f>
        <v>#REF!</v>
      </c>
      <c r="AA286" t="e">
        <f>#REF!</f>
        <v>#REF!</v>
      </c>
      <c r="AB286" t="e" cm="1">
        <f t="array" ref="AB286">pareto($Z$283:$Z$288,$AA$283:$AA$288,4,"rate",Summary!#REF!,$W$282,$Y$282)</f>
        <v>#VALUE!</v>
      </c>
      <c r="AC286" t="e" cm="1">
        <f t="array" ref="AC286">pareto($Z$283:$Z$288,$AA$283:$AA$288,4,"dist",Summary!#REF!,$W$282,$Y$282)</f>
        <v>#VALUE!</v>
      </c>
      <c r="AF286" t="e">
        <f>#REF!</f>
        <v>#REF!</v>
      </c>
      <c r="AG286" t="e">
        <f>#REF!</f>
        <v>#REF!</v>
      </c>
      <c r="AH286" t="e" cm="1">
        <f t="array" ref="AH286">pareto($AF$283:$AF$288,$AG$283:$AG$288,4,"rate",Summary!#REF!,$AG$282,$AI$282)</f>
        <v>#VALUE!</v>
      </c>
      <c r="AI286" t="e" cm="1">
        <f t="array" ref="AI286">pareto($AF$283:$AF$288,$AG$283:$AG$288,4,"dist",Summary!#REF!,$AG$282,$AI$282)</f>
        <v>#VALUE!</v>
      </c>
      <c r="AJ286" t="e">
        <f>#REF!</f>
        <v>#REF!</v>
      </c>
      <c r="AK286" t="e">
        <f>#REF!</f>
        <v>#REF!</v>
      </c>
      <c r="AL286" t="e" cm="1">
        <f t="array" ref="AL286">pareto($AJ$283:$AJ$288,$AK$283:$AK$288,4,"rate",Summary!#REF!,$AG$282,$AI$282)</f>
        <v>#VALUE!</v>
      </c>
      <c r="AM286" t="e" cm="1">
        <f t="array" ref="AM286">pareto($AJ$283:$AJ$288,$AK$283:$AK$288,4,"dist",Summary!#REF!,$AG$282,$AI$282)</f>
        <v>#VALUE!</v>
      </c>
      <c r="AP286" t="e">
        <f>#REF!</f>
        <v>#REF!</v>
      </c>
      <c r="AQ286" t="e">
        <f>#REF!</f>
        <v>#REF!</v>
      </c>
      <c r="AR286" t="e" cm="1">
        <f t="array" ref="AR286">pareto($AP$283:$AP$288,$AQ$283:$AQ$288,4,"rate",Summary!#REF!,$AQ$282,$AS$282)</f>
        <v>#VALUE!</v>
      </c>
      <c r="AS286" t="e" cm="1">
        <f t="array" ref="AS286">pareto($AP$283:$AP$288,$AQ$283:$AQ$288,4,"dist",Summary!#REF!,$AQ$282,$AS$282)</f>
        <v>#VALUE!</v>
      </c>
      <c r="AT286" t="e">
        <f>#REF!</f>
        <v>#REF!</v>
      </c>
      <c r="AU286" t="e">
        <f>#REF!</f>
        <v>#REF!</v>
      </c>
      <c r="AV286" t="e" cm="1">
        <f t="array" ref="AV286">pareto($AT$283:$AT$288,$AU$283:$AU$288,4,"rate",Summary!#REF!,$AQ$282,$AS$282)</f>
        <v>#VALUE!</v>
      </c>
      <c r="AW286" t="e" cm="1">
        <f t="array" ref="AW286">pareto($AT$283:$AT$288,$AU$283:$AU$288,4,"dist",Summary!#REF!,$AQ$282,$AS$282)</f>
        <v>#VALUE!</v>
      </c>
      <c r="AZ286" s="36" t="e">
        <f>#REF!</f>
        <v>#REF!</v>
      </c>
      <c r="BA286" s="36" t="e">
        <f>#REF!</f>
        <v>#REF!</v>
      </c>
      <c r="BB286" t="e" cm="1">
        <f t="array" ref="BB286">pareto($AZ$283:$AZ$288,$BA$283:$BA$288,4,"rate",Summary!#REF!,$BA$282,$BC$282)</f>
        <v>#VALUE!</v>
      </c>
      <c r="BC286" t="e" cm="1">
        <f t="array" ref="BC286">pareto($AZ$283:$AZ$288,$BA$283:$BA$288,4,"dist",Summary!#REF!,$BA$282,$BC$282)</f>
        <v>#VALUE!</v>
      </c>
      <c r="BD286" s="36" t="e">
        <f>#REF!</f>
        <v>#REF!</v>
      </c>
      <c r="BE286" s="36" t="e">
        <f>#REF!</f>
        <v>#REF!</v>
      </c>
      <c r="BF286" t="e" cm="1">
        <f t="array" ref="BF286">pareto($BD$283:$BD$288,$BE$283:$BE$288,4,"rate",Summary!#REF!,$BA$282,$BC$282)</f>
        <v>#VALUE!</v>
      </c>
      <c r="BG286" t="e" cm="1">
        <f t="array" ref="BG286">pareto($BD$283:$BD$288,$BE$283:$BE$288,4,"dist",Summary!#REF!,$BA$282,$BC$282)</f>
        <v>#VALUE!</v>
      </c>
    </row>
    <row r="287" spans="11:59" x14ac:dyDescent="0.25">
      <c r="L287" t="e">
        <f>#REF!</f>
        <v>#REF!</v>
      </c>
      <c r="M287" s="36" t="e">
        <f>#REF!</f>
        <v>#REF!</v>
      </c>
      <c r="N287" t="e" cm="1">
        <f t="array" ref="N287">pareto($L$283:$L$288,$M$283:$M$288,5,"rate",Summary!#REF!,$M$282,$O$282)</f>
        <v>#VALUE!</v>
      </c>
      <c r="O287" t="e" cm="1">
        <f t="array" ref="O287">pareto($L$283:$L$288,$M$283:$M$288,5,"dist",Summary!#REF!,$M$282,$O$282)</f>
        <v>#VALUE!</v>
      </c>
      <c r="P287" t="e">
        <f>#REF!</f>
        <v>#REF!</v>
      </c>
      <c r="Q287" t="e">
        <f>#REF!</f>
        <v>#REF!</v>
      </c>
      <c r="R287" t="e" cm="1">
        <f t="array" ref="R287">pareto($P$283:$P$288,$Q$283:$Q$288,5,"rate",Summary!#REF!,$M$282,$O$282)</f>
        <v>#VALUE!</v>
      </c>
      <c r="S287" t="e" cm="1">
        <f t="array" ref="S287">pareto($P$283:$P$288,$Q$283:$Q$288,5,"dist",Summary!#REF!,$M$282,$O$282)</f>
        <v>#VALUE!</v>
      </c>
      <c r="V287" t="e">
        <f>#REF!</f>
        <v>#REF!</v>
      </c>
      <c r="W287" t="e">
        <f>#REF!</f>
        <v>#REF!</v>
      </c>
      <c r="X287" t="e" cm="1">
        <f t="array" ref="X287">pareto($V$283:$V$288,$W$283:$W$288,5,"rate",Summary!#REF!,$W$282,$Y$282)</f>
        <v>#VALUE!</v>
      </c>
      <c r="Y287" t="e" cm="1">
        <f t="array" ref="Y287">pareto($V$283:$V$288,$W$283:$W$288,5,"dist",Summary!#REF!,$W$282,$Y$282)</f>
        <v>#VALUE!</v>
      </c>
      <c r="Z287" t="e">
        <f>#REF!</f>
        <v>#REF!</v>
      </c>
      <c r="AA287" t="e">
        <f>#REF!</f>
        <v>#REF!</v>
      </c>
      <c r="AB287" t="e" cm="1">
        <f t="array" ref="AB287">pareto($Z$283:$Z$288,$AA$283:$AA$288,5,"rate",Summary!#REF!,$W$282,$Y$282)</f>
        <v>#VALUE!</v>
      </c>
      <c r="AC287" t="e" cm="1">
        <f t="array" ref="AC287">pareto($Z$283:$Z$288,$AA$283:$AA$288,5,"dist",Summary!#REF!,$W$282,$Y$282)</f>
        <v>#VALUE!</v>
      </c>
      <c r="AF287" t="e">
        <f>#REF!</f>
        <v>#REF!</v>
      </c>
      <c r="AG287" t="e">
        <f>#REF!</f>
        <v>#REF!</v>
      </c>
      <c r="AH287" t="e" cm="1">
        <f t="array" ref="AH287">pareto($AF$283:$AF$288,$AG$283:$AG$288,5,"rate",Summary!#REF!,$AG$282,$AI$282)</f>
        <v>#VALUE!</v>
      </c>
      <c r="AI287" t="e" cm="1">
        <f t="array" ref="AI287">pareto($AF$283:$AF$288,$AG$283:$AG$288,5,"dist",Summary!#REF!,$AG$282,$AI$282)</f>
        <v>#VALUE!</v>
      </c>
      <c r="AJ287" t="e">
        <f>#REF!</f>
        <v>#REF!</v>
      </c>
      <c r="AK287" t="e">
        <f>#REF!</f>
        <v>#REF!</v>
      </c>
      <c r="AL287" t="e" cm="1">
        <f t="array" ref="AL287">pareto($AJ$283:$AJ$288,$AK$283:$AK$288,5,"rate",Summary!#REF!,$AG$282,$AI$282)</f>
        <v>#VALUE!</v>
      </c>
      <c r="AM287" t="e" cm="1">
        <f t="array" ref="AM287">pareto($AJ$283:$AJ$288,$AK$283:$AK$288,5,"dist",Summary!#REF!,$AG$282,$AI$282)</f>
        <v>#VALUE!</v>
      </c>
      <c r="AP287" t="e">
        <f>#REF!</f>
        <v>#REF!</v>
      </c>
      <c r="AQ287" t="e">
        <f>#REF!</f>
        <v>#REF!</v>
      </c>
      <c r="AR287" t="e" cm="1">
        <f t="array" ref="AR287">pareto($AP$283:$AP$288,$AQ$283:$AQ$288,5,"rate",Summary!#REF!,$AQ$282,$AS$282)</f>
        <v>#VALUE!</v>
      </c>
      <c r="AS287" t="e" cm="1">
        <f t="array" ref="AS287">pareto($AP$283:$AP$288,$AQ$283:$AQ$288,5,"dist",Summary!#REF!,$AQ$282,$AS$282)</f>
        <v>#VALUE!</v>
      </c>
      <c r="AT287" t="e">
        <f>#REF!</f>
        <v>#REF!</v>
      </c>
      <c r="AU287" t="e">
        <f>#REF!</f>
        <v>#REF!</v>
      </c>
      <c r="AV287" t="e" cm="1">
        <f t="array" ref="AV287">pareto($AT$283:$AT$288,$AU$283:$AU$288,5,"rate",Summary!#REF!,$AQ$282,$AS$282)</f>
        <v>#VALUE!</v>
      </c>
      <c r="AW287" t="e" cm="1">
        <f t="array" ref="AW287">pareto($AT$283:$AT$288,$AU$283:$AU$288,5,"dist",Summary!#REF!,$AQ$282,$AS$282)</f>
        <v>#VALUE!</v>
      </c>
      <c r="AZ287" s="36" t="e">
        <f>#REF!</f>
        <v>#REF!</v>
      </c>
      <c r="BA287" s="36" t="e">
        <f>#REF!</f>
        <v>#REF!</v>
      </c>
      <c r="BB287" t="e" cm="1">
        <f t="array" ref="BB287">pareto($AZ$283:$AZ$288,$BA$283:$BA$288,5,"rate",Summary!#REF!,$BA$282,$BC$282)</f>
        <v>#VALUE!</v>
      </c>
      <c r="BC287" t="e" cm="1">
        <f t="array" ref="BC287">pareto($AZ$283:$AZ$288,$BA$283:$BA$288,5,"dist",Summary!#REF!,$BA$282,$BC$282)</f>
        <v>#VALUE!</v>
      </c>
      <c r="BD287" s="36" t="e">
        <f>#REF!</f>
        <v>#REF!</v>
      </c>
      <c r="BE287" s="36" t="e">
        <f>#REF!</f>
        <v>#REF!</v>
      </c>
      <c r="BF287" t="e" cm="1">
        <f t="array" ref="BF287">pareto($BD$283:$BD$288,$BE$283:$BE$288,5,"rate",Summary!#REF!,$BA$282,$BC$282)</f>
        <v>#VALUE!</v>
      </c>
      <c r="BG287" t="e" cm="1">
        <f t="array" ref="BG287">pareto($BD$283:$BD$288,$BE$283:$BE$288,5,"dist",Summary!#REF!,$BA$282,$BC$282)</f>
        <v>#VALUE!</v>
      </c>
    </row>
    <row r="288" spans="11:59" x14ac:dyDescent="0.25">
      <c r="L288" t="e">
        <f>#REF!</f>
        <v>#REF!</v>
      </c>
      <c r="M288" s="36" t="e">
        <f>#REF!</f>
        <v>#REF!</v>
      </c>
      <c r="N288" t="e" cm="1">
        <f t="array" ref="N288">pareto($L$283:$L$288,$M$283:$M$288,6,"rate",Summary!#REF!,$M$282,$O$282)</f>
        <v>#VALUE!</v>
      </c>
      <c r="O288" t="e" cm="1">
        <f t="array" ref="O288">pareto($L$283:$L$288,$M$283:$M$288,6,"dist",Summary!#REF!,$M$282,$O$282)</f>
        <v>#VALUE!</v>
      </c>
      <c r="P288" t="e">
        <f>#REF!</f>
        <v>#REF!</v>
      </c>
      <c r="Q288" t="e">
        <f>#REF!</f>
        <v>#REF!</v>
      </c>
      <c r="R288" t="e" cm="1">
        <f t="array" ref="R288">pareto($P$283:$P$288,$Q$283:$Q$288,6,"rate",Summary!#REF!,$M$282,$O$282)</f>
        <v>#VALUE!</v>
      </c>
      <c r="S288" t="e" cm="1">
        <f t="array" ref="S288">pareto($P$283:$P$288,$Q$283:$Q$288,6,"dist",Summary!#REF!,$M$282,$O$282)</f>
        <v>#VALUE!</v>
      </c>
      <c r="V288" t="e">
        <f>#REF!</f>
        <v>#REF!</v>
      </c>
      <c r="W288" t="e">
        <f>#REF!</f>
        <v>#REF!</v>
      </c>
      <c r="X288" t="e" cm="1">
        <f t="array" ref="X288">pareto($V$283:$V$288,$W$283:$W$288,6,"rate",Summary!#REF!,$W$282,$Y$282)</f>
        <v>#VALUE!</v>
      </c>
      <c r="Y288" t="e" cm="1">
        <f t="array" ref="Y288">pareto($V$283:$V$288,$W$283:$W$288,6,"dist",Summary!#REF!,$W$282,$Y$282)</f>
        <v>#VALUE!</v>
      </c>
      <c r="Z288" t="e">
        <f>#REF!</f>
        <v>#REF!</v>
      </c>
      <c r="AA288" t="e">
        <f>#REF!</f>
        <v>#REF!</v>
      </c>
      <c r="AB288" t="e" cm="1">
        <f t="array" ref="AB288">pareto($Z$283:$Z$288,$AA$283:$AA$288,6,"rate",Summary!#REF!,$W$282,$Y$282)</f>
        <v>#VALUE!</v>
      </c>
      <c r="AC288" t="e" cm="1">
        <f t="array" ref="AC288">pareto($Z$283:$Z$288,$AA$283:$AA$288,6,"dist",Summary!#REF!,$W$282,$Y$282)</f>
        <v>#VALUE!</v>
      </c>
      <c r="AF288" t="e">
        <f>#REF!</f>
        <v>#REF!</v>
      </c>
      <c r="AG288" t="e">
        <f>#REF!</f>
        <v>#REF!</v>
      </c>
      <c r="AH288" t="e" cm="1">
        <f t="array" ref="AH288">pareto($AF$283:$AF$288,$AG$283:$AG$288,6,"rate",Summary!#REF!,$AG$282,$AI$282)</f>
        <v>#VALUE!</v>
      </c>
      <c r="AI288" t="e" cm="1">
        <f t="array" ref="AI288">pareto($AF$283:$AF$288,$AG$283:$AG$288,6,"dist",Summary!#REF!,$AG$282,$AI$282)</f>
        <v>#VALUE!</v>
      </c>
      <c r="AJ288" t="e">
        <f>#REF!</f>
        <v>#REF!</v>
      </c>
      <c r="AK288" t="e">
        <f>#REF!</f>
        <v>#REF!</v>
      </c>
      <c r="AL288" t="e" cm="1">
        <f t="array" ref="AL288">pareto($AJ$283:$AJ$288,$AK$283:$AK$288,6,"rate",Summary!#REF!,$AG$282,$AI$282)</f>
        <v>#VALUE!</v>
      </c>
      <c r="AM288" t="e" cm="1">
        <f t="array" ref="AM288">pareto($AJ$283:$AJ$288,$AK$283:$AK$288,6,"dist",Summary!#REF!,$AG$282,$AI$282)</f>
        <v>#VALUE!</v>
      </c>
      <c r="AP288" t="e">
        <f>#REF!</f>
        <v>#REF!</v>
      </c>
      <c r="AQ288" t="e">
        <f>#REF!</f>
        <v>#REF!</v>
      </c>
      <c r="AR288" t="e" cm="1">
        <f t="array" ref="AR288">pareto($AP$283:$AP$288,$AQ$283:$AQ$288,6,"rate",Summary!#REF!,$AQ$282,$AS$282)</f>
        <v>#VALUE!</v>
      </c>
      <c r="AS288" t="e" cm="1">
        <f t="array" ref="AS288">pareto($AP$283:$AP$288,$AQ$283:$AQ$288,6,"dist",Summary!#REF!,$AQ$282,$AS$282)</f>
        <v>#VALUE!</v>
      </c>
      <c r="AT288" t="e">
        <f>#REF!</f>
        <v>#REF!</v>
      </c>
      <c r="AU288" t="e">
        <f>#REF!</f>
        <v>#REF!</v>
      </c>
      <c r="AV288" t="e" cm="1">
        <f t="array" ref="AV288">pareto($AT$283:$AT$288,$AU$283:$AU$288,6,"rate",Summary!#REF!,$AQ$282,$AS$282)</f>
        <v>#VALUE!</v>
      </c>
      <c r="AW288" t="e" cm="1">
        <f t="array" ref="AW288">pareto($AT$283:$AT$288,$AU$283:$AU$288,6,"dist",Summary!#REF!,$AQ$282,$AS$282)</f>
        <v>#VALUE!</v>
      </c>
      <c r="AZ288" s="36" t="e">
        <f>#REF!</f>
        <v>#REF!</v>
      </c>
      <c r="BA288" s="36" t="e">
        <f>#REF!</f>
        <v>#REF!</v>
      </c>
      <c r="BB288" t="e" cm="1">
        <f t="array" ref="BB288">pareto($AZ$283:$AZ$288,$BA$283:$BA$288,6,"rate",Summary!#REF!,$BA$282,$BC$282)</f>
        <v>#VALUE!</v>
      </c>
      <c r="BC288" t="e" cm="1">
        <f t="array" ref="BC288">pareto($AZ$283:$AZ$288,$BA$283:$BA$288,6,"dist",Summary!#REF!,$BA$282,$BC$282)</f>
        <v>#VALUE!</v>
      </c>
      <c r="BD288" s="36" t="e">
        <f>#REF!</f>
        <v>#REF!</v>
      </c>
      <c r="BE288" s="36" t="e">
        <f>#REF!</f>
        <v>#REF!</v>
      </c>
      <c r="BF288" t="e" cm="1">
        <f t="array" ref="BF288">pareto($BD$283:$BD$288,$BE$283:$BE$288,6,"rate",Summary!#REF!,$BA$282,$BC$282)</f>
        <v>#VALUE!</v>
      </c>
      <c r="BG288" t="e" cm="1">
        <f t="array" ref="BG288">pareto($BD$283:$BD$288,$BE$283:$BE$288,6,"dist",Summary!#REF!,$BA$282,$BC$282)</f>
        <v>#VALUE!</v>
      </c>
    </row>
    <row r="289" spans="56:57" x14ac:dyDescent="0.25">
      <c r="BD289" s="36"/>
      <c r="BE289" s="36"/>
    </row>
    <row r="290" spans="56:57" x14ac:dyDescent="0.25">
      <c r="BD290" s="36"/>
      <c r="BE290" s="36"/>
    </row>
    <row r="291" spans="56:57" x14ac:dyDescent="0.25">
      <c r="BD291" s="36"/>
      <c r="BE291" s="36"/>
    </row>
    <row r="292" spans="56:57" x14ac:dyDescent="0.25">
      <c r="BD292" s="36"/>
      <c r="BE292" s="36"/>
    </row>
    <row r="293" spans="56:57" x14ac:dyDescent="0.25">
      <c r="BD293" s="36"/>
      <c r="BE293" s="36"/>
    </row>
    <row r="294" spans="56:57" x14ac:dyDescent="0.25">
      <c r="BD294" s="36"/>
      <c r="BE294" s="36"/>
    </row>
    <row r="295" spans="56:57" x14ac:dyDescent="0.25">
      <c r="BD295" s="36"/>
      <c r="BE295" s="36"/>
    </row>
    <row r="296" spans="56:57" x14ac:dyDescent="0.25">
      <c r="BD296" s="36"/>
      <c r="BE296" s="36"/>
    </row>
    <row r="297" spans="56:57" x14ac:dyDescent="0.25">
      <c r="BD297" s="36"/>
      <c r="BE297" s="36"/>
    </row>
    <row r="298" spans="56:57" x14ac:dyDescent="0.25">
      <c r="BD298" s="36"/>
      <c r="BE298" s="36"/>
    </row>
    <row r="299" spans="56:57" x14ac:dyDescent="0.25">
      <c r="BD299" s="36"/>
      <c r="BE299" s="36"/>
    </row>
    <row r="300" spans="56:57" x14ac:dyDescent="0.25">
      <c r="BD300" s="36"/>
      <c r="BE300" s="36"/>
    </row>
    <row r="301" spans="56:57" x14ac:dyDescent="0.25">
      <c r="BD301" s="36"/>
      <c r="BE301" s="36"/>
    </row>
    <row r="302" spans="56:57" x14ac:dyDescent="0.25">
      <c r="BD302" s="36"/>
      <c r="BE302" s="36"/>
    </row>
    <row r="303" spans="56:57" x14ac:dyDescent="0.25">
      <c r="BD303" s="36"/>
      <c r="BE303" s="36"/>
    </row>
    <row r="304" spans="56:57" x14ac:dyDescent="0.25">
      <c r="BD304" s="36"/>
      <c r="BE304" s="36"/>
    </row>
    <row r="305" spans="11:59" x14ac:dyDescent="0.25">
      <c r="BD305" s="36"/>
      <c r="BE305" s="36"/>
    </row>
    <row r="306" spans="11:59" x14ac:dyDescent="0.25">
      <c r="BD306" s="36"/>
      <c r="BE306" s="36"/>
    </row>
    <row r="307" spans="11:59" x14ac:dyDescent="0.25">
      <c r="K307" t="s">
        <v>62</v>
      </c>
      <c r="L307" t="s">
        <v>40</v>
      </c>
      <c r="M307">
        <v>70.148171000000005</v>
      </c>
      <c r="N307" t="s">
        <v>44</v>
      </c>
      <c r="O307">
        <v>20</v>
      </c>
      <c r="U307" t="s">
        <v>68</v>
      </c>
      <c r="V307" t="s">
        <v>40</v>
      </c>
      <c r="W307">
        <v>70.180002000000002</v>
      </c>
      <c r="X307" t="s">
        <v>44</v>
      </c>
      <c r="Y307">
        <v>20</v>
      </c>
      <c r="AE307" t="s">
        <v>73</v>
      </c>
      <c r="AF307" t="s">
        <v>40</v>
      </c>
      <c r="AG307">
        <v>66.903647000000007</v>
      </c>
      <c r="AH307" t="s">
        <v>44</v>
      </c>
      <c r="AI307">
        <v>20</v>
      </c>
      <c r="AO307" t="s">
        <v>77</v>
      </c>
      <c r="AP307" t="s">
        <v>40</v>
      </c>
      <c r="AQ307" s="71">
        <v>20.888005</v>
      </c>
      <c r="AR307" t="s">
        <v>44</v>
      </c>
      <c r="AS307">
        <v>20</v>
      </c>
      <c r="AT307" t="s">
        <v>40</v>
      </c>
      <c r="AU307" s="71"/>
      <c r="AY307" t="s">
        <v>70</v>
      </c>
      <c r="AZ307" t="s">
        <v>40</v>
      </c>
      <c r="BA307" s="71">
        <v>40.451067000000002</v>
      </c>
      <c r="BB307" t="s">
        <v>44</v>
      </c>
      <c r="BC307">
        <v>20</v>
      </c>
    </row>
    <row r="308" spans="11:59" x14ac:dyDescent="0.25">
      <c r="L308" t="e">
        <f>#REF!</f>
        <v>#REF!</v>
      </c>
      <c r="M308" s="36" t="e">
        <f>#REF!</f>
        <v>#REF!</v>
      </c>
      <c r="N308" t="e" cm="1">
        <f t="array" ref="N308">pareto($L$308:$L$313,$M$308:$M$313,1,"rate",Summary!#REF!,$M$307,$O$307)</f>
        <v>#VALUE!</v>
      </c>
      <c r="O308" t="e" cm="1">
        <f t="array" ref="O308">pareto($L$308:$L$313,$M$308:$M$313,1,"dist",Summary!#REF!,$M$307,$O$307)</f>
        <v>#VALUE!</v>
      </c>
      <c r="P308" t="e">
        <f>#REF!</f>
        <v>#REF!</v>
      </c>
      <c r="Q308" t="e">
        <f>#REF!</f>
        <v>#REF!</v>
      </c>
      <c r="R308" t="e" cm="1">
        <f t="array" ref="R308">pareto($P$308:$P$313,$Q$308:$Q$313,1,"rate",Summary!#REF!,$M$307,$O$307)</f>
        <v>#VALUE!</v>
      </c>
      <c r="S308" t="e" cm="1">
        <f t="array" ref="S308">pareto($P$308:$P$313,$Q$308:$Q$313,1,"dist",Summary!#REF!,$M$307,$O$307)</f>
        <v>#VALUE!</v>
      </c>
      <c r="V308" t="e">
        <f>#REF!</f>
        <v>#REF!</v>
      </c>
      <c r="W308" t="e">
        <f>#REF!</f>
        <v>#REF!</v>
      </c>
      <c r="X308" t="e" cm="1">
        <f t="array" ref="X308">pareto($V$308:$V$313,$W$308:$W$313,1,"rate",Summary!#REF!,$W$307,$Y$307)</f>
        <v>#VALUE!</v>
      </c>
      <c r="Y308" t="e" cm="1">
        <f t="array" ref="Y308">pareto($V$308:$V$313,$W$308:$W$313,1,"dist",Summary!#REF!,$W$307,$Y$307)</f>
        <v>#VALUE!</v>
      </c>
      <c r="Z308" t="e">
        <f>#REF!</f>
        <v>#REF!</v>
      </c>
      <c r="AA308" t="e">
        <f>#REF!</f>
        <v>#REF!</v>
      </c>
      <c r="AB308" t="e" cm="1">
        <f t="array" ref="AB308">pareto($Z$308:$Z$313,$AA$308:$AA$313,1,"rate",Summary!#REF!,$W$307,$Y$307)</f>
        <v>#VALUE!</v>
      </c>
      <c r="AC308" t="e" cm="1">
        <f t="array" ref="AC308">pareto($Z$308:$Z$313,$AA$308:$AA$313,1,"dist",Summary!#REF!,$W$307,$Y$307)</f>
        <v>#VALUE!</v>
      </c>
      <c r="AF308" t="e">
        <f>#REF!</f>
        <v>#REF!</v>
      </c>
      <c r="AG308" t="e">
        <f>#REF!</f>
        <v>#REF!</v>
      </c>
      <c r="AH308" t="e" cm="1">
        <f t="array" ref="AH308">pareto($AF$308:$AF$313,$AG$308:$AG$313,1,"rate",Summary!#REF!,$AG$307,$AI$307)</f>
        <v>#VALUE!</v>
      </c>
      <c r="AI308" t="e" cm="1">
        <f t="array" ref="AI308">pareto($AF$308:$AF$313,$AG$308:$AG$313,1,"dist",Summary!#REF!,$AG$307,$AI$307)</f>
        <v>#VALUE!</v>
      </c>
      <c r="AJ308" t="e">
        <f>#REF!</f>
        <v>#REF!</v>
      </c>
      <c r="AK308" t="e">
        <f>#REF!</f>
        <v>#REF!</v>
      </c>
      <c r="AL308" t="e" cm="1">
        <f t="array" ref="AL308">pareto($AJ$308:$AJ$313,$AK$308:$AK$313,1,"rate",Summary!#REF!,$AG$307,$AI$307)</f>
        <v>#VALUE!</v>
      </c>
      <c r="AM308" t="e" cm="1">
        <f t="array" ref="AM308">pareto($AJ$308:$AJ$313,$AK$308:$AK$313,1,"dist",Summary!#REF!,$AG$307,$AI$307)</f>
        <v>#VALUE!</v>
      </c>
      <c r="AP308" t="e">
        <f>#REF!</f>
        <v>#REF!</v>
      </c>
      <c r="AQ308" t="e">
        <f>#REF!</f>
        <v>#REF!</v>
      </c>
      <c r="AR308" t="e" cm="1">
        <f t="array" ref="AR308">pareto($AP$308:$AP$313,$AQ$308:$AQ$313,1,"rate",Summary!#REF!,$AQ$307,$AS$307)</f>
        <v>#VALUE!</v>
      </c>
      <c r="AS308" t="e" cm="1">
        <f t="array" ref="AS308">pareto($AP$308:$AP$313,$AQ$308:$AQ$313,1,"dist",Summary!#REF!,$AQ$307,$AS$307)</f>
        <v>#VALUE!</v>
      </c>
      <c r="AT308" t="e">
        <f>#REF!</f>
        <v>#REF!</v>
      </c>
      <c r="AU308" t="e">
        <f>#REF!</f>
        <v>#REF!</v>
      </c>
      <c r="AV308" t="e" cm="1">
        <f t="array" ref="AV308">pareto($AT$308:$AT$313,$AU$308:$AU$313,1,"rate",Summary!#REF!,$AQ$307,$AS$307)</f>
        <v>#VALUE!</v>
      </c>
      <c r="AW308" t="e" cm="1">
        <f t="array" ref="AW308">pareto($AT$308:$AT$313,$AU$308:$AU$313,1,"dist",Summary!#REF!,$AQ$307,$AS$307)</f>
        <v>#VALUE!</v>
      </c>
      <c r="AZ308" s="36" t="e">
        <f>#REF!</f>
        <v>#REF!</v>
      </c>
      <c r="BA308" s="36" t="e">
        <f>#REF!</f>
        <v>#REF!</v>
      </c>
      <c r="BB308" t="e" cm="1">
        <f t="array" ref="BB308">pareto($AZ$308:$AZ$313,$BA$308:$BA$313,1,"rate",Summary!#REF!,$BA$307,$BC$307)</f>
        <v>#VALUE!</v>
      </c>
      <c r="BC308" t="e" cm="1">
        <f t="array" ref="BC308">pareto($AZ$308:$AZ$313,$BA$308:$BA$313,1,"dist",Summary!#REF!,$BA$307,$BC$307)</f>
        <v>#VALUE!</v>
      </c>
      <c r="BD308" s="36" t="e">
        <f>#REF!</f>
        <v>#REF!</v>
      </c>
      <c r="BE308" s="36" t="e">
        <f>#REF!</f>
        <v>#REF!</v>
      </c>
      <c r="BF308" t="e" cm="1">
        <f t="array" ref="BF308">pareto($BD$308:$BD$313,$BE$308:$BE$313,1,"rate",Summary!#REF!,$BA$307,$BC$307)</f>
        <v>#VALUE!</v>
      </c>
      <c r="BG308" t="e" cm="1">
        <f t="array" ref="BG308">pareto($BD$308:$BD$313,$BE$308:$BE$313,1,"dist",Summary!#REF!,$BA$307,$BC$307)</f>
        <v>#VALUE!</v>
      </c>
    </row>
    <row r="309" spans="11:59" x14ac:dyDescent="0.25">
      <c r="L309" t="e">
        <f>#REF!</f>
        <v>#REF!</v>
      </c>
      <c r="M309" s="36" t="e">
        <f>#REF!</f>
        <v>#REF!</v>
      </c>
      <c r="N309" t="e" cm="1">
        <f t="array" ref="N309">pareto($L$308:$L$313,$M$308:$M$313,2,"rate",Summary!#REF!,$M$307,$O$307)</f>
        <v>#VALUE!</v>
      </c>
      <c r="O309" t="e" cm="1">
        <f t="array" ref="O309">pareto($L$308:$L$313,$M$308:$M$313,2,"dist",Summary!#REF!,$M$307,$O$307)</f>
        <v>#VALUE!</v>
      </c>
      <c r="P309" t="e">
        <f>#REF!</f>
        <v>#REF!</v>
      </c>
      <c r="Q309" t="e">
        <f>#REF!</f>
        <v>#REF!</v>
      </c>
      <c r="R309" t="e" cm="1">
        <f t="array" ref="R309">pareto($P$308:$P$313,$Q$308:$Q$313,2,"rate",Summary!#REF!,$M$307,$O$307)</f>
        <v>#VALUE!</v>
      </c>
      <c r="S309" t="e" cm="1">
        <f t="array" ref="S309">pareto($P$308:$P$313,$Q$308:$Q$313,2,"dist",Summary!#REF!,$M$307,$O$307)</f>
        <v>#VALUE!</v>
      </c>
      <c r="V309" t="e">
        <f>#REF!</f>
        <v>#REF!</v>
      </c>
      <c r="W309" t="e">
        <f>#REF!</f>
        <v>#REF!</v>
      </c>
      <c r="X309" t="e" cm="1">
        <f t="array" ref="X309">pareto($V$308:$V$313,$W$308:$W$313,2,"rate",Summary!#REF!,$W$307,$Y$307)</f>
        <v>#VALUE!</v>
      </c>
      <c r="Y309" t="e" cm="1">
        <f t="array" ref="Y309">pareto($V$308:$V$313,$W$308:$W$313,2,"dist",Summary!#REF!,$W$307,$Y$307)</f>
        <v>#VALUE!</v>
      </c>
      <c r="Z309" t="e">
        <f>#REF!</f>
        <v>#REF!</v>
      </c>
      <c r="AA309" t="e">
        <f>#REF!</f>
        <v>#REF!</v>
      </c>
      <c r="AB309" t="e" cm="1">
        <f t="array" ref="AB309">pareto($Z$308:$Z$313,$AA$308:$AA$313,2,"rate",Summary!#REF!,$W$307,$Y$307)</f>
        <v>#VALUE!</v>
      </c>
      <c r="AC309" t="e" cm="1">
        <f t="array" ref="AC309">pareto($Z$308:$Z$313,$AA$308:$AA$313,2,"dist",Summary!#REF!,$W$307,$Y$307)</f>
        <v>#VALUE!</v>
      </c>
      <c r="AF309" t="e">
        <f>#REF!</f>
        <v>#REF!</v>
      </c>
      <c r="AG309" t="e">
        <f>#REF!</f>
        <v>#REF!</v>
      </c>
      <c r="AH309" t="e" cm="1">
        <f t="array" ref="AH309">pareto($AF$308:$AF$313,$AG$308:$AG$313,2,"rate",Summary!#REF!,$AG$307,$AI$307)</f>
        <v>#VALUE!</v>
      </c>
      <c r="AI309" t="e" cm="1">
        <f t="array" ref="AI309">pareto($AF$308:$AF$313,$AG$308:$AG$313,2,"dist",Summary!#REF!,$AG$307,$AI$307)</f>
        <v>#VALUE!</v>
      </c>
      <c r="AJ309" t="e">
        <f>#REF!</f>
        <v>#REF!</v>
      </c>
      <c r="AK309" t="e">
        <f>#REF!</f>
        <v>#REF!</v>
      </c>
      <c r="AL309" t="e" cm="1">
        <f t="array" ref="AL309">pareto($AJ$308:$AJ$313,$AK$308:$AK$313,2,"rate",Summary!#REF!,$AG$307,$AI$307)</f>
        <v>#VALUE!</v>
      </c>
      <c r="AM309" t="e" cm="1">
        <f t="array" ref="AM309">pareto($AJ$308:$AJ$313,$AK$308:$AK$313,2,"dist",Summary!#REF!,$AG$307,$AI$307)</f>
        <v>#VALUE!</v>
      </c>
      <c r="AP309" t="e">
        <f>#REF!</f>
        <v>#REF!</v>
      </c>
      <c r="AQ309" t="e">
        <f>#REF!</f>
        <v>#REF!</v>
      </c>
      <c r="AR309" t="e" cm="1">
        <f t="array" ref="AR309">pareto($AP$308:$AP$313,$AQ$308:$AQ$313,2,"rate",Summary!#REF!,$AQ$307,$AS$307)</f>
        <v>#VALUE!</v>
      </c>
      <c r="AS309" t="e" cm="1">
        <f t="array" ref="AS309">pareto($AP$308:$AP$313,$AQ$308:$AQ$313,2,"dist",Summary!#REF!,$AQ$307,$AS$307)</f>
        <v>#VALUE!</v>
      </c>
      <c r="AT309" t="e">
        <f>#REF!</f>
        <v>#REF!</v>
      </c>
      <c r="AU309" t="e">
        <f>#REF!</f>
        <v>#REF!</v>
      </c>
      <c r="AV309" t="e" cm="1">
        <f t="array" ref="AV309">pareto($AT$308:$AT$313,$AU$308:$AU$313,2,"rate",Summary!#REF!,$AQ$307,$AS$307)</f>
        <v>#VALUE!</v>
      </c>
      <c r="AW309" t="e" cm="1">
        <f t="array" ref="AW309">pareto($AT$308:$AT$313,$AU$308:$AU$313,2,"dist",Summary!#REF!,$AQ$307,$AS$307)</f>
        <v>#VALUE!</v>
      </c>
      <c r="AZ309" s="36" t="e">
        <f>#REF!</f>
        <v>#REF!</v>
      </c>
      <c r="BA309" s="36" t="e">
        <f>#REF!</f>
        <v>#REF!</v>
      </c>
      <c r="BB309" t="e" cm="1">
        <f t="array" ref="BB309">pareto($AZ$308:$AZ$313,$BA$308:$BA$313,2,"rate",Summary!#REF!,$BA$307,$BC$307)</f>
        <v>#VALUE!</v>
      </c>
      <c r="BC309" t="e" cm="1">
        <f t="array" ref="BC309">pareto($AZ$308:$AZ$313,$BA$308:$BA$313,2,"dist",Summary!#REF!,$BA$307,$BC$307)</f>
        <v>#VALUE!</v>
      </c>
      <c r="BD309" s="36" t="e">
        <f>#REF!</f>
        <v>#REF!</v>
      </c>
      <c r="BE309" s="36" t="e">
        <f>#REF!</f>
        <v>#REF!</v>
      </c>
      <c r="BF309" t="e" cm="1">
        <f t="array" ref="BF309">pareto($BD$308:$BD$313,$BE$308:$BE$313,2,"rate",Summary!#REF!,$BA$307,$BC$307)</f>
        <v>#VALUE!</v>
      </c>
      <c r="BG309" t="e" cm="1">
        <f t="array" ref="BG309">pareto($BD$308:$BD$313,$BE$308:$BE$313,2,"dist",Summary!#REF!,$BA$307,$BC$307)</f>
        <v>#VALUE!</v>
      </c>
    </row>
    <row r="310" spans="11:59" x14ac:dyDescent="0.25">
      <c r="L310" t="e">
        <f>#REF!</f>
        <v>#REF!</v>
      </c>
      <c r="M310" s="36" t="e">
        <f>#REF!</f>
        <v>#REF!</v>
      </c>
      <c r="N310" t="e" cm="1">
        <f t="array" ref="N310">pareto($L$308:$L$313,$M$308:$M$313,3,"rate",Summary!#REF!,$M$307,$O$307)</f>
        <v>#VALUE!</v>
      </c>
      <c r="O310" t="e" cm="1">
        <f t="array" ref="O310">pareto($L$308:$L$313,$M$308:$M$313,3,"dist",Summary!#REF!,$M$307,$O$307)</f>
        <v>#VALUE!</v>
      </c>
      <c r="P310" t="e">
        <f>#REF!</f>
        <v>#REF!</v>
      </c>
      <c r="Q310" t="e">
        <f>#REF!</f>
        <v>#REF!</v>
      </c>
      <c r="R310" t="e" cm="1">
        <f t="array" ref="R310">pareto($P$308:$P$313,$Q$308:$Q$313,3,"rate",Summary!#REF!,$M$307,$O$307)</f>
        <v>#VALUE!</v>
      </c>
      <c r="S310" t="e" cm="1">
        <f t="array" ref="S310">pareto($P$308:$P$313,$Q$308:$Q$313,3,"dist",Summary!#REF!,$M$307,$O$307)</f>
        <v>#VALUE!</v>
      </c>
      <c r="V310" t="e">
        <f>#REF!</f>
        <v>#REF!</v>
      </c>
      <c r="W310" t="e">
        <f>#REF!</f>
        <v>#REF!</v>
      </c>
      <c r="X310" t="e" cm="1">
        <f t="array" ref="X310">pareto($V$308:$V$313,$W$308:$W$313,3,"rate",Summary!#REF!,$W$307,$Y$307)</f>
        <v>#VALUE!</v>
      </c>
      <c r="Y310" t="e" cm="1">
        <f t="array" ref="Y310">pareto($V$308:$V$313,$W$308:$W$313,3,"dist",Summary!#REF!,$W$307,$Y$307)</f>
        <v>#VALUE!</v>
      </c>
      <c r="Z310" t="e">
        <f>#REF!</f>
        <v>#REF!</v>
      </c>
      <c r="AA310" t="e">
        <f>#REF!</f>
        <v>#REF!</v>
      </c>
      <c r="AB310" t="e" cm="1">
        <f t="array" ref="AB310">pareto($Z$308:$Z$313,$AA$308:$AA$313,3,"rate",Summary!#REF!,$W$307,$Y$307)</f>
        <v>#VALUE!</v>
      </c>
      <c r="AC310" t="e" cm="1">
        <f t="array" ref="AC310">pareto($Z$308:$Z$313,$AA$308:$AA$313,3,"dist",Summary!#REF!,$W$307,$Y$307)</f>
        <v>#VALUE!</v>
      </c>
      <c r="AF310" t="e">
        <f>#REF!</f>
        <v>#REF!</v>
      </c>
      <c r="AG310" t="e">
        <f>#REF!</f>
        <v>#REF!</v>
      </c>
      <c r="AH310" t="e" cm="1">
        <f t="array" ref="AH310">pareto($AF$308:$AF$313,$AG$308:$AG$313,3,"rate",Summary!#REF!,$AG$307,$AI$307)</f>
        <v>#VALUE!</v>
      </c>
      <c r="AI310" t="e" cm="1">
        <f t="array" ref="AI310">pareto($AF$308:$AF$313,$AG$308:$AG$313,3,"dist",Summary!#REF!,$AG$307,$AI$307)</f>
        <v>#VALUE!</v>
      </c>
      <c r="AJ310" t="e">
        <f>#REF!</f>
        <v>#REF!</v>
      </c>
      <c r="AK310" t="e">
        <f>#REF!</f>
        <v>#REF!</v>
      </c>
      <c r="AL310" t="e" cm="1">
        <f t="array" ref="AL310">pareto($AJ$308:$AJ$313,$AK$308:$AK$313,3,"rate",Summary!#REF!,$AG$307,$AI$307)</f>
        <v>#VALUE!</v>
      </c>
      <c r="AM310" t="e" cm="1">
        <f t="array" ref="AM310">pareto($AJ$308:$AJ$313,$AK$308:$AK$313,3,"dist",Summary!#REF!,$AG$307,$AI$307)</f>
        <v>#VALUE!</v>
      </c>
      <c r="AP310" t="e">
        <f>#REF!</f>
        <v>#REF!</v>
      </c>
      <c r="AQ310" t="e">
        <f>#REF!</f>
        <v>#REF!</v>
      </c>
      <c r="AR310" t="e" cm="1">
        <f t="array" ref="AR310">pareto($AP$308:$AP$313,$AQ$308:$AQ$313,3,"rate",Summary!#REF!,$AQ$307,$AS$307)</f>
        <v>#VALUE!</v>
      </c>
      <c r="AS310" t="e" cm="1">
        <f t="array" ref="AS310">pareto($AP$308:$AP$313,$AQ$308:$AQ$313,3,"dist",Summary!#REF!,$AQ$307,$AS$307)</f>
        <v>#VALUE!</v>
      </c>
      <c r="AT310" t="e">
        <f>#REF!</f>
        <v>#REF!</v>
      </c>
      <c r="AU310" t="e">
        <f>#REF!</f>
        <v>#REF!</v>
      </c>
      <c r="AV310" t="e" cm="1">
        <f t="array" ref="AV310">pareto($AT$308:$AT$313,$AU$308:$AU$313,3,"rate",Summary!#REF!,$AQ$307,$AS$307)</f>
        <v>#VALUE!</v>
      </c>
      <c r="AW310" t="e" cm="1">
        <f t="array" ref="AW310">pareto($AT$308:$AT$313,$AU$308:$AU$313,3,"dist",Summary!#REF!,$AQ$307,$AS$307)</f>
        <v>#VALUE!</v>
      </c>
      <c r="AZ310" s="36" t="e">
        <f>#REF!</f>
        <v>#REF!</v>
      </c>
      <c r="BA310" s="36" t="e">
        <f>#REF!</f>
        <v>#REF!</v>
      </c>
      <c r="BB310" t="e" cm="1">
        <f t="array" ref="BB310">pareto($AZ$308:$AZ$313,$BA$308:$BA$313,3,"rate",Summary!#REF!,$BA$307,$BC$307)</f>
        <v>#VALUE!</v>
      </c>
      <c r="BC310" t="e" cm="1">
        <f t="array" ref="BC310">pareto($AZ$308:$AZ$313,$BA$308:$BA$313,3,"dist",Summary!#REF!,$BA$307,$BC$307)</f>
        <v>#VALUE!</v>
      </c>
      <c r="BD310" s="36" t="e">
        <f>#REF!</f>
        <v>#REF!</v>
      </c>
      <c r="BE310" s="36" t="e">
        <f>#REF!</f>
        <v>#REF!</v>
      </c>
      <c r="BF310" t="e" cm="1">
        <f t="array" ref="BF310">pareto($BD$308:$BD$313,$BE$308:$BE$313,3,"rate",Summary!#REF!,$BA$307,$BC$307)</f>
        <v>#VALUE!</v>
      </c>
      <c r="BG310" t="e" cm="1">
        <f t="array" ref="BG310">pareto($BD$308:$BD$313,$BE$308:$BE$313,3,"dist",Summary!#REF!,$BA$307,$BC$307)</f>
        <v>#VALUE!</v>
      </c>
    </row>
    <row r="311" spans="11:59" x14ac:dyDescent="0.25">
      <c r="L311" t="e">
        <f>#REF!</f>
        <v>#REF!</v>
      </c>
      <c r="M311" s="36" t="e">
        <f>#REF!</f>
        <v>#REF!</v>
      </c>
      <c r="N311" t="e" cm="1">
        <f t="array" ref="N311">pareto($L$308:$L$313,$M$308:$M$313,4,"rate",Summary!#REF!,$M$307,$O$307)</f>
        <v>#VALUE!</v>
      </c>
      <c r="O311" t="e" cm="1">
        <f t="array" ref="O311">pareto($L$308:$L$313,$M$308:$M$313,4,"dist",Summary!#REF!,$M$307,$O$307)</f>
        <v>#VALUE!</v>
      </c>
      <c r="P311" t="e">
        <f>#REF!</f>
        <v>#REF!</v>
      </c>
      <c r="Q311" t="e">
        <f>#REF!</f>
        <v>#REF!</v>
      </c>
      <c r="R311" t="e" cm="1">
        <f t="array" ref="R311">pareto($P$308:$P$313,$Q$308:$Q$313,4,"rate",Summary!#REF!,$M$307,$O$307)</f>
        <v>#VALUE!</v>
      </c>
      <c r="S311" t="e" cm="1">
        <f t="array" ref="S311">pareto($P$308:$P$313,$Q$308:$Q$313,4,"dist",Summary!#REF!,$M$307,$O$307)</f>
        <v>#VALUE!</v>
      </c>
      <c r="V311" t="e">
        <f>#REF!</f>
        <v>#REF!</v>
      </c>
      <c r="W311" t="e">
        <f>#REF!</f>
        <v>#REF!</v>
      </c>
      <c r="X311" t="e" cm="1">
        <f t="array" ref="X311">pareto($V$308:$V$313,$W$308:$W$313,4,"rate",Summary!#REF!,$W$307,$Y$307)</f>
        <v>#VALUE!</v>
      </c>
      <c r="Y311" t="e" cm="1">
        <f t="array" ref="Y311">pareto($V$308:$V$313,$W$308:$W$313,4,"dist",Summary!#REF!,$W$307,$Y$307)</f>
        <v>#VALUE!</v>
      </c>
      <c r="Z311" t="e">
        <f>#REF!</f>
        <v>#REF!</v>
      </c>
      <c r="AA311" t="e">
        <f>#REF!</f>
        <v>#REF!</v>
      </c>
      <c r="AB311" t="e" cm="1">
        <f t="array" ref="AB311">pareto($Z$308:$Z$313,$AA$308:$AA$313,4,"rate",Summary!#REF!,$W$307,$Y$307)</f>
        <v>#VALUE!</v>
      </c>
      <c r="AC311" t="e" cm="1">
        <f t="array" ref="AC311">pareto($Z$308:$Z$313,$AA$308:$AA$313,4,"dist",Summary!#REF!,$W$307,$Y$307)</f>
        <v>#VALUE!</v>
      </c>
      <c r="AF311" t="e">
        <f>#REF!</f>
        <v>#REF!</v>
      </c>
      <c r="AG311" t="e">
        <f>#REF!</f>
        <v>#REF!</v>
      </c>
      <c r="AH311" t="e" cm="1">
        <f t="array" ref="AH311">pareto($AF$308:$AF$313,$AG$308:$AG$313,4,"rate",Summary!#REF!,$AG$307,$AI$307)</f>
        <v>#VALUE!</v>
      </c>
      <c r="AI311" t="e" cm="1">
        <f t="array" ref="AI311">pareto($AF$308:$AF$313,$AG$308:$AG$313,4,"dist",Summary!#REF!,$AG$307,$AI$307)</f>
        <v>#VALUE!</v>
      </c>
      <c r="AJ311" t="e">
        <f>#REF!</f>
        <v>#REF!</v>
      </c>
      <c r="AK311" t="e">
        <f>#REF!</f>
        <v>#REF!</v>
      </c>
      <c r="AL311" t="e" cm="1">
        <f t="array" ref="AL311">pareto($AJ$308:$AJ$313,$AK$308:$AK$313,4,"rate",Summary!#REF!,$AG$307,$AI$307)</f>
        <v>#VALUE!</v>
      </c>
      <c r="AM311" t="e" cm="1">
        <f t="array" ref="AM311">pareto($AJ$308:$AJ$313,$AK$308:$AK$313,4,"dist",Summary!#REF!,$AG$307,$AI$307)</f>
        <v>#VALUE!</v>
      </c>
      <c r="AP311" t="e">
        <f>#REF!</f>
        <v>#REF!</v>
      </c>
      <c r="AQ311" t="e">
        <f>#REF!</f>
        <v>#REF!</v>
      </c>
      <c r="AR311" t="e" cm="1">
        <f t="array" ref="AR311">pareto($AP$308:$AP$313,$AQ$308:$AQ$313,4,"rate",Summary!#REF!,$AQ$307,$AS$307)</f>
        <v>#VALUE!</v>
      </c>
      <c r="AS311" t="e" cm="1">
        <f t="array" ref="AS311">pareto($AP$308:$AP$313,$AQ$308:$AQ$313,4,"dist",Summary!#REF!,$AQ$307,$AS$307)</f>
        <v>#VALUE!</v>
      </c>
      <c r="AT311" t="e">
        <f>#REF!</f>
        <v>#REF!</v>
      </c>
      <c r="AU311" t="e">
        <f>#REF!</f>
        <v>#REF!</v>
      </c>
      <c r="AV311" t="e" cm="1">
        <f t="array" ref="AV311">pareto($AT$308:$AT$313,$AU$308:$AU$313,4,"rate",Summary!#REF!,$AQ$307,$AS$307)</f>
        <v>#VALUE!</v>
      </c>
      <c r="AW311" t="e" cm="1">
        <f t="array" ref="AW311">pareto($AT$308:$AT$313,$AU$308:$AU$313,4,"dist",Summary!#REF!,$AQ$307,$AS$307)</f>
        <v>#VALUE!</v>
      </c>
      <c r="AZ311" s="36" t="e">
        <f>#REF!</f>
        <v>#REF!</v>
      </c>
      <c r="BA311" s="36" t="e">
        <f>#REF!</f>
        <v>#REF!</v>
      </c>
      <c r="BB311" t="e" cm="1">
        <f t="array" ref="BB311">pareto($AZ$308:$AZ$313,$BA$308:$BA$313,4,"rate",Summary!#REF!,$BA$307,$BC$307)</f>
        <v>#VALUE!</v>
      </c>
      <c r="BC311" t="e" cm="1">
        <f t="array" ref="BC311">pareto($AZ$308:$AZ$313,$BA$308:$BA$313,4,"dist",Summary!#REF!,$BA$307,$BC$307)</f>
        <v>#VALUE!</v>
      </c>
      <c r="BD311" s="36" t="e">
        <f>#REF!</f>
        <v>#REF!</v>
      </c>
      <c r="BE311" s="36" t="e">
        <f>#REF!</f>
        <v>#REF!</v>
      </c>
      <c r="BF311" t="e" cm="1">
        <f t="array" ref="BF311">pareto($BD$308:$BD$313,$BE$308:$BE$313,4,"rate",Summary!#REF!,$BA$307,$BC$307)</f>
        <v>#VALUE!</v>
      </c>
      <c r="BG311" t="e" cm="1">
        <f t="array" ref="BG311">pareto($BD$308:$BD$313,$BE$308:$BE$313,4,"dist",Summary!#REF!,$BA$307,$BC$307)</f>
        <v>#VALUE!</v>
      </c>
    </row>
    <row r="312" spans="11:59" x14ac:dyDescent="0.25">
      <c r="L312" t="e">
        <f>#REF!</f>
        <v>#REF!</v>
      </c>
      <c r="M312" s="36" t="e">
        <f>#REF!</f>
        <v>#REF!</v>
      </c>
      <c r="N312" t="e" cm="1">
        <f t="array" ref="N312">pareto($L$308:$L$313,$M$308:$M$313,5,"rate",Summary!#REF!,$M$307,$O$307)</f>
        <v>#VALUE!</v>
      </c>
      <c r="O312" t="e" cm="1">
        <f t="array" ref="O312">pareto($L$308:$L$313,$M$308:$M$313,5,"dist",Summary!#REF!,$M$307,$O$307)</f>
        <v>#VALUE!</v>
      </c>
      <c r="P312" t="e">
        <f>#REF!</f>
        <v>#REF!</v>
      </c>
      <c r="Q312" t="e">
        <f>#REF!</f>
        <v>#REF!</v>
      </c>
      <c r="R312" t="e" cm="1">
        <f t="array" ref="R312">pareto($P$308:$P$313,$Q$308:$Q$313,5,"rate",Summary!#REF!,$M$307,$O$307)</f>
        <v>#VALUE!</v>
      </c>
      <c r="S312" t="e" cm="1">
        <f t="array" ref="S312">pareto($P$308:$P$313,$Q$308:$Q$313,5,"dist",Summary!#REF!,$M$307,$O$307)</f>
        <v>#VALUE!</v>
      </c>
      <c r="V312" t="e">
        <f>#REF!</f>
        <v>#REF!</v>
      </c>
      <c r="W312" t="e">
        <f>#REF!</f>
        <v>#REF!</v>
      </c>
      <c r="X312" t="e" cm="1">
        <f t="array" ref="X312">pareto($V$308:$V$313,$W$308:$W$313,5,"rate",Summary!#REF!,$W$307,$Y$307)</f>
        <v>#VALUE!</v>
      </c>
      <c r="Y312" t="e" cm="1">
        <f t="array" ref="Y312">pareto($V$308:$V$313,$W$308:$W$313,5,"dist",Summary!#REF!,$W$307,$Y$307)</f>
        <v>#VALUE!</v>
      </c>
      <c r="Z312" t="e">
        <f>#REF!</f>
        <v>#REF!</v>
      </c>
      <c r="AA312" t="e">
        <f>#REF!</f>
        <v>#REF!</v>
      </c>
      <c r="AB312" t="e" cm="1">
        <f t="array" ref="AB312">pareto($Z$308:$Z$313,$AA$308:$AA$313,5,"rate",Summary!#REF!,$W$307,$Y$307)</f>
        <v>#VALUE!</v>
      </c>
      <c r="AC312" t="e" cm="1">
        <f t="array" ref="AC312">pareto($Z$308:$Z$313,$AA$308:$AA$313,5,"dist",Summary!#REF!,$W$307,$Y$307)</f>
        <v>#VALUE!</v>
      </c>
      <c r="AF312" t="e">
        <f>#REF!</f>
        <v>#REF!</v>
      </c>
      <c r="AG312" t="e">
        <f>#REF!</f>
        <v>#REF!</v>
      </c>
      <c r="AH312" t="e" cm="1">
        <f t="array" ref="AH312">pareto($AF$308:$AF$313,$AG$308:$AG$313,5,"rate",Summary!#REF!,$AG$307,$AI$307)</f>
        <v>#VALUE!</v>
      </c>
      <c r="AI312" t="e" cm="1">
        <f t="array" ref="AI312">pareto($AF$308:$AF$313,$AG$308:$AG$313,5,"dist",Summary!#REF!,$AG$307,$AI$307)</f>
        <v>#VALUE!</v>
      </c>
      <c r="AJ312" t="e">
        <f>#REF!</f>
        <v>#REF!</v>
      </c>
      <c r="AK312" t="e">
        <f>#REF!</f>
        <v>#REF!</v>
      </c>
      <c r="AL312" t="e" cm="1">
        <f t="array" ref="AL312">pareto($AJ$308:$AJ$313,$AK$308:$AK$313,5,"rate",Summary!#REF!,$AG$307,$AI$307)</f>
        <v>#VALUE!</v>
      </c>
      <c r="AM312" t="e" cm="1">
        <f t="array" ref="AM312">pareto($AJ$308:$AJ$313,$AK$308:$AK$313,5,"dist",Summary!#REF!,$AG$307,$AI$307)</f>
        <v>#VALUE!</v>
      </c>
      <c r="AP312" t="e">
        <f>#REF!</f>
        <v>#REF!</v>
      </c>
      <c r="AQ312" t="e">
        <f>#REF!</f>
        <v>#REF!</v>
      </c>
      <c r="AR312" t="e" cm="1">
        <f t="array" ref="AR312">pareto($AP$308:$AP$313,$AQ$308:$AQ$313,5,"rate",Summary!#REF!,$AQ$307,$AS$307)</f>
        <v>#VALUE!</v>
      </c>
      <c r="AS312" t="e" cm="1">
        <f t="array" ref="AS312">pareto($AP$308:$AP$313,$AQ$308:$AQ$313,5,"dist",Summary!#REF!,$AQ$307,$AS$307)</f>
        <v>#VALUE!</v>
      </c>
      <c r="AT312" t="e">
        <f>#REF!</f>
        <v>#REF!</v>
      </c>
      <c r="AU312" t="e">
        <f>#REF!</f>
        <v>#REF!</v>
      </c>
      <c r="AV312" t="e" cm="1">
        <f t="array" ref="AV312">pareto($AT$308:$AT$313,$AU$308:$AU$313,5,"rate",Summary!#REF!,$AQ$307,$AS$307)</f>
        <v>#VALUE!</v>
      </c>
      <c r="AW312" t="e" cm="1">
        <f t="array" ref="AW312">pareto($AT$308:$AT$313,$AU$308:$AU$313,5,"dist",Summary!#REF!,$AQ$307,$AS$307)</f>
        <v>#VALUE!</v>
      </c>
      <c r="AZ312" s="36" t="e">
        <f>#REF!</f>
        <v>#REF!</v>
      </c>
      <c r="BA312" s="36" t="e">
        <f>#REF!</f>
        <v>#REF!</v>
      </c>
      <c r="BB312" t="e" cm="1">
        <f t="array" ref="BB312">pareto($AZ$308:$AZ$313,$BA$308:$BA$313,5,"rate",Summary!#REF!,$BA$307,$BC$307)</f>
        <v>#VALUE!</v>
      </c>
      <c r="BC312" t="e" cm="1">
        <f t="array" ref="BC312">pareto($AZ$308:$AZ$313,$BA$308:$BA$313,5,"dist",Summary!#REF!,$BA$307,$BC$307)</f>
        <v>#VALUE!</v>
      </c>
      <c r="BD312" s="36" t="e">
        <f>#REF!</f>
        <v>#REF!</v>
      </c>
      <c r="BE312" s="36" t="e">
        <f>#REF!</f>
        <v>#REF!</v>
      </c>
      <c r="BF312" t="e" cm="1">
        <f t="array" ref="BF312">pareto($BD$308:$BD$313,$BE$308:$BE$313,5,"rate",Summary!#REF!,$BA$307,$BC$307)</f>
        <v>#VALUE!</v>
      </c>
      <c r="BG312" t="e" cm="1">
        <f t="array" ref="BG312">pareto($BD$308:$BD$313,$BE$308:$BE$313,5,"dist",Summary!#REF!,$BA$307,$BC$307)</f>
        <v>#VALUE!</v>
      </c>
    </row>
    <row r="313" spans="11:59" x14ac:dyDescent="0.25">
      <c r="L313" t="e">
        <f>#REF!</f>
        <v>#REF!</v>
      </c>
      <c r="M313" s="36" t="e">
        <f>#REF!</f>
        <v>#REF!</v>
      </c>
      <c r="N313" t="e" cm="1">
        <f t="array" ref="N313">pareto($L$308:$L$313,$M$308:$M$313,6,"rate",Summary!#REF!,$M$307,$O$307)</f>
        <v>#VALUE!</v>
      </c>
      <c r="O313" t="e" cm="1">
        <f t="array" ref="O313">pareto($L$308:$L$313,$M$308:$M$313,6,"dist",Summary!#REF!,$M$307,$O$307)</f>
        <v>#VALUE!</v>
      </c>
      <c r="P313" t="e">
        <f>#REF!</f>
        <v>#REF!</v>
      </c>
      <c r="Q313" t="e">
        <f>#REF!</f>
        <v>#REF!</v>
      </c>
      <c r="R313" t="e" cm="1">
        <f t="array" ref="R313">pareto($P$308:$P$313,$Q$308:$Q$313,6,"rate",Summary!#REF!,$M$307,$O$307)</f>
        <v>#VALUE!</v>
      </c>
      <c r="S313" t="e" cm="1">
        <f t="array" ref="S313">pareto($P$308:$P$313,$Q$308:$Q$313,6,"dist",Summary!#REF!,$M$307,$O$307)</f>
        <v>#VALUE!</v>
      </c>
      <c r="V313" t="e">
        <f>#REF!</f>
        <v>#REF!</v>
      </c>
      <c r="W313" t="e">
        <f>#REF!</f>
        <v>#REF!</v>
      </c>
      <c r="X313" t="e" cm="1">
        <f t="array" ref="X313">pareto($V$308:$V$313,$W$308:$W$313,6,"rate",Summary!#REF!,$W$307,$Y$307)</f>
        <v>#VALUE!</v>
      </c>
      <c r="Y313" t="e" cm="1">
        <f t="array" ref="Y313">pareto($V$308:$V$313,$W$308:$W$313,6,"dist",Summary!#REF!,$W$307,$Y$307)</f>
        <v>#VALUE!</v>
      </c>
      <c r="Z313" t="e">
        <f>#REF!</f>
        <v>#REF!</v>
      </c>
      <c r="AA313" t="e">
        <f>#REF!</f>
        <v>#REF!</v>
      </c>
      <c r="AB313" t="e" cm="1">
        <f t="array" ref="AB313">pareto($Z$308:$Z$313,$AA$308:$AA$313,6,"rate",Summary!#REF!,$W$307,$Y$307)</f>
        <v>#VALUE!</v>
      </c>
      <c r="AC313" t="e" cm="1">
        <f t="array" ref="AC313">pareto($Z$308:$Z$313,$AA$308:$AA$313,6,"dist",Summary!#REF!,$W$307,$Y$307)</f>
        <v>#VALUE!</v>
      </c>
      <c r="AF313" t="e">
        <f>#REF!</f>
        <v>#REF!</v>
      </c>
      <c r="AG313" t="e">
        <f>#REF!</f>
        <v>#REF!</v>
      </c>
      <c r="AH313" t="e" cm="1">
        <f t="array" ref="AH313">pareto($AF$308:$AF$313,$AG$308:$AG$313,6,"rate",Summary!#REF!,$AG$307,$AI$307)</f>
        <v>#VALUE!</v>
      </c>
      <c r="AI313" t="e" cm="1">
        <f t="array" ref="AI313">pareto($AF$308:$AF$313,$AG$308:$AG$313,6,"dist",Summary!#REF!,$AG$307,$AI$307)</f>
        <v>#VALUE!</v>
      </c>
      <c r="AJ313" t="e">
        <f>#REF!</f>
        <v>#REF!</v>
      </c>
      <c r="AK313" t="e">
        <f>#REF!</f>
        <v>#REF!</v>
      </c>
      <c r="AL313" t="e" cm="1">
        <f t="array" ref="AL313">pareto($AJ$308:$AJ$313,$AK$308:$AK$313,6,"rate",Summary!#REF!,$AG$307,$AI$307)</f>
        <v>#VALUE!</v>
      </c>
      <c r="AM313" t="e" cm="1">
        <f t="array" ref="AM313">pareto($AJ$308:$AJ$313,$AK$308:$AK$313,6,"dist",Summary!#REF!,$AG$307,$AI$307)</f>
        <v>#VALUE!</v>
      </c>
      <c r="AP313" t="e">
        <f>#REF!</f>
        <v>#REF!</v>
      </c>
      <c r="AQ313" t="e">
        <f>#REF!</f>
        <v>#REF!</v>
      </c>
      <c r="AR313" t="e" cm="1">
        <f t="array" ref="AR313">pareto($AP$308:$AP$313,$AQ$308:$AQ$313,6,"rate",Summary!#REF!,$AQ$307,$AS$307)</f>
        <v>#VALUE!</v>
      </c>
      <c r="AS313" t="e" cm="1">
        <f t="array" ref="AS313">pareto($AP$308:$AP$313,$AQ$308:$AQ$313,6,"dist",Summary!#REF!,$AQ$307,$AS$307)</f>
        <v>#VALUE!</v>
      </c>
      <c r="AT313" t="e">
        <f>#REF!</f>
        <v>#REF!</v>
      </c>
      <c r="AU313" t="e">
        <f>#REF!</f>
        <v>#REF!</v>
      </c>
      <c r="AV313" t="e" cm="1">
        <f t="array" ref="AV313">pareto($AT$308:$AT$313,$AU$308:$AU$313,6,"rate",Summary!#REF!,$AQ$307,$AS$307)</f>
        <v>#VALUE!</v>
      </c>
      <c r="AW313" t="e" cm="1">
        <f t="array" ref="AW313">pareto($AT$308:$AT$313,$AU$308:$AU$313,6,"dist",Summary!#REF!,$AQ$307,$AS$307)</f>
        <v>#VALUE!</v>
      </c>
      <c r="AZ313" s="36" t="e">
        <f>#REF!</f>
        <v>#REF!</v>
      </c>
      <c r="BA313" s="36" t="e">
        <f>#REF!</f>
        <v>#REF!</v>
      </c>
      <c r="BB313" t="e" cm="1">
        <f t="array" ref="BB313">pareto($AZ$308:$AZ$313,$BA$308:$BA$313,6,"rate",Summary!#REF!,$BA$307,$BC$307)</f>
        <v>#VALUE!</v>
      </c>
      <c r="BC313" t="e" cm="1">
        <f t="array" ref="BC313">pareto($AZ$308:$AZ$313,$BA$308:$BA$313,6,"dist",Summary!#REF!,$BA$307,$BC$307)</f>
        <v>#VALUE!</v>
      </c>
      <c r="BD313" s="36" t="e">
        <f>#REF!</f>
        <v>#REF!</v>
      </c>
      <c r="BE313" s="36" t="e">
        <f>#REF!</f>
        <v>#REF!</v>
      </c>
      <c r="BF313" t="e" cm="1">
        <f t="array" ref="BF313">pareto($BD$308:$BD$313,$BE$308:$BE$313,6,"rate",Summary!#REF!,$BA$307,$BC$307)</f>
        <v>#VALUE!</v>
      </c>
      <c r="BG313" t="e" cm="1">
        <f t="array" ref="BG313">pareto($BD$308:$BD$313,$BE$308:$BE$313,6,"dist",Summary!#REF!,$BA$307,$BC$307)</f>
        <v>#VALUE!</v>
      </c>
    </row>
    <row r="314" spans="11:59" x14ac:dyDescent="0.25">
      <c r="BD314" s="36"/>
      <c r="BE314" s="36"/>
    </row>
    <row r="315" spans="11:59" x14ac:dyDescent="0.25">
      <c r="BD315" s="36"/>
      <c r="BE315" s="36"/>
    </row>
    <row r="316" spans="11:59" x14ac:dyDescent="0.25">
      <c r="BD316" s="36"/>
      <c r="BE316" s="36"/>
    </row>
    <row r="317" spans="11:59" x14ac:dyDescent="0.25">
      <c r="BD317" s="36"/>
      <c r="BE317" s="36"/>
    </row>
    <row r="318" spans="11:59" x14ac:dyDescent="0.25">
      <c r="BD318" s="36"/>
      <c r="BE318" s="36"/>
    </row>
    <row r="319" spans="11:59" x14ac:dyDescent="0.25">
      <c r="BD319" s="36"/>
      <c r="BE319" s="36"/>
    </row>
    <row r="320" spans="11:59" x14ac:dyDescent="0.25">
      <c r="BD320" s="36"/>
      <c r="BE320" s="36"/>
    </row>
    <row r="321" spans="11:59" x14ac:dyDescent="0.25">
      <c r="BD321" s="36"/>
      <c r="BE321" s="36"/>
    </row>
    <row r="322" spans="11:59" x14ac:dyDescent="0.25">
      <c r="BD322" s="36"/>
      <c r="BE322" s="36"/>
    </row>
    <row r="323" spans="11:59" x14ac:dyDescent="0.25">
      <c r="BD323" s="36"/>
      <c r="BE323" s="36"/>
    </row>
    <row r="324" spans="11:59" x14ac:dyDescent="0.25">
      <c r="BD324" s="36"/>
      <c r="BE324" s="36"/>
    </row>
    <row r="325" spans="11:59" x14ac:dyDescent="0.25">
      <c r="BD325" s="36"/>
      <c r="BE325" s="36"/>
    </row>
    <row r="326" spans="11:59" x14ac:dyDescent="0.25">
      <c r="BD326" s="36"/>
      <c r="BE326" s="36"/>
    </row>
    <row r="327" spans="11:59" x14ac:dyDescent="0.25">
      <c r="BD327" s="36"/>
      <c r="BE327" s="36"/>
    </row>
    <row r="328" spans="11:59" x14ac:dyDescent="0.25">
      <c r="BD328" s="36"/>
      <c r="BE328" s="36"/>
    </row>
    <row r="329" spans="11:59" x14ac:dyDescent="0.25">
      <c r="BD329" s="36"/>
      <c r="BE329" s="36"/>
    </row>
    <row r="330" spans="11:59" x14ac:dyDescent="0.25">
      <c r="BD330" s="36"/>
      <c r="BE330" s="36"/>
    </row>
    <row r="331" spans="11:59" x14ac:dyDescent="0.25">
      <c r="BD331" s="36"/>
      <c r="BE331" s="36"/>
    </row>
    <row r="332" spans="11:59" x14ac:dyDescent="0.25">
      <c r="K332" t="s">
        <v>63</v>
      </c>
      <c r="L332" t="s">
        <v>40</v>
      </c>
      <c r="M332">
        <v>43.472600999999997</v>
      </c>
      <c r="N332" t="s">
        <v>44</v>
      </c>
      <c r="O332">
        <v>20</v>
      </c>
      <c r="U332" t="s">
        <v>69</v>
      </c>
      <c r="V332" t="s">
        <v>40</v>
      </c>
      <c r="W332">
        <v>51.641207000000001</v>
      </c>
      <c r="X332" t="s">
        <v>44</v>
      </c>
      <c r="Y332">
        <v>20</v>
      </c>
      <c r="AE332" t="s">
        <v>88</v>
      </c>
      <c r="AF332" t="s">
        <v>40</v>
      </c>
      <c r="AG332">
        <v>49.804110999999999</v>
      </c>
      <c r="AH332" t="s">
        <v>44</v>
      </c>
      <c r="AI332">
        <v>20</v>
      </c>
      <c r="AY332" t="s">
        <v>78</v>
      </c>
      <c r="AZ332" t="s">
        <v>40</v>
      </c>
      <c r="BA332" s="71">
        <v>29.43262</v>
      </c>
      <c r="BB332" t="s">
        <v>44</v>
      </c>
      <c r="BC332">
        <v>20</v>
      </c>
    </row>
    <row r="333" spans="11:59" x14ac:dyDescent="0.25">
      <c r="L333" t="e">
        <f>#REF!</f>
        <v>#REF!</v>
      </c>
      <c r="M333" s="36" t="e">
        <f>#REF!</f>
        <v>#REF!</v>
      </c>
      <c r="N333" t="e" cm="1">
        <f t="array" ref="N333">pareto($L$333:$L$338,$M$333:$M$338,1,"rate",Summary!#REF!,$M$332,$O$332)</f>
        <v>#VALUE!</v>
      </c>
      <c r="O333" t="e" cm="1">
        <f t="array" ref="O333">pareto($L$333:$L$338,$M$333:$M$338,1,"dist",Summary!#REF!,$M$332,$O$332)</f>
        <v>#VALUE!</v>
      </c>
      <c r="P333" t="e">
        <f>#REF!</f>
        <v>#REF!</v>
      </c>
      <c r="Q333" t="e">
        <f>#REF!</f>
        <v>#REF!</v>
      </c>
      <c r="R333" t="e" cm="1">
        <f t="array" ref="R333">pareto($P$333:$P$338,$Q$333:$Q$338,1,"rate",Summary!#REF!,$M$332,$O$332)</f>
        <v>#VALUE!</v>
      </c>
      <c r="S333" t="e" cm="1">
        <f t="array" ref="S333">pareto($P$333:$P$338,$Q$333:$Q$338,1,"dist",Summary!#REF!,$M$332,$O$332)</f>
        <v>#VALUE!</v>
      </c>
      <c r="V333" t="e">
        <f>#REF!</f>
        <v>#REF!</v>
      </c>
      <c r="W333" t="e">
        <f>#REF!</f>
        <v>#REF!</v>
      </c>
      <c r="X333" t="e" cm="1">
        <f t="array" ref="X333">pareto($V$333:$V$338,$W$333:$W$338,1,"rate",Summary!#REF!,$W$332,$Y$332)</f>
        <v>#VALUE!</v>
      </c>
      <c r="Y333" t="e" cm="1">
        <f t="array" ref="Y333">pareto($V$333:$V$338,$W$333:$W$338,1,"dist",Summary!#REF!,$W$332,$Y$332)</f>
        <v>#VALUE!</v>
      </c>
      <c r="Z333" t="e">
        <f>#REF!</f>
        <v>#REF!</v>
      </c>
      <c r="AA333" t="e">
        <f>#REF!</f>
        <v>#REF!</v>
      </c>
      <c r="AB333" t="e" cm="1">
        <f t="array" ref="AB333">pareto($Z$333:$Z$338,$AA$333:$AA$338,1,"rate",Summary!#REF!,$W$332,$Y$332)</f>
        <v>#VALUE!</v>
      </c>
      <c r="AC333" t="e" cm="1">
        <f t="array" ref="AC333">pareto($Z$333:$Z$338,$AA$333:$AA$338,1,"dist",Summary!#REF!,$W$332,$Y$332)</f>
        <v>#VALUE!</v>
      </c>
      <c r="AF333" t="e">
        <f>#REF!</f>
        <v>#REF!</v>
      </c>
      <c r="AG333" t="e">
        <f>#REF!</f>
        <v>#REF!</v>
      </c>
      <c r="AH333" t="e" cm="1">
        <f t="array" ref="AH333">pareto($AF$333:$AF$338,$AG$333:$AG$338,1,"rate",Summary!#REF!,$AG$332,$AI$332)</f>
        <v>#VALUE!</v>
      </c>
      <c r="AI333" t="e" cm="1">
        <f t="array" ref="AI333">pareto($AF$333:$AF$338,$AG$333:$AG$338,1,"dist",Summary!#REF!,$AG$332,$AI$332)</f>
        <v>#VALUE!</v>
      </c>
      <c r="AJ333" t="e">
        <f>#REF!</f>
        <v>#REF!</v>
      </c>
      <c r="AK333" t="e">
        <f>#REF!</f>
        <v>#REF!</v>
      </c>
      <c r="AL333" t="e" cm="1">
        <f t="array" ref="AL333">pareto($AJ$333:$AJ$338,$AK$333:$AK$338,1,"rate",Summary!#REF!,$AG$332,$AI$332)</f>
        <v>#VALUE!</v>
      </c>
      <c r="AM333" t="e" cm="1">
        <f t="array" ref="AM333">pareto($AJ$333:$AJ$338,$AK$333:$AK$338,1,"dist",Summary!#REF!,$AG$332,$AI$332)</f>
        <v>#VALUE!</v>
      </c>
      <c r="AZ333" s="36" t="e">
        <f>#REF!</f>
        <v>#REF!</v>
      </c>
      <c r="BA333" s="36" t="e">
        <f>#REF!</f>
        <v>#REF!</v>
      </c>
      <c r="BB333" t="e" cm="1">
        <f t="array" ref="BB333">pareto($AZ$333:$AZ$338,$BA$333:$BA$338,1,"rate",Summary!#REF!,$BA$332,$BC$332)</f>
        <v>#VALUE!</v>
      </c>
      <c r="BC333" t="e" cm="1">
        <f t="array" ref="BC333">pareto($AZ$333:$AZ$338,$BA$333:$BA$338,1,"dist",Summary!#REF!,$BA$332,$BC$332)</f>
        <v>#VALUE!</v>
      </c>
      <c r="BD333" s="36" t="e">
        <f>#REF!</f>
        <v>#REF!</v>
      </c>
      <c r="BE333" s="36" t="e">
        <f>#REF!</f>
        <v>#REF!</v>
      </c>
      <c r="BF333" t="e" cm="1">
        <f t="array" ref="BF333">pareto($BD$333:$BD$338,$BE$333:$BE$338,1,"rate",Summary!#REF!,$BA$332,$BC$332)</f>
        <v>#VALUE!</v>
      </c>
      <c r="BG333" t="e" cm="1">
        <f t="array" ref="BG333">pareto($BD$333:$BD$338,$BE$333:$BE$338,1,"dist",Summary!#REF!,$BA$332,$BC$332)</f>
        <v>#VALUE!</v>
      </c>
    </row>
    <row r="334" spans="11:59" x14ac:dyDescent="0.25">
      <c r="L334" t="e">
        <f>#REF!</f>
        <v>#REF!</v>
      </c>
      <c r="M334" s="36" t="e">
        <f>#REF!</f>
        <v>#REF!</v>
      </c>
      <c r="N334" t="e" cm="1">
        <f t="array" ref="N334">pareto($L$333:$L$338,$M$333:$M$338,2,"rate",Summary!#REF!,$M$332,$O$332)</f>
        <v>#VALUE!</v>
      </c>
      <c r="O334" t="e" cm="1">
        <f t="array" ref="O334">pareto($L$333:$L$338,$M$333:$M$338,2,"dist",Summary!#REF!,$M$332,$O$332)</f>
        <v>#VALUE!</v>
      </c>
      <c r="P334" t="e">
        <f>#REF!</f>
        <v>#REF!</v>
      </c>
      <c r="Q334" t="e">
        <f>#REF!</f>
        <v>#REF!</v>
      </c>
      <c r="R334" t="e" cm="1">
        <f t="array" ref="R334">pareto($P$333:$P$338,$Q$333:$Q$338,2,"rate",Summary!#REF!,$M$332,$O$332)</f>
        <v>#VALUE!</v>
      </c>
      <c r="S334" t="e" cm="1">
        <f t="array" ref="S334">pareto($P$333:$P$338,$Q$333:$Q$338,2,"dist",Summary!#REF!,$M$332,$O$332)</f>
        <v>#VALUE!</v>
      </c>
      <c r="V334" t="e">
        <f>#REF!</f>
        <v>#REF!</v>
      </c>
      <c r="W334" t="e">
        <f>#REF!</f>
        <v>#REF!</v>
      </c>
      <c r="X334" t="e" cm="1">
        <f t="array" ref="X334">pareto($V$333:$V$338,$W$333:$W$338,2,"rate",Summary!#REF!,$W$332,$Y$332)</f>
        <v>#VALUE!</v>
      </c>
      <c r="Y334" t="e" cm="1">
        <f t="array" ref="Y334">pareto($V$333:$V$338,$W$333:$W$338,2,"dist",Summary!#REF!,$W$332,$Y$332)</f>
        <v>#VALUE!</v>
      </c>
      <c r="Z334" t="e">
        <f>#REF!</f>
        <v>#REF!</v>
      </c>
      <c r="AA334" t="e">
        <f>#REF!</f>
        <v>#REF!</v>
      </c>
      <c r="AB334" t="e" cm="1">
        <f t="array" ref="AB334">pareto($Z$333:$Z$338,$AA$333:$AA$338,2,"rate",Summary!#REF!,$W$332,$Y$332)</f>
        <v>#VALUE!</v>
      </c>
      <c r="AC334" t="e" cm="1">
        <f t="array" ref="AC334">pareto($Z$333:$Z$338,$AA$333:$AA$338,2,"dist",Summary!#REF!,$W$332,$Y$332)</f>
        <v>#VALUE!</v>
      </c>
      <c r="AF334" t="e">
        <f>#REF!</f>
        <v>#REF!</v>
      </c>
      <c r="AG334" t="e">
        <f>#REF!</f>
        <v>#REF!</v>
      </c>
      <c r="AH334" t="e" cm="1">
        <f t="array" ref="AH334">pareto($AF$333:$AF$338,$AG$333:$AG$338,2,"rate",Summary!#REF!,$AG$332,$AI$332)</f>
        <v>#VALUE!</v>
      </c>
      <c r="AI334" t="e" cm="1">
        <f t="array" ref="AI334">pareto($AF$333:$AF$338,$AG$333:$AG$338,2,"dist",Summary!#REF!,$AG$332,$AI$332)</f>
        <v>#VALUE!</v>
      </c>
      <c r="AJ334" t="e">
        <f>#REF!</f>
        <v>#REF!</v>
      </c>
      <c r="AK334" t="e">
        <f>#REF!</f>
        <v>#REF!</v>
      </c>
      <c r="AL334" t="e" cm="1">
        <f t="array" ref="AL334">pareto($AJ$333:$AJ$338,$AK$333:$AK$338,2,"rate",Summary!#REF!,$AG$332,$AI$332)</f>
        <v>#VALUE!</v>
      </c>
      <c r="AM334" t="e" cm="1">
        <f t="array" ref="AM334">pareto($AJ$333:$AJ$338,$AK$333:$AK$338,2,"dist",Summary!#REF!,$AG$332,$AI$332)</f>
        <v>#VALUE!</v>
      </c>
      <c r="AZ334" s="36" t="e">
        <f>#REF!</f>
        <v>#REF!</v>
      </c>
      <c r="BA334" s="36" t="e">
        <f>#REF!</f>
        <v>#REF!</v>
      </c>
      <c r="BB334" t="e" cm="1">
        <f t="array" ref="BB334">pareto($AZ$333:$AZ$338,$BA$333:$BA$338,2,"rate",Summary!#REF!,$BA$332,$BC$332)</f>
        <v>#VALUE!</v>
      </c>
      <c r="BC334" t="e" cm="1">
        <f t="array" ref="BC334">pareto($AZ$333:$AZ$338,$BA$333:$BA$338,2,"dist",Summary!#REF!,$BA$332,$BC$332)</f>
        <v>#VALUE!</v>
      </c>
      <c r="BD334" s="36" t="e">
        <f>#REF!</f>
        <v>#REF!</v>
      </c>
      <c r="BE334" s="36" t="e">
        <f>#REF!</f>
        <v>#REF!</v>
      </c>
      <c r="BF334" t="e" cm="1">
        <f t="array" ref="BF334">pareto($BD$333:$BD$338,$BE$333:$BE$338,2,"rate",Summary!#REF!,$BA$332,$BC$332)</f>
        <v>#VALUE!</v>
      </c>
      <c r="BG334" t="e" cm="1">
        <f t="array" ref="BG334">pareto($BD$333:$BD$338,$BE$333:$BE$338,2,"dist",Summary!#REF!,$BA$332,$BC$332)</f>
        <v>#VALUE!</v>
      </c>
    </row>
    <row r="335" spans="11:59" x14ac:dyDescent="0.25">
      <c r="L335" t="e">
        <f>#REF!</f>
        <v>#REF!</v>
      </c>
      <c r="M335" s="36" t="e">
        <f>#REF!</f>
        <v>#REF!</v>
      </c>
      <c r="N335" t="e" cm="1">
        <f t="array" ref="N335">pareto($L$333:$L$338,$M$333:$M$338,3,"rate",Summary!#REF!,$M$332,$O$332)</f>
        <v>#VALUE!</v>
      </c>
      <c r="O335" t="e" cm="1">
        <f t="array" ref="O335">pareto($L$333:$L$338,$M$333:$M$338,3,"dist",Summary!#REF!,$M$332,$O$332)</f>
        <v>#VALUE!</v>
      </c>
      <c r="P335" t="e">
        <f>#REF!</f>
        <v>#REF!</v>
      </c>
      <c r="Q335" t="e">
        <f>#REF!</f>
        <v>#REF!</v>
      </c>
      <c r="R335" t="e" cm="1">
        <f t="array" ref="R335">pareto($P$333:$P$338,$Q$333:$Q$338,3,"rate",Summary!#REF!,$M$332,$O$332)</f>
        <v>#VALUE!</v>
      </c>
      <c r="S335" t="e" cm="1">
        <f t="array" ref="S335">pareto($P$333:$P$338,$Q$333:$Q$338,3,"dist",Summary!#REF!,$M$332,$O$332)</f>
        <v>#VALUE!</v>
      </c>
      <c r="V335" t="e">
        <f>#REF!</f>
        <v>#REF!</v>
      </c>
      <c r="W335" t="e">
        <f>#REF!</f>
        <v>#REF!</v>
      </c>
      <c r="X335" t="e" cm="1">
        <f t="array" ref="X335">pareto($V$333:$V$338,$W$333:$W$338,3,"rate",Summary!#REF!,$W$332,$Y$332)</f>
        <v>#VALUE!</v>
      </c>
      <c r="Y335" t="e" cm="1">
        <f t="array" ref="Y335">pareto($V$333:$V$338,$W$333:$W$338,3,"dist",Summary!#REF!,$W$332,$Y$332)</f>
        <v>#VALUE!</v>
      </c>
      <c r="Z335" t="e">
        <f>#REF!</f>
        <v>#REF!</v>
      </c>
      <c r="AA335" t="e">
        <f>#REF!</f>
        <v>#REF!</v>
      </c>
      <c r="AB335" t="e" cm="1">
        <f t="array" ref="AB335">pareto($Z$333:$Z$338,$AA$333:$AA$338,3,"rate",Summary!#REF!,$W$332,$Y$332)</f>
        <v>#VALUE!</v>
      </c>
      <c r="AC335" t="e" cm="1">
        <f t="array" ref="AC335">pareto($Z$333:$Z$338,$AA$333:$AA$338,3,"dist",Summary!#REF!,$W$332,$Y$332)</f>
        <v>#VALUE!</v>
      </c>
      <c r="AF335" t="e">
        <f>#REF!</f>
        <v>#REF!</v>
      </c>
      <c r="AG335" t="e">
        <f>#REF!</f>
        <v>#REF!</v>
      </c>
      <c r="AH335" t="e" cm="1">
        <f t="array" ref="AH335">pareto($AF$333:$AF$338,$AG$333:$AG$338,3,"rate",Summary!#REF!,$AG$332,$AI$332)</f>
        <v>#VALUE!</v>
      </c>
      <c r="AI335" t="e" cm="1">
        <f t="array" ref="AI335">pareto($AF$333:$AF$338,$AG$333:$AG$338,3,"dist",Summary!#REF!,$AG$332,$AI$332)</f>
        <v>#VALUE!</v>
      </c>
      <c r="AJ335" t="e">
        <f>#REF!</f>
        <v>#REF!</v>
      </c>
      <c r="AK335" t="e">
        <f>#REF!</f>
        <v>#REF!</v>
      </c>
      <c r="AL335" t="e" cm="1">
        <f t="array" ref="AL335">pareto($AJ$333:$AJ$338,$AK$333:$AK$338,3,"rate",Summary!#REF!,$AG$332,$AI$332)</f>
        <v>#VALUE!</v>
      </c>
      <c r="AM335" t="e" cm="1">
        <f t="array" ref="AM335">pareto($AJ$333:$AJ$338,$AK$333:$AK$338,3,"dist",Summary!#REF!,$AG$332,$AI$332)</f>
        <v>#VALUE!</v>
      </c>
      <c r="AZ335" s="36" t="e">
        <f>#REF!</f>
        <v>#REF!</v>
      </c>
      <c r="BA335" s="36" t="e">
        <f>#REF!</f>
        <v>#REF!</v>
      </c>
      <c r="BB335" t="e" cm="1">
        <f t="array" ref="BB335">pareto($AZ$333:$AZ$338,$BA$333:$BA$338,3,"rate",Summary!#REF!,$BA$332,$BC$332)</f>
        <v>#VALUE!</v>
      </c>
      <c r="BC335" t="e" cm="1">
        <f t="array" ref="BC335">pareto($AZ$333:$AZ$338,$BA$333:$BA$338,3,"dist",Summary!#REF!,$BA$332,$BC$332)</f>
        <v>#VALUE!</v>
      </c>
      <c r="BD335" s="36" t="e">
        <f>#REF!</f>
        <v>#REF!</v>
      </c>
      <c r="BE335" s="36" t="e">
        <f>#REF!</f>
        <v>#REF!</v>
      </c>
      <c r="BF335" t="e" cm="1">
        <f t="array" ref="BF335">pareto($BD$333:$BD$338,$BE$333:$BE$338,3,"rate",Summary!#REF!,$BA$332,$BC$332)</f>
        <v>#VALUE!</v>
      </c>
      <c r="BG335" t="e" cm="1">
        <f t="array" ref="BG335">pareto($BD$333:$BD$338,$BE$333:$BE$338,3,"dist",Summary!#REF!,$BA$332,$BC$332)</f>
        <v>#VALUE!</v>
      </c>
    </row>
    <row r="336" spans="11:59" x14ac:dyDescent="0.25">
      <c r="L336" t="e">
        <f>#REF!</f>
        <v>#REF!</v>
      </c>
      <c r="M336" s="36" t="e">
        <f>#REF!</f>
        <v>#REF!</v>
      </c>
      <c r="N336" t="e" cm="1">
        <f t="array" ref="N336">pareto($L$333:$L$338,$M$333:$M$338,4,"rate",Summary!#REF!,$M$332,$O$332)</f>
        <v>#VALUE!</v>
      </c>
      <c r="O336" t="e" cm="1">
        <f t="array" ref="O336">pareto($L$333:$L$338,$M$333:$M$338,4,"dist",Summary!#REF!,$M$332,$O$332)</f>
        <v>#VALUE!</v>
      </c>
      <c r="P336" t="e">
        <f>#REF!</f>
        <v>#REF!</v>
      </c>
      <c r="Q336" t="e">
        <f>#REF!</f>
        <v>#REF!</v>
      </c>
      <c r="R336" t="e" cm="1">
        <f t="array" ref="R336">pareto($P$333:$P$338,$Q$333:$Q$338,4,"rate",Summary!#REF!,$M$332,$O$332)</f>
        <v>#VALUE!</v>
      </c>
      <c r="S336" t="e" cm="1">
        <f t="array" ref="S336">pareto($P$333:$P$338,$Q$333:$Q$338,4,"dist",Summary!#REF!,$M$332,$O$332)</f>
        <v>#VALUE!</v>
      </c>
      <c r="V336" t="e">
        <f>#REF!</f>
        <v>#REF!</v>
      </c>
      <c r="W336" t="e">
        <f>#REF!</f>
        <v>#REF!</v>
      </c>
      <c r="X336" t="e" cm="1">
        <f t="array" ref="X336">pareto($V$333:$V$338,$W$333:$W$338,4,"rate",Summary!#REF!,$W$332,$Y$332)</f>
        <v>#VALUE!</v>
      </c>
      <c r="Y336" t="e" cm="1">
        <f t="array" ref="Y336">pareto($V$333:$V$338,$W$333:$W$338,4,"dist",Summary!#REF!,$W$332,$Y$332)</f>
        <v>#VALUE!</v>
      </c>
      <c r="Z336" t="e">
        <f>#REF!</f>
        <v>#REF!</v>
      </c>
      <c r="AA336" t="e">
        <f>#REF!</f>
        <v>#REF!</v>
      </c>
      <c r="AB336" t="e" cm="1">
        <f t="array" ref="AB336">pareto($Z$333:$Z$338,$AA$333:$AA$338,4,"rate",Summary!#REF!,$W$332,$Y$332)</f>
        <v>#VALUE!</v>
      </c>
      <c r="AC336" t="e" cm="1">
        <f t="array" ref="AC336">pareto($Z$333:$Z$338,$AA$333:$AA$338,4,"dist",Summary!#REF!,$W$332,$Y$332)</f>
        <v>#VALUE!</v>
      </c>
      <c r="AF336" t="e">
        <f>#REF!</f>
        <v>#REF!</v>
      </c>
      <c r="AG336" t="e">
        <f>#REF!</f>
        <v>#REF!</v>
      </c>
      <c r="AH336" t="e" cm="1">
        <f t="array" ref="AH336">pareto($AF$333:$AF$338,$AG$333:$AG$338,4,"rate",Summary!#REF!,$AG$332,$AI$332)</f>
        <v>#VALUE!</v>
      </c>
      <c r="AI336" t="e" cm="1">
        <f t="array" ref="AI336">pareto($AF$333:$AF$338,$AG$333:$AG$338,4,"dist",Summary!#REF!,$AG$332,$AI$332)</f>
        <v>#VALUE!</v>
      </c>
      <c r="AJ336" t="e">
        <f>#REF!</f>
        <v>#REF!</v>
      </c>
      <c r="AK336" t="e">
        <f>#REF!</f>
        <v>#REF!</v>
      </c>
      <c r="AL336" t="e" cm="1">
        <f t="array" ref="AL336">pareto($AJ$333:$AJ$338,$AK$333:$AK$338,4,"rate",Summary!#REF!,$AG$332,$AI$332)</f>
        <v>#VALUE!</v>
      </c>
      <c r="AM336" t="e" cm="1">
        <f t="array" ref="AM336">pareto($AJ$333:$AJ$338,$AK$333:$AK$338,4,"dist",Summary!#REF!,$AG$332,$AI$332)</f>
        <v>#VALUE!</v>
      </c>
      <c r="AZ336" s="36" t="e">
        <f>#REF!</f>
        <v>#REF!</v>
      </c>
      <c r="BA336" s="36" t="e">
        <f>#REF!</f>
        <v>#REF!</v>
      </c>
      <c r="BB336" t="e" cm="1">
        <f t="array" ref="BB336">pareto($AZ$333:$AZ$338,$BA$333:$BA$338,4,"rate",Summary!#REF!,$BA$332,$BC$332)</f>
        <v>#VALUE!</v>
      </c>
      <c r="BC336" t="e" cm="1">
        <f t="array" ref="BC336">pareto($AZ$333:$AZ$338,$BA$333:$BA$338,4,"dist",Summary!#REF!,$BA$332,$BC$332)</f>
        <v>#VALUE!</v>
      </c>
      <c r="BD336" s="36" t="e">
        <f>#REF!</f>
        <v>#REF!</v>
      </c>
      <c r="BE336" s="36" t="e">
        <f>#REF!</f>
        <v>#REF!</v>
      </c>
      <c r="BF336" t="e" cm="1">
        <f t="array" ref="BF336">pareto($BD$333:$BD$338,$BE$333:$BE$338,4,"rate",Summary!#REF!,$BA$332,$BC$332)</f>
        <v>#VALUE!</v>
      </c>
      <c r="BG336" t="e" cm="1">
        <f t="array" ref="BG336">pareto($BD$333:$BD$338,$BE$333:$BE$338,4,"dist",Summary!#REF!,$BA$332,$BC$332)</f>
        <v>#VALUE!</v>
      </c>
    </row>
    <row r="337" spans="12:59" x14ac:dyDescent="0.25">
      <c r="L337" t="e">
        <f>#REF!</f>
        <v>#REF!</v>
      </c>
      <c r="M337" s="36" t="e">
        <f>#REF!</f>
        <v>#REF!</v>
      </c>
      <c r="N337" t="e" cm="1">
        <f t="array" ref="N337">pareto($L$333:$L$338,$M$333:$M$338,5,"rate",Summary!#REF!,$M$332,$O$332)</f>
        <v>#VALUE!</v>
      </c>
      <c r="O337" t="e" cm="1">
        <f t="array" ref="O337">pareto($L$333:$L$338,$M$333:$M$338,5,"dist",Summary!#REF!,$M$332,$O$332)</f>
        <v>#VALUE!</v>
      </c>
      <c r="P337" t="e">
        <f>#REF!</f>
        <v>#REF!</v>
      </c>
      <c r="Q337" t="e">
        <f>#REF!</f>
        <v>#REF!</v>
      </c>
      <c r="R337" t="e" cm="1">
        <f t="array" ref="R337">pareto($P$333:$P$338,$Q$333:$Q$338,5,"rate",Summary!#REF!,$M$332,$O$332)</f>
        <v>#VALUE!</v>
      </c>
      <c r="S337" t="e" cm="1">
        <f t="array" ref="S337">pareto($P$333:$P$338,$Q$333:$Q$338,5,"dist",Summary!#REF!,$M$332,$O$332)</f>
        <v>#VALUE!</v>
      </c>
      <c r="V337" t="e">
        <f>#REF!</f>
        <v>#REF!</v>
      </c>
      <c r="W337" t="e">
        <f>#REF!</f>
        <v>#REF!</v>
      </c>
      <c r="X337" t="e" cm="1">
        <f t="array" ref="X337">pareto($V$333:$V$338,$W$333:$W$338,5,"rate",Summary!#REF!,$W$332,$Y$332)</f>
        <v>#VALUE!</v>
      </c>
      <c r="Y337" t="e" cm="1">
        <f t="array" ref="Y337">pareto($V$333:$V$338,$W$333:$W$338,5,"dist",Summary!#REF!,$W$332,$Y$332)</f>
        <v>#VALUE!</v>
      </c>
      <c r="Z337" t="e">
        <f>#REF!</f>
        <v>#REF!</v>
      </c>
      <c r="AA337" t="e">
        <f>#REF!</f>
        <v>#REF!</v>
      </c>
      <c r="AB337" t="e" cm="1">
        <f t="array" ref="AB337">pareto($Z$333:$Z$338,$AA$333:$AA$338,5,"rate",Summary!#REF!,$W$332,$Y$332)</f>
        <v>#VALUE!</v>
      </c>
      <c r="AC337" t="e" cm="1">
        <f t="array" ref="AC337">pareto($Z$333:$Z$338,$AA$333:$AA$338,5,"dist",Summary!#REF!,$W$332,$Y$332)</f>
        <v>#VALUE!</v>
      </c>
      <c r="AF337" t="e">
        <f>#REF!</f>
        <v>#REF!</v>
      </c>
      <c r="AG337" t="e">
        <f>#REF!</f>
        <v>#REF!</v>
      </c>
      <c r="AH337" t="e" cm="1">
        <f t="array" ref="AH337">pareto($AF$333:$AF$338,$AG$333:$AG$338,5,"rate",Summary!#REF!,$AG$332,$AI$332)</f>
        <v>#VALUE!</v>
      </c>
      <c r="AI337" t="e" cm="1">
        <f t="array" ref="AI337">pareto($AF$333:$AF$338,$AG$333:$AG$338,5,"dist",Summary!#REF!,$AG$332,$AI$332)</f>
        <v>#VALUE!</v>
      </c>
      <c r="AJ337" t="e">
        <f>#REF!</f>
        <v>#REF!</v>
      </c>
      <c r="AK337" t="e">
        <f>#REF!</f>
        <v>#REF!</v>
      </c>
      <c r="AL337" t="e" cm="1">
        <f t="array" ref="AL337">pareto($AJ$333:$AJ$338,$AK$333:$AK$338,5,"rate",Summary!#REF!,$AG$332,$AI$332)</f>
        <v>#VALUE!</v>
      </c>
      <c r="AM337" t="e" cm="1">
        <f t="array" ref="AM337">pareto($AJ$333:$AJ$338,$AK$333:$AK$338,5,"dist",Summary!#REF!,$AG$332,$AI$332)</f>
        <v>#VALUE!</v>
      </c>
      <c r="AZ337" s="36" t="e">
        <f>#REF!</f>
        <v>#REF!</v>
      </c>
      <c r="BA337" s="36" t="e">
        <f>#REF!</f>
        <v>#REF!</v>
      </c>
      <c r="BB337" t="e" cm="1">
        <f t="array" ref="BB337">pareto($AZ$333:$AZ$338,$BA$333:$BA$338,5,"rate",Summary!#REF!,$BA$332,$BC$332)</f>
        <v>#VALUE!</v>
      </c>
      <c r="BC337" t="e" cm="1">
        <f t="array" ref="BC337">pareto($AZ$333:$AZ$338,$BA$333:$BA$338,5,"dist",Summary!#REF!,$BA$332,$BC$332)</f>
        <v>#VALUE!</v>
      </c>
      <c r="BD337" s="36" t="e">
        <f>#REF!</f>
        <v>#REF!</v>
      </c>
      <c r="BE337" s="36" t="e">
        <f>#REF!</f>
        <v>#REF!</v>
      </c>
      <c r="BF337" t="e" cm="1">
        <f t="array" ref="BF337">pareto($BD$333:$BD$338,$BE$333:$BE$338,5,"rate",Summary!#REF!,$BA$332,$BC$332)</f>
        <v>#VALUE!</v>
      </c>
      <c r="BG337" t="e" cm="1">
        <f t="array" ref="BG337">pareto($BD$333:$BD$338,$BE$333:$BE$338,5,"dist",Summary!#REF!,$BA$332,$BC$332)</f>
        <v>#VALUE!</v>
      </c>
    </row>
    <row r="338" spans="12:59" x14ac:dyDescent="0.25">
      <c r="L338" t="e">
        <f>#REF!</f>
        <v>#REF!</v>
      </c>
      <c r="M338" s="36" t="e">
        <f>#REF!</f>
        <v>#REF!</v>
      </c>
      <c r="N338" t="e" cm="1">
        <f t="array" ref="N338">pareto($L$333:$L$338,$M$333:$M$338,6,"rate",Summary!#REF!,$M$332,$O$332)</f>
        <v>#VALUE!</v>
      </c>
      <c r="O338" t="e" cm="1">
        <f t="array" ref="O338">pareto($L$333:$L$338,$M$333:$M$338,6,"dist",Summary!#REF!,$M$332,$O$332)</f>
        <v>#VALUE!</v>
      </c>
      <c r="P338" t="e">
        <f>#REF!</f>
        <v>#REF!</v>
      </c>
      <c r="Q338" t="e">
        <f>#REF!</f>
        <v>#REF!</v>
      </c>
      <c r="R338" t="e" cm="1">
        <f t="array" ref="R338">pareto($P$333:$P$338,$Q$333:$Q$338,6,"rate",Summary!#REF!,$M$332,$O$332)</f>
        <v>#VALUE!</v>
      </c>
      <c r="S338" t="e" cm="1">
        <f t="array" ref="S338">pareto($P$333:$P$338,$Q$333:$Q$338,6,"dist",Summary!#REF!,$M$332,$O$332)</f>
        <v>#VALUE!</v>
      </c>
      <c r="V338" t="e">
        <f>#REF!</f>
        <v>#REF!</v>
      </c>
      <c r="W338" t="e">
        <f>#REF!</f>
        <v>#REF!</v>
      </c>
      <c r="X338" t="e" cm="1">
        <f t="array" ref="X338">pareto($V$333:$V$338,$W$333:$W$338,6,"rate",Summary!#REF!,$W$332,$Y$332)</f>
        <v>#VALUE!</v>
      </c>
      <c r="Y338" t="e" cm="1">
        <f t="array" ref="Y338">pareto($V$333:$V$338,$W$333:$W$338,6,"dist",Summary!#REF!,$W$332,$Y$332)</f>
        <v>#VALUE!</v>
      </c>
      <c r="Z338" t="e">
        <f>#REF!</f>
        <v>#REF!</v>
      </c>
      <c r="AA338" t="e">
        <f>#REF!</f>
        <v>#REF!</v>
      </c>
      <c r="AB338" t="e" cm="1">
        <f t="array" ref="AB338">pareto($Z$333:$Z$338,$AA$333:$AA$338,6,"rate",Summary!#REF!,$W$332,$Y$332)</f>
        <v>#VALUE!</v>
      </c>
      <c r="AC338" t="e" cm="1">
        <f t="array" ref="AC338">pareto($Z$333:$Z$338,$AA$333:$AA$338,6,"dist",Summary!#REF!,$W$332,$Y$332)</f>
        <v>#VALUE!</v>
      </c>
      <c r="AF338" t="e">
        <f>#REF!</f>
        <v>#REF!</v>
      </c>
      <c r="AG338" t="e">
        <f>#REF!</f>
        <v>#REF!</v>
      </c>
      <c r="AH338" t="e" cm="1">
        <f t="array" ref="AH338">pareto($AF$333:$AF$338,$AG$333:$AG$338,6,"rate",Summary!#REF!,$AG$332,$AI$332)</f>
        <v>#VALUE!</v>
      </c>
      <c r="AI338" t="e" cm="1">
        <f t="array" ref="AI338">pareto($AF$333:$AF$338,$AG$333:$AG$338,6,"dist",Summary!#REF!,$AG$332,$AI$332)</f>
        <v>#VALUE!</v>
      </c>
      <c r="AJ338" t="e">
        <f>#REF!</f>
        <v>#REF!</v>
      </c>
      <c r="AK338" t="e">
        <f>#REF!</f>
        <v>#REF!</v>
      </c>
      <c r="AL338" t="e" cm="1">
        <f t="array" ref="AL338">pareto($AJ$333:$AJ$338,$AK$333:$AK$338,6,"rate",Summary!#REF!,$AG$332,$AI$332)</f>
        <v>#VALUE!</v>
      </c>
      <c r="AM338" t="e" cm="1">
        <f t="array" ref="AM338">pareto($AJ$333:$AJ$338,$AK$333:$AK$338,6,"dist",Summary!#REF!,$AG$332,$AI$332)</f>
        <v>#VALUE!</v>
      </c>
      <c r="AZ338" s="36" t="e">
        <f>#REF!</f>
        <v>#REF!</v>
      </c>
      <c r="BA338" s="36" t="e">
        <f>#REF!</f>
        <v>#REF!</v>
      </c>
      <c r="BB338" t="e" cm="1">
        <f t="array" ref="BB338">pareto($AZ$333:$AZ$338,$BA$333:$BA$338,6,"rate",Summary!#REF!,$BA$332,$BC$332)</f>
        <v>#VALUE!</v>
      </c>
      <c r="BC338" t="e" cm="1">
        <f t="array" ref="BC338">pareto($AZ$333:$AZ$338,$BA$333:$BA$338,6,"dist",Summary!#REF!,$BA$332,$BC$332)</f>
        <v>#VALUE!</v>
      </c>
      <c r="BD338" s="36" t="e">
        <f>#REF!</f>
        <v>#REF!</v>
      </c>
      <c r="BE338" s="36" t="e">
        <f>#REF!</f>
        <v>#REF!</v>
      </c>
      <c r="BF338" t="e" cm="1">
        <f t="array" ref="BF338">pareto($BD$333:$BD$338,$BE$333:$BE$338,6,"rate",Summary!#REF!,$BA$332,$BC$332)</f>
        <v>#VALUE!</v>
      </c>
      <c r="BG338" t="e" cm="1">
        <f t="array" ref="BG338">pareto($BD$333:$BD$338,$BE$333:$BE$338,6,"dist",Summary!#REF!,$BA$332,$BC$332)</f>
        <v>#VALUE!</v>
      </c>
    </row>
    <row r="339" spans="12:59" x14ac:dyDescent="0.25">
      <c r="BD339" s="36"/>
      <c r="BE339" s="36"/>
    </row>
    <row r="340" spans="12:59" x14ac:dyDescent="0.25">
      <c r="BD340" s="36"/>
      <c r="BE340" s="36"/>
    </row>
    <row r="341" spans="12:59" x14ac:dyDescent="0.25">
      <c r="BD341" s="36"/>
      <c r="BE341" s="36"/>
    </row>
    <row r="342" spans="12:59" x14ac:dyDescent="0.25">
      <c r="BD342" s="36"/>
      <c r="BE342" s="36"/>
    </row>
    <row r="343" spans="12:59" x14ac:dyDescent="0.25">
      <c r="BD343" s="36"/>
      <c r="BE343" s="36"/>
    </row>
    <row r="344" spans="12:59" x14ac:dyDescent="0.25">
      <c r="BD344" s="36"/>
      <c r="BE344" s="36"/>
    </row>
    <row r="345" spans="12:59" x14ac:dyDescent="0.25">
      <c r="BD345" s="36"/>
      <c r="BE345" s="36"/>
    </row>
    <row r="346" spans="12:59" x14ac:dyDescent="0.25">
      <c r="BD346" s="36"/>
      <c r="BE346" s="36"/>
    </row>
    <row r="347" spans="12:59" x14ac:dyDescent="0.25">
      <c r="BD347" s="36"/>
      <c r="BE347" s="36"/>
    </row>
    <row r="348" spans="12:59" x14ac:dyDescent="0.25">
      <c r="BD348" s="36"/>
      <c r="BE348" s="36"/>
    </row>
    <row r="349" spans="12:59" x14ac:dyDescent="0.25">
      <c r="BD349" s="36"/>
      <c r="BE349" s="36"/>
    </row>
    <row r="350" spans="12:59" x14ac:dyDescent="0.25">
      <c r="BD350" s="36"/>
      <c r="BE350" s="36"/>
    </row>
    <row r="351" spans="12:59" x14ac:dyDescent="0.25">
      <c r="BD351" s="36"/>
      <c r="BE351" s="36"/>
    </row>
    <row r="352" spans="12:59" x14ac:dyDescent="0.25">
      <c r="BD352" s="36"/>
      <c r="BE352" s="36"/>
    </row>
    <row r="353" spans="11:57" x14ac:dyDescent="0.25">
      <c r="BD353" s="36"/>
      <c r="BE353" s="36"/>
    </row>
    <row r="354" spans="11:57" x14ac:dyDescent="0.25">
      <c r="BD354" s="36"/>
      <c r="BE354" s="36"/>
    </row>
    <row r="355" spans="11:57" x14ac:dyDescent="0.25">
      <c r="BD355" s="36"/>
      <c r="BE355" s="36"/>
    </row>
    <row r="356" spans="11:57" x14ac:dyDescent="0.25">
      <c r="BD356" s="36"/>
      <c r="BE356" s="36"/>
    </row>
    <row r="357" spans="11:57" x14ac:dyDescent="0.25">
      <c r="K357" t="s">
        <v>64</v>
      </c>
      <c r="L357" t="s">
        <v>40</v>
      </c>
      <c r="M357">
        <v>41.49</v>
      </c>
      <c r="N357" t="s">
        <v>44</v>
      </c>
      <c r="O357">
        <v>20</v>
      </c>
    </row>
    <row r="358" spans="11:57" x14ac:dyDescent="0.25">
      <c r="L358" t="e">
        <f>#REF!</f>
        <v>#REF!</v>
      </c>
      <c r="M358" s="36" t="e">
        <f>#REF!</f>
        <v>#REF!</v>
      </c>
      <c r="N358" t="e" cm="1">
        <f t="array" ref="N358">pareto($L$358:$L$363,$M$358:$M$363,1,"rate",Summary!#REF!,$M$357,$O$357)</f>
        <v>#VALUE!</v>
      </c>
      <c r="O358" t="e" cm="1">
        <f t="array" ref="O358">pareto($L$358:$L$363,$M$358:$M$363,1,"dist",Summary!#REF!,$M$357,$O$357)</f>
        <v>#VALUE!</v>
      </c>
      <c r="P358" t="e">
        <f>#REF!</f>
        <v>#REF!</v>
      </c>
      <c r="Q358" t="e">
        <f>#REF!</f>
        <v>#REF!</v>
      </c>
      <c r="R358" t="e" cm="1">
        <f t="array" ref="R358">pareto($P$358:$P$363,$Q$358:$Q$363,1,"rate",Summary!#REF!,$M$357,$O$357)</f>
        <v>#VALUE!</v>
      </c>
      <c r="S358" t="e" cm="1">
        <f t="array" ref="S358">pareto($P$358:$P$363,$Q$358:$Q$363,1,"dist",Summary!#REF!,$M$357,$O$357)</f>
        <v>#VALUE!</v>
      </c>
    </row>
    <row r="359" spans="11:57" x14ac:dyDescent="0.25">
      <c r="L359" t="e">
        <f>#REF!</f>
        <v>#REF!</v>
      </c>
      <c r="M359" s="36" t="e">
        <f>#REF!</f>
        <v>#REF!</v>
      </c>
      <c r="N359" t="e" cm="1">
        <f t="array" ref="N359">pareto($L$358:$L$363,$M$358:$M$363,2,"rate",Summary!#REF!,$M$357,$O$357)</f>
        <v>#VALUE!</v>
      </c>
      <c r="O359" t="e" cm="1">
        <f t="array" ref="O359">pareto($L$358:$L$363,$M$358:$M$363,2,"dist",Summary!#REF!,$M$357,$O$357)</f>
        <v>#VALUE!</v>
      </c>
      <c r="P359" t="e">
        <f>#REF!</f>
        <v>#REF!</v>
      </c>
      <c r="Q359" t="e">
        <f>#REF!</f>
        <v>#REF!</v>
      </c>
      <c r="R359" t="e" cm="1">
        <f t="array" ref="R359">pareto($P$358:$P$363,$Q$358:$Q$363,2,"rate",Summary!#REF!,$M$357,$O$357)</f>
        <v>#VALUE!</v>
      </c>
      <c r="S359" t="e" cm="1">
        <f t="array" ref="S359">pareto($P$358:$P$363,$Q$358:$Q$363,2,"dist",Summary!#REF!,$M$357,$O$357)</f>
        <v>#VALUE!</v>
      </c>
    </row>
    <row r="360" spans="11:57" x14ac:dyDescent="0.25">
      <c r="L360" t="e">
        <f>#REF!</f>
        <v>#REF!</v>
      </c>
      <c r="M360" s="36" t="e">
        <f>#REF!</f>
        <v>#REF!</v>
      </c>
      <c r="N360" t="e" cm="1">
        <f t="array" ref="N360">pareto($L$358:$L$363,$M$358:$M$363,3,"rate",Summary!#REF!,$M$357,$O$357)</f>
        <v>#VALUE!</v>
      </c>
      <c r="O360" t="e" cm="1">
        <f t="array" ref="O360">pareto($L$358:$L$363,$M$358:$M$363,3,"dist",Summary!#REF!,$M$357,$O$357)</f>
        <v>#VALUE!</v>
      </c>
      <c r="P360" t="e">
        <f>#REF!</f>
        <v>#REF!</v>
      </c>
      <c r="Q360" t="e">
        <f>#REF!</f>
        <v>#REF!</v>
      </c>
      <c r="R360" t="e" cm="1">
        <f t="array" ref="R360">pareto($P$358:$P$363,$Q$358:$Q$363,3,"rate",Summary!#REF!,$M$357,$O$357)</f>
        <v>#VALUE!</v>
      </c>
      <c r="S360" t="e" cm="1">
        <f t="array" ref="S360">pareto($P$358:$P$363,$Q$358:$Q$363,3,"dist",Summary!#REF!,$M$357,$O$357)</f>
        <v>#VALUE!</v>
      </c>
    </row>
    <row r="361" spans="11:57" x14ac:dyDescent="0.25">
      <c r="L361" t="e">
        <f>#REF!</f>
        <v>#REF!</v>
      </c>
      <c r="M361" s="36" t="e">
        <f>#REF!</f>
        <v>#REF!</v>
      </c>
      <c r="N361" t="e" cm="1">
        <f t="array" ref="N361">pareto($L$358:$L$363,$M$358:$M$363,4,"rate",Summary!#REF!,$M$357,$O$357)</f>
        <v>#VALUE!</v>
      </c>
      <c r="O361" t="e" cm="1">
        <f t="array" ref="O361">pareto($L$358:$L$363,$M$358:$M$363,4,"dist",Summary!#REF!,$M$357,$O$357)</f>
        <v>#VALUE!</v>
      </c>
      <c r="P361" t="e">
        <f>#REF!</f>
        <v>#REF!</v>
      </c>
      <c r="Q361" t="e">
        <f>#REF!</f>
        <v>#REF!</v>
      </c>
      <c r="R361" t="e" cm="1">
        <f t="array" ref="R361">pareto($P$358:$P$363,$Q$358:$Q$363,4,"rate",Summary!#REF!,$M$357,$O$357)</f>
        <v>#VALUE!</v>
      </c>
      <c r="S361" t="e" cm="1">
        <f t="array" ref="S361">pareto($P$358:$P$363,$Q$358:$Q$363,4,"dist",Summary!#REF!,$M$357,$O$357)</f>
        <v>#VALUE!</v>
      </c>
    </row>
    <row r="362" spans="11:57" x14ac:dyDescent="0.25">
      <c r="L362" t="e">
        <f>#REF!</f>
        <v>#REF!</v>
      </c>
      <c r="M362" s="36" t="e">
        <f>#REF!</f>
        <v>#REF!</v>
      </c>
      <c r="N362" t="e" cm="1">
        <f t="array" ref="N362">pareto($L$358:$L$363,$M$358:$M$363,5,"rate",Summary!#REF!,$M$357,$O$357)</f>
        <v>#VALUE!</v>
      </c>
      <c r="O362" t="e" cm="1">
        <f t="array" ref="O362">pareto($L$358:$L$363,$M$358:$M$363,5,"dist",Summary!#REF!,$M$357,$O$357)</f>
        <v>#VALUE!</v>
      </c>
      <c r="P362" t="e">
        <f>#REF!</f>
        <v>#REF!</v>
      </c>
      <c r="Q362" t="e">
        <f>#REF!</f>
        <v>#REF!</v>
      </c>
      <c r="R362" t="e" cm="1">
        <f t="array" ref="R362">pareto($P$358:$P$363,$Q$358:$Q$363,5,"rate",Summary!#REF!,$M$357,$O$357)</f>
        <v>#VALUE!</v>
      </c>
      <c r="S362" t="e" cm="1">
        <f t="array" ref="S362">pareto($P$358:$P$363,$Q$358:$Q$363,5,"dist",Summary!#REF!,$M$357,$O$357)</f>
        <v>#VALUE!</v>
      </c>
    </row>
    <row r="363" spans="11:57" x14ac:dyDescent="0.25">
      <c r="L363" t="e">
        <f>#REF!</f>
        <v>#REF!</v>
      </c>
      <c r="M363" s="36" t="e">
        <f>#REF!</f>
        <v>#REF!</v>
      </c>
      <c r="N363" t="e" cm="1">
        <f t="array" ref="N363">pareto($L$358:$L$363,$M$358:$M$363,6,"rate",Summary!#REF!,$M$357,$O$357)</f>
        <v>#VALUE!</v>
      </c>
      <c r="O363" t="e" cm="1">
        <f t="array" ref="O363">pareto($L$358:$L$363,$M$358:$M$363,6,"dist",Summary!#REF!,$M$357,$O$357)</f>
        <v>#VALUE!</v>
      </c>
      <c r="P363" t="e">
        <f>#REF!</f>
        <v>#REF!</v>
      </c>
      <c r="Q363" t="e">
        <f>#REF!</f>
        <v>#REF!</v>
      </c>
      <c r="R363" t="e" cm="1">
        <f t="array" ref="R363">pareto($P$358:$P$363,$Q$358:$Q$363,6,"rate",Summary!#REF!,$M$357,$O$357)</f>
        <v>#VALUE!</v>
      </c>
      <c r="S363" t="e" cm="1">
        <f t="array" ref="S363">pareto($P$358:$P$363,$Q$358:$Q$363,6,"dist",Summary!#REF!,$M$357,$O$357)</f>
        <v>#VALUE!</v>
      </c>
    </row>
  </sheetData>
  <mergeCells count="72">
    <mergeCell ref="AZ255:BA255"/>
    <mergeCell ref="BB255:BC255"/>
    <mergeCell ref="BD255:BE255"/>
    <mergeCell ref="BF255:BG255"/>
    <mergeCell ref="AL255:AM255"/>
    <mergeCell ref="AP255:AQ255"/>
    <mergeCell ref="AR255:AS255"/>
    <mergeCell ref="AT255:AU255"/>
    <mergeCell ref="AV255:AW255"/>
    <mergeCell ref="Z255:AA255"/>
    <mergeCell ref="AB255:AC255"/>
    <mergeCell ref="AF255:AG255"/>
    <mergeCell ref="AH255:AI255"/>
    <mergeCell ref="AJ255:AK255"/>
    <mergeCell ref="N255:O255"/>
    <mergeCell ref="P255:Q255"/>
    <mergeCell ref="R255:S255"/>
    <mergeCell ref="V255:W255"/>
    <mergeCell ref="X255:Y255"/>
    <mergeCell ref="B255:C255"/>
    <mergeCell ref="D255:E255"/>
    <mergeCell ref="F255:G255"/>
    <mergeCell ref="H255:I255"/>
    <mergeCell ref="L255:M255"/>
    <mergeCell ref="AZ2:BA2"/>
    <mergeCell ref="BB2:BC2"/>
    <mergeCell ref="BD2:BE2"/>
    <mergeCell ref="BF2:BG2"/>
    <mergeCell ref="AB2:AC2"/>
    <mergeCell ref="B2:C2"/>
    <mergeCell ref="D2:E2"/>
    <mergeCell ref="F2:G2"/>
    <mergeCell ref="H2:I2"/>
    <mergeCell ref="L2:M2"/>
    <mergeCell ref="N2:O2"/>
    <mergeCell ref="P2:Q2"/>
    <mergeCell ref="R2:S2"/>
    <mergeCell ref="V2:W2"/>
    <mergeCell ref="X2:Y2"/>
    <mergeCell ref="Z2:AA2"/>
    <mergeCell ref="AT2:AU2"/>
    <mergeCell ref="AV2:AW2"/>
    <mergeCell ref="AF2:AG2"/>
    <mergeCell ref="AH2:AI2"/>
    <mergeCell ref="AJ2:AK2"/>
    <mergeCell ref="AL2:AM2"/>
    <mergeCell ref="AP2:AQ2"/>
    <mergeCell ref="AR2:AS2"/>
    <mergeCell ref="B125:C125"/>
    <mergeCell ref="D125:E125"/>
    <mergeCell ref="F125:G125"/>
    <mergeCell ref="H125:I125"/>
    <mergeCell ref="L125:M125"/>
    <mergeCell ref="N125:O125"/>
    <mergeCell ref="P125:Q125"/>
    <mergeCell ref="R125:S125"/>
    <mergeCell ref="V125:W125"/>
    <mergeCell ref="X125:Y125"/>
    <mergeCell ref="Z125:AA125"/>
    <mergeCell ref="AB125:AC125"/>
    <mergeCell ref="AF125:AG125"/>
    <mergeCell ref="AH125:AI125"/>
    <mergeCell ref="AJ125:AK125"/>
    <mergeCell ref="AZ125:BA125"/>
    <mergeCell ref="BB125:BC125"/>
    <mergeCell ref="BD125:BE125"/>
    <mergeCell ref="BF125:BG125"/>
    <mergeCell ref="AL125:AM125"/>
    <mergeCell ref="AP125:AQ125"/>
    <mergeCell ref="AR125:AS125"/>
    <mergeCell ref="AT125:AU125"/>
    <mergeCell ref="AV125:AW125"/>
  </mergeCells>
  <phoneticPr fontId="8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S140"/>
  <sheetViews>
    <sheetView zoomScale="85" zoomScaleNormal="85" workbookViewId="0">
      <selection activeCell="E5" sqref="E5"/>
    </sheetView>
  </sheetViews>
  <sheetFormatPr defaultColWidth="10.625" defaultRowHeight="16.5" x14ac:dyDescent="0.25"/>
  <cols>
    <col min="1" max="1" width="23.625" customWidth="1"/>
    <col min="11" max="11" width="13.5" customWidth="1"/>
    <col min="13" max="13" width="14" customWidth="1"/>
  </cols>
  <sheetData>
    <row r="1" spans="1:19" x14ac:dyDescent="0.25">
      <c r="A1" t="s">
        <v>146</v>
      </c>
      <c r="B1" s="312" t="s">
        <v>26</v>
      </c>
      <c r="C1" s="312"/>
      <c r="D1" s="312" t="s">
        <v>27</v>
      </c>
      <c r="E1" s="312"/>
      <c r="F1" s="312" t="s">
        <v>28</v>
      </c>
      <c r="G1" s="312"/>
      <c r="H1" s="312" t="s">
        <v>29</v>
      </c>
      <c r="I1" s="312"/>
      <c r="J1" s="17"/>
      <c r="K1" s="30" t="s">
        <v>19</v>
      </c>
      <c r="L1" s="312"/>
      <c r="M1" s="312"/>
      <c r="N1" s="312"/>
      <c r="O1" s="312"/>
      <c r="P1" s="312"/>
      <c r="Q1" s="312"/>
      <c r="R1" s="312"/>
      <c r="S1" s="312"/>
    </row>
    <row r="2" spans="1:19" x14ac:dyDescent="0.25">
      <c r="B2" t="s">
        <v>24</v>
      </c>
      <c r="C2" t="s">
        <v>31</v>
      </c>
      <c r="D2" t="s">
        <v>24</v>
      </c>
      <c r="E2" t="s">
        <v>31</v>
      </c>
      <c r="F2" t="s">
        <v>24</v>
      </c>
      <c r="G2" t="s">
        <v>31</v>
      </c>
      <c r="H2" t="s">
        <v>24</v>
      </c>
      <c r="I2" t="s">
        <v>31</v>
      </c>
      <c r="K2" s="30" t="s">
        <v>20</v>
      </c>
    </row>
    <row r="3" spans="1:19" x14ac:dyDescent="0.25">
      <c r="A3" t="s">
        <v>110</v>
      </c>
      <c r="B3" t="s">
        <v>40</v>
      </c>
      <c r="C3">
        <v>36.799999999999997</v>
      </c>
      <c r="D3" t="s">
        <v>215</v>
      </c>
      <c r="E3">
        <v>25</v>
      </c>
      <c r="K3" t="s">
        <v>21</v>
      </c>
      <c r="Q3" s="36"/>
    </row>
    <row r="4" spans="1:19" x14ac:dyDescent="0.25">
      <c r="B4" t="e">
        <f>#REF!</f>
        <v>#REF!</v>
      </c>
      <c r="C4" t="e">
        <f>#REF!</f>
        <v>#REF!</v>
      </c>
      <c r="D4" t="e" cm="1">
        <f t="array" ref="D4">pareto($B$4:$B$27,$C$4:$C$27,1,"rate",Summary!#REF!,$C$3,$E$3)</f>
        <v>#VALUE!</v>
      </c>
      <c r="E4" t="e" cm="1">
        <f t="array" ref="E4">pareto($B$4:$B$27,$C$4:$C$27,1,"dist",Summary!#REF!,$C$3,$E$3)</f>
        <v>#VALUE!</v>
      </c>
      <c r="F4" t="e">
        <f>#REF!</f>
        <v>#REF!</v>
      </c>
      <c r="G4" t="e">
        <f>#REF!</f>
        <v>#REF!</v>
      </c>
      <c r="H4" t="e" cm="1">
        <f t="array" ref="H4">pareto($F$4:$F$27,$G$4:$G$27,1,"rate",Summary!#REF!,$C$3,$E$3)</f>
        <v>#VALUE!</v>
      </c>
      <c r="I4" t="e" cm="1">
        <f t="array" ref="I4">pareto($F$4:$F$27,$G$4:$G$27,1,"dist",Summary!#REF!,$C$3,$E$3)</f>
        <v>#VALUE!</v>
      </c>
      <c r="K4" t="s">
        <v>22</v>
      </c>
    </row>
    <row r="5" spans="1:19" x14ac:dyDescent="0.25">
      <c r="B5" t="e">
        <f>#REF!</f>
        <v>#REF!</v>
      </c>
      <c r="C5" t="e">
        <f>#REF!</f>
        <v>#REF!</v>
      </c>
      <c r="D5" t="e" cm="1">
        <f t="array" ref="D5">pareto($B$4:$B$27,$C$4:$C$27,2,"rate",Summary!#REF!,$C$3,$E$3)</f>
        <v>#VALUE!</v>
      </c>
      <c r="E5" t="e" cm="1">
        <f t="array" ref="E5">pareto($B$4:$B$27,$C$4:$C$27,2,"dist",Summary!#REF!,$C$3,$E$3)</f>
        <v>#VALUE!</v>
      </c>
      <c r="F5" t="e">
        <f>#REF!</f>
        <v>#REF!</v>
      </c>
      <c r="G5" t="e">
        <f>#REF!</f>
        <v>#REF!</v>
      </c>
      <c r="H5" t="e" cm="1">
        <f t="array" ref="H5">pareto($F$4:$F$27,$G$4:$G$27,2,"rate",Summary!#REF!,$C$3,$E$3)</f>
        <v>#VALUE!</v>
      </c>
      <c r="I5" t="e" cm="1">
        <f t="array" ref="I5">pareto($F$4:$F$27,$G$4:$G$27,2,"dist",Summary!#REF!,$C$3,$E$3)</f>
        <v>#VALUE!</v>
      </c>
      <c r="K5" t="s">
        <v>45</v>
      </c>
    </row>
    <row r="6" spans="1:19" x14ac:dyDescent="0.25">
      <c r="B6" t="e">
        <f>#REF!</f>
        <v>#REF!</v>
      </c>
      <c r="C6" t="e">
        <f>#REF!</f>
        <v>#REF!</v>
      </c>
      <c r="D6" t="e" cm="1">
        <f t="array" ref="D6">pareto($B$4:$B$27,$C$4:$C$27,3,"rate",Summary!#REF!,$C$3,$E$3)</f>
        <v>#VALUE!</v>
      </c>
      <c r="E6" t="e" cm="1">
        <f t="array" ref="E6">pareto($B$4:$B$27,$C$4:$C$27,3,"dist",Summary!#REF!,$C$3,$E$3)</f>
        <v>#VALUE!</v>
      </c>
      <c r="F6" t="e">
        <f>#REF!</f>
        <v>#REF!</v>
      </c>
      <c r="G6" t="e">
        <f>#REF!</f>
        <v>#REF!</v>
      </c>
      <c r="H6" t="e" cm="1">
        <f t="array" ref="H6">pareto($F$4:$F$27,$G$4:$G$27,3,"rate",Summary!#REF!,$C$3,$E$3)</f>
        <v>#VALUE!</v>
      </c>
      <c r="I6" t="e" cm="1">
        <f t="array" ref="I6">pareto($F$4:$F$27,$G$4:$G$27,3,"dist",Summary!#REF!,$C$3,$E$3)</f>
        <v>#VALUE!</v>
      </c>
    </row>
    <row r="7" spans="1:19" x14ac:dyDescent="0.25">
      <c r="B7" t="e">
        <f>#REF!</f>
        <v>#REF!</v>
      </c>
      <c r="C7" t="e">
        <f>#REF!</f>
        <v>#REF!</v>
      </c>
      <c r="D7" t="e" cm="1">
        <f t="array" ref="D7">pareto($B$4:$B$27,$C$4:$C$27,4,"rate",Summary!#REF!,$C$3,$E$3)</f>
        <v>#VALUE!</v>
      </c>
      <c r="E7" t="e" cm="1">
        <f t="array" ref="E7">pareto($B$4:$B$27,$C$4:$C$27,4,"dist",Summary!#REF!,$C$3,$E$3)</f>
        <v>#VALUE!</v>
      </c>
      <c r="F7" t="e">
        <f>#REF!</f>
        <v>#REF!</v>
      </c>
      <c r="G7" t="e">
        <f>#REF!</f>
        <v>#REF!</v>
      </c>
      <c r="H7" t="e" cm="1">
        <f t="array" ref="H7">pareto($F$4:$F$27,$G$4:$G$27,4,"rate",Summary!#REF!,$C$3,$E$3)</f>
        <v>#VALUE!</v>
      </c>
      <c r="I7" t="e" cm="1">
        <f t="array" ref="I7">pareto($F$4:$F$27,$G$4:$G$27,4,"dist",Summary!#REF!,$C$3,$E$3)</f>
        <v>#VALUE!</v>
      </c>
    </row>
    <row r="8" spans="1:19" x14ac:dyDescent="0.25">
      <c r="B8" t="e">
        <f>#REF!</f>
        <v>#REF!</v>
      </c>
      <c r="C8" t="e">
        <f>#REF!</f>
        <v>#REF!</v>
      </c>
      <c r="D8" t="e" cm="1">
        <f t="array" ref="D8">pareto($B$4:$B$27,$C$4:$C$27,5,"rate",Summary!#REF!,$C$3,$E$3)</f>
        <v>#VALUE!</v>
      </c>
      <c r="E8" t="e" cm="1">
        <f t="array" ref="E8">pareto($B$4:$B$27,$C$4:$C$27,5,"dist",Summary!#REF!,$C$3,$E$3)</f>
        <v>#VALUE!</v>
      </c>
      <c r="F8" t="e">
        <f>#REF!</f>
        <v>#REF!</v>
      </c>
      <c r="G8" t="e">
        <f>#REF!</f>
        <v>#REF!</v>
      </c>
      <c r="H8" t="e" cm="1">
        <f t="array" ref="H8">pareto($F$4:$F$27,$G$4:$G$27,5,"rate",Summary!#REF!,$C$3,$E$3)</f>
        <v>#VALUE!</v>
      </c>
      <c r="I8" t="e" cm="1">
        <f t="array" ref="I8">pareto($F$4:$F$27,$G$4:$G$27,5,"dist",Summary!#REF!,$C$3,$E$3)</f>
        <v>#VALUE!</v>
      </c>
    </row>
    <row r="9" spans="1:19" x14ac:dyDescent="0.25">
      <c r="B9" t="e">
        <f>#REF!</f>
        <v>#REF!</v>
      </c>
      <c r="C9" t="e">
        <f>#REF!</f>
        <v>#REF!</v>
      </c>
      <c r="D9" t="e" cm="1">
        <f t="array" ref="D9">pareto($B$4:$B$27,$C$4:$C$27,6,"rate",Summary!#REF!,$C$3,$E$3)</f>
        <v>#VALUE!</v>
      </c>
      <c r="E9" t="e" cm="1">
        <f t="array" ref="E9">pareto($B$4:$B$27,$C$4:$C$27,6,"dist",Summary!#REF!,$C$3,$E$3)</f>
        <v>#VALUE!</v>
      </c>
      <c r="F9" t="e">
        <f>#REF!</f>
        <v>#REF!</v>
      </c>
      <c r="G9" t="e">
        <f>#REF!</f>
        <v>#REF!</v>
      </c>
      <c r="H9" t="e" cm="1">
        <f t="array" ref="H9">pareto($F$4:$F$27,$G$4:$G$27,6,"rate",Summary!#REF!,$C$3,$E$3)</f>
        <v>#VALUE!</v>
      </c>
      <c r="I9" t="e" cm="1">
        <f t="array" ref="I9">pareto($F$4:$F$27,$G$4:$G$27,6,"dist",Summary!#REF!,$C$3,$E$3)</f>
        <v>#VALUE!</v>
      </c>
    </row>
    <row r="11" spans="1:19" x14ac:dyDescent="0.25">
      <c r="B11" s="36"/>
    </row>
    <row r="28" spans="1:17" x14ac:dyDescent="0.25">
      <c r="A28" t="s">
        <v>111</v>
      </c>
      <c r="B28" t="s">
        <v>40</v>
      </c>
      <c r="C28">
        <v>55.4</v>
      </c>
      <c r="D28" t="s">
        <v>44</v>
      </c>
      <c r="E28">
        <v>25</v>
      </c>
      <c r="M28" s="139"/>
      <c r="Q28" s="36"/>
    </row>
    <row r="29" spans="1:17" x14ac:dyDescent="0.25">
      <c r="B29" t="e">
        <f>#REF!</f>
        <v>#REF!</v>
      </c>
      <c r="C29" t="e">
        <f>#REF!</f>
        <v>#REF!</v>
      </c>
      <c r="D29" t="e" cm="1">
        <f t="array" ref="D29">pareto($B$29:$B$52,$C$29:$C$52,1,"rate",Summary!#REF!,$C$28,$E$28)</f>
        <v>#VALUE!</v>
      </c>
      <c r="E29" t="e" cm="1">
        <f t="array" ref="E29">pareto($B$29:$B$52,$C$29:$C$52,1,"dist",Summary!#REF!,$C$28,$E$28)</f>
        <v>#VALUE!</v>
      </c>
      <c r="F29" t="e">
        <f>#REF!</f>
        <v>#REF!</v>
      </c>
      <c r="G29" t="e">
        <f>#REF!</f>
        <v>#REF!</v>
      </c>
      <c r="H29" t="e" cm="1">
        <f t="array" ref="H29">pareto($F$29:$F$52,$G$29:$G$52,1,"rate",Summary!#REF!,$C$28,$E$28)</f>
        <v>#VALUE!</v>
      </c>
      <c r="I29" t="e" cm="1">
        <f t="array" ref="I29">pareto($F$29:$F$52,$G$29:$G$52,1,"dist",Summary!#REF!,$C$28,$E$28)</f>
        <v>#VALUE!</v>
      </c>
    </row>
    <row r="30" spans="1:17" x14ac:dyDescent="0.25">
      <c r="B30" t="e">
        <f>#REF!</f>
        <v>#REF!</v>
      </c>
      <c r="C30" t="e">
        <f>#REF!</f>
        <v>#REF!</v>
      </c>
      <c r="D30" t="e" cm="1">
        <f t="array" ref="D30">pareto($B$29:$B$52,$C$29:$C$52,2,"rate",Summary!#REF!,$C$28,$E$28)</f>
        <v>#VALUE!</v>
      </c>
      <c r="E30" t="e" cm="1">
        <f t="array" ref="E30">pareto($B$29:$B$52,$C$29:$C$52,2,"dist",Summary!#REF!,$C$28,$E$28)</f>
        <v>#VALUE!</v>
      </c>
      <c r="F30" t="e">
        <f>#REF!</f>
        <v>#REF!</v>
      </c>
      <c r="G30" t="e">
        <f>#REF!</f>
        <v>#REF!</v>
      </c>
      <c r="H30" t="e" cm="1">
        <f t="array" ref="H30">pareto($F$29:$F$52,$G$29:$G$52,2,"rate",Summary!#REF!,$C$28,$E$28)</f>
        <v>#VALUE!</v>
      </c>
      <c r="I30" t="e" cm="1">
        <f t="array" ref="I30">pareto($F$29:$F$52,$G$29:$G$52,2,"dist",Summary!#REF!,$C$28,$E$28)</f>
        <v>#VALUE!</v>
      </c>
    </row>
    <row r="31" spans="1:17" x14ac:dyDescent="0.25">
      <c r="B31" t="e">
        <f>#REF!</f>
        <v>#REF!</v>
      </c>
      <c r="C31" t="e">
        <f>#REF!</f>
        <v>#REF!</v>
      </c>
      <c r="D31" t="e" cm="1">
        <f t="array" ref="D31">pareto($B$29:$B$52,$C$29:$C$52,3,"rate",Summary!#REF!,$C$28,$E$28)</f>
        <v>#VALUE!</v>
      </c>
      <c r="E31" t="e" cm="1">
        <f t="array" ref="E31">pareto($B$29:$B$52,$C$29:$C$52,3,"dist",Summary!#REF!,$C$28,$E$28)</f>
        <v>#VALUE!</v>
      </c>
      <c r="F31" t="e">
        <f>#REF!</f>
        <v>#REF!</v>
      </c>
      <c r="G31" t="e">
        <f>#REF!</f>
        <v>#REF!</v>
      </c>
      <c r="H31" t="e" cm="1">
        <f t="array" ref="H31">pareto($F$29:$F$52,$G$29:$G$52,3,"rate",Summary!#REF!,$C$28,$E$28)</f>
        <v>#VALUE!</v>
      </c>
      <c r="I31" t="e" cm="1">
        <f t="array" ref="I31">pareto($F$29:$F$52,$G$29:$G$52,3,"dist",Summary!#REF!,$C$28,$E$28)</f>
        <v>#VALUE!</v>
      </c>
    </row>
    <row r="32" spans="1:17" x14ac:dyDescent="0.25">
      <c r="B32" t="e">
        <f>#REF!</f>
        <v>#REF!</v>
      </c>
      <c r="C32" t="e">
        <f>#REF!</f>
        <v>#REF!</v>
      </c>
      <c r="D32" t="e" cm="1">
        <f t="array" ref="D32">pareto($B$29:$B$52,$C$29:$C$52,4,"rate",Summary!#REF!,$C$28,$E$28)</f>
        <v>#VALUE!</v>
      </c>
      <c r="E32" t="e" cm="1">
        <f t="array" ref="E32">pareto($B$29:$B$52,$C$29:$C$52,4,"dist",Summary!#REF!,$C$28,$E$28)</f>
        <v>#VALUE!</v>
      </c>
      <c r="F32" t="e">
        <f>#REF!</f>
        <v>#REF!</v>
      </c>
      <c r="G32" t="e">
        <f>#REF!</f>
        <v>#REF!</v>
      </c>
      <c r="H32" t="e" cm="1">
        <f t="array" ref="H32">pareto($F$29:$F$52,$G$29:$G$52,4,"rate",Summary!#REF!,$C$28,$E$28)</f>
        <v>#VALUE!</v>
      </c>
      <c r="I32" t="e" cm="1">
        <f t="array" ref="I32">pareto($F$29:$F$52,$G$29:$G$52,4,"dist",Summary!#REF!,$C$28,$E$28)</f>
        <v>#VALUE!</v>
      </c>
    </row>
    <row r="33" spans="2:17" x14ac:dyDescent="0.25">
      <c r="B33" t="e">
        <f>#REF!</f>
        <v>#REF!</v>
      </c>
      <c r="C33" t="e">
        <f>#REF!</f>
        <v>#REF!</v>
      </c>
      <c r="D33" t="e" cm="1">
        <f t="array" ref="D33">pareto($B$29:$B$52,$C$29:$C$52,5,"rate",Summary!#REF!,$C$28,$E$28)</f>
        <v>#VALUE!</v>
      </c>
      <c r="E33" t="e" cm="1">
        <f t="array" ref="E33">pareto($B$29:$B$52,$C$29:$C$52,5,"dist",Summary!#REF!,$C$28,$E$28)</f>
        <v>#VALUE!</v>
      </c>
      <c r="F33" t="e">
        <f>#REF!</f>
        <v>#REF!</v>
      </c>
      <c r="G33" t="e">
        <f>#REF!</f>
        <v>#REF!</v>
      </c>
      <c r="H33" t="e" cm="1">
        <f t="array" ref="H33">pareto($F$29:$F$52,$G$29:$G$52,5,"rate",Summary!#REF!,$C$28,$E$28)</f>
        <v>#VALUE!</v>
      </c>
      <c r="I33" t="e" cm="1">
        <f t="array" ref="I33">pareto($F$29:$F$52,$G$29:$G$52,5,"dist",Summary!#REF!,$C$28,$E$28)</f>
        <v>#VALUE!</v>
      </c>
    </row>
    <row r="34" spans="2:17" x14ac:dyDescent="0.25">
      <c r="B34" t="e">
        <f>#REF!</f>
        <v>#REF!</v>
      </c>
      <c r="C34" t="e">
        <f>#REF!</f>
        <v>#REF!</v>
      </c>
      <c r="D34" t="e" cm="1">
        <f t="array" ref="D34">pareto($B$29:$B$52,$C$29:$C$52,6,"rate",Summary!#REF!,$C$28,$E$28)</f>
        <v>#VALUE!</v>
      </c>
      <c r="E34" t="e" cm="1">
        <f t="array" ref="E34">pareto($B$29:$B$52,$C$29:$C$52,6,"dist",Summary!#REF!,$C$28,$E$28)</f>
        <v>#VALUE!</v>
      </c>
      <c r="F34" t="e">
        <f>#REF!</f>
        <v>#REF!</v>
      </c>
      <c r="G34" t="e">
        <f>#REF!</f>
        <v>#REF!</v>
      </c>
      <c r="H34" t="e" cm="1">
        <f t="array" ref="H34">pareto($F$29:$F$52,$G$29:$G$52,6,"rate",Summary!#REF!,$C$28,$E$28)</f>
        <v>#VALUE!</v>
      </c>
      <c r="I34" t="e" cm="1">
        <f t="array" ref="I34">pareto($F$29:$F$52,$G$29:$G$52,6,"dist",Summary!#REF!,$C$28,$E$28)</f>
        <v>#VALUE!</v>
      </c>
    </row>
    <row r="46" spans="2:17" x14ac:dyDescent="0.25">
      <c r="Q46" s="36"/>
    </row>
    <row r="53" spans="1:9" x14ac:dyDescent="0.25">
      <c r="A53" t="s">
        <v>112</v>
      </c>
      <c r="B53" t="s">
        <v>40</v>
      </c>
      <c r="C53">
        <v>67.900000000000006</v>
      </c>
      <c r="D53" t="s">
        <v>44</v>
      </c>
      <c r="E53">
        <v>25</v>
      </c>
    </row>
    <row r="54" spans="1:9" x14ac:dyDescent="0.25">
      <c r="B54" t="e">
        <f>#REF!</f>
        <v>#REF!</v>
      </c>
      <c r="C54" t="e">
        <f>#REF!</f>
        <v>#REF!</v>
      </c>
      <c r="D54" t="e" cm="1">
        <f t="array" ref="D54">pareto($B$54:$B$59,$C$54:$C$59,1,"rate",Summary!#REF!,$C$53,$E$53)</f>
        <v>#VALUE!</v>
      </c>
      <c r="E54" t="e" cm="1">
        <f t="array" ref="E54">pareto($B$54:$B$59,$C$54:$C$59,1,"dist",Summary!#REF!,$C$53,$E$53)</f>
        <v>#VALUE!</v>
      </c>
      <c r="F54" t="e">
        <f>#REF!</f>
        <v>#REF!</v>
      </c>
      <c r="G54" t="e">
        <f>#REF!</f>
        <v>#REF!</v>
      </c>
      <c r="H54" t="e" cm="1">
        <f t="array" ref="H54">pareto($F$54:$F$59,$G$54:$G$59,1,"rate",Summary!#REF!,$C$53,$E$53)</f>
        <v>#VALUE!</v>
      </c>
      <c r="I54" t="e" cm="1">
        <f t="array" ref="I54">pareto($F$54:$F$59,$G$54:$G$59,1,"dist",Summary!#REF!,$C$53,$E$53)</f>
        <v>#VALUE!</v>
      </c>
    </row>
    <row r="55" spans="1:9" x14ac:dyDescent="0.25">
      <c r="B55" t="e">
        <f>#REF!</f>
        <v>#REF!</v>
      </c>
      <c r="C55" t="e">
        <f>#REF!</f>
        <v>#REF!</v>
      </c>
      <c r="D55" t="e" cm="1">
        <f t="array" ref="D55">pareto($B$54:$B$59,$C$54:$C$59,2,"rate",Summary!#REF!,$C$53,$E$53)</f>
        <v>#VALUE!</v>
      </c>
      <c r="E55" t="e" cm="1">
        <f t="array" ref="E55">pareto($B$54:$B$59,$C$54:$C$59,2,"dist",Summary!#REF!,$C$53,$E$53)</f>
        <v>#VALUE!</v>
      </c>
      <c r="F55" t="e">
        <f>#REF!</f>
        <v>#REF!</v>
      </c>
      <c r="G55" t="e">
        <f>#REF!</f>
        <v>#REF!</v>
      </c>
      <c r="H55" t="e" cm="1">
        <f t="array" ref="H55">pareto($F$54:$F$59,$G$54:$G$59,2,"rate",Summary!#REF!,$C$53,$E$53)</f>
        <v>#VALUE!</v>
      </c>
      <c r="I55" t="e" cm="1">
        <f t="array" ref="I55">pareto($F$54:$F$59,$G$54:$G$59,2,"dist",Summary!#REF!,$C$53,$E$53)</f>
        <v>#VALUE!</v>
      </c>
    </row>
    <row r="56" spans="1:9" x14ac:dyDescent="0.25">
      <c r="B56" t="e">
        <f>#REF!</f>
        <v>#REF!</v>
      </c>
      <c r="C56" t="e">
        <f>#REF!</f>
        <v>#REF!</v>
      </c>
      <c r="D56" t="e" cm="1">
        <f t="array" ref="D56">pareto($B$54:$B$59,$C$54:$C$59,3,"rate",Summary!#REF!,$C$53,$E$53)</f>
        <v>#VALUE!</v>
      </c>
      <c r="E56" t="e" cm="1">
        <f t="array" ref="E56">pareto($B$54:$B$59,$C$54:$C$59,3,"dist",Summary!#REF!,$C$53,$E$53)</f>
        <v>#VALUE!</v>
      </c>
      <c r="F56" t="e">
        <f>#REF!</f>
        <v>#REF!</v>
      </c>
      <c r="G56" t="e">
        <f>#REF!</f>
        <v>#REF!</v>
      </c>
      <c r="H56" t="e" cm="1">
        <f t="array" ref="H56">pareto($F$54:$F$59,$G$54:$G$59,3,"rate",Summary!#REF!,$C$53,$E$53)</f>
        <v>#VALUE!</v>
      </c>
      <c r="I56" t="e" cm="1">
        <f t="array" ref="I56">pareto($F$54:$F$59,$G$54:$G$59,3,"dist",Summary!#REF!,$C$53,$E$53)</f>
        <v>#VALUE!</v>
      </c>
    </row>
    <row r="57" spans="1:9" x14ac:dyDescent="0.25">
      <c r="B57" t="e">
        <f>#REF!</f>
        <v>#REF!</v>
      </c>
      <c r="C57" t="e">
        <f>#REF!</f>
        <v>#REF!</v>
      </c>
      <c r="D57" t="e" cm="1">
        <f t="array" ref="D57">pareto($B$54:$B$59,$C$54:$C$59,4,"rate",Summary!#REF!,$C$53,$E$53)</f>
        <v>#VALUE!</v>
      </c>
      <c r="E57" t="e" cm="1">
        <f t="array" ref="E57">pareto($B$54:$B$59,$C$54:$C$59,4,"dist",Summary!#REF!,$C$53,$E$53)</f>
        <v>#VALUE!</v>
      </c>
      <c r="F57" t="e">
        <f>#REF!</f>
        <v>#REF!</v>
      </c>
      <c r="G57" t="e">
        <f>#REF!</f>
        <v>#REF!</v>
      </c>
      <c r="H57" t="e" cm="1">
        <f t="array" ref="H57">pareto($F$54:$F$59,$G$54:$G$59,4,"rate",Summary!#REF!,$C$53,$E$53)</f>
        <v>#VALUE!</v>
      </c>
      <c r="I57" t="e" cm="1">
        <f t="array" ref="I57">pareto($F$54:$F$59,$G$54:$G$59,4,"dist",Summary!#REF!,$C$53,$E$53)</f>
        <v>#VALUE!</v>
      </c>
    </row>
    <row r="58" spans="1:9" x14ac:dyDescent="0.25">
      <c r="B58" t="e">
        <f>#REF!</f>
        <v>#REF!</v>
      </c>
      <c r="C58" t="e">
        <f>#REF!</f>
        <v>#REF!</v>
      </c>
      <c r="D58" t="e" cm="1">
        <f t="array" ref="D58">pareto($B$54:$B$59,$C$54:$C$59,5,"rate",Summary!#REF!,$C$53,$E$53)</f>
        <v>#VALUE!</v>
      </c>
      <c r="E58" t="e" cm="1">
        <f t="array" ref="E58">pareto($B$54:$B$59,$C$54:$C$59,5,"dist",Summary!#REF!,$C$53,$E$53)</f>
        <v>#VALUE!</v>
      </c>
      <c r="F58" t="e">
        <f>#REF!</f>
        <v>#REF!</v>
      </c>
      <c r="G58" t="e">
        <f>#REF!</f>
        <v>#REF!</v>
      </c>
      <c r="H58" t="e" cm="1">
        <f t="array" ref="H58">pareto($F$54:$F$59,$G$54:$G$59,5,"rate",Summary!#REF!,$C$53,$E$53)</f>
        <v>#VALUE!</v>
      </c>
      <c r="I58" t="e" cm="1">
        <f t="array" ref="I58">pareto($F$54:$F$59,$G$54:$G$59,5,"dist",Summary!#REF!,$C$53,$E$53)</f>
        <v>#VALUE!</v>
      </c>
    </row>
    <row r="59" spans="1:9" x14ac:dyDescent="0.25">
      <c r="B59" t="e">
        <f>#REF!</f>
        <v>#REF!</v>
      </c>
      <c r="C59" t="e">
        <f>#REF!</f>
        <v>#REF!</v>
      </c>
      <c r="D59" t="e" cm="1">
        <f t="array" ref="D59">pareto($B$54:$B$59,$C$54:$C$59,6,"rate",Summary!#REF!,$C$53,$E$53)</f>
        <v>#VALUE!</v>
      </c>
      <c r="E59" t="e" cm="1">
        <f t="array" ref="E59">pareto($B$54:$B$59,$C$54:$C$59,6,"dist",Summary!#REF!,$C$53,$E$53)</f>
        <v>#VALUE!</v>
      </c>
      <c r="F59" t="e">
        <f>#REF!</f>
        <v>#REF!</v>
      </c>
      <c r="G59" t="e">
        <f>#REF!</f>
        <v>#REF!</v>
      </c>
      <c r="H59" t="e" cm="1">
        <f t="array" ref="H59">pareto($F$54:$F$59,$G$54:$G$59,6,"rate",Summary!#REF!,$C$53,$E$53)</f>
        <v>#VALUE!</v>
      </c>
      <c r="I59" t="e" cm="1">
        <f t="array" ref="I59">pareto($F$54:$F$59,$G$54:$G$59,6,"dist",Summary!#REF!,$C$53,$E$53)</f>
        <v>#VALUE!</v>
      </c>
    </row>
    <row r="82" spans="1:11" x14ac:dyDescent="0.25">
      <c r="A82" t="s">
        <v>145</v>
      </c>
      <c r="B82" s="312" t="s">
        <v>26</v>
      </c>
      <c r="C82" s="312"/>
      <c r="D82" s="312" t="s">
        <v>27</v>
      </c>
      <c r="E82" s="312"/>
      <c r="F82" s="312" t="s">
        <v>28</v>
      </c>
      <c r="G82" s="312"/>
      <c r="H82" s="312" t="s">
        <v>29</v>
      </c>
      <c r="I82" s="312"/>
      <c r="J82" s="17"/>
      <c r="K82" s="30" t="s">
        <v>19</v>
      </c>
    </row>
    <row r="83" spans="1:11" x14ac:dyDescent="0.25">
      <c r="B83" t="s">
        <v>24</v>
      </c>
      <c r="C83" t="s">
        <v>31</v>
      </c>
      <c r="D83" t="s">
        <v>24</v>
      </c>
      <c r="E83" t="s">
        <v>31</v>
      </c>
      <c r="F83" t="s">
        <v>24</v>
      </c>
      <c r="G83" t="s">
        <v>31</v>
      </c>
      <c r="H83" t="s">
        <v>24</v>
      </c>
      <c r="I83" t="s">
        <v>31</v>
      </c>
      <c r="K83" s="30" t="s">
        <v>20</v>
      </c>
    </row>
    <row r="84" spans="1:11" x14ac:dyDescent="0.25">
      <c r="A84" t="s">
        <v>110</v>
      </c>
      <c r="B84" t="s">
        <v>40</v>
      </c>
      <c r="C84">
        <v>36.799999999999997</v>
      </c>
      <c r="D84" t="s">
        <v>44</v>
      </c>
      <c r="E84">
        <v>25</v>
      </c>
      <c r="K84" t="s">
        <v>21</v>
      </c>
    </row>
    <row r="85" spans="1:11" x14ac:dyDescent="0.25">
      <c r="B85" t="e">
        <f>#REF!</f>
        <v>#REF!</v>
      </c>
      <c r="C85" t="e">
        <f>#REF!</f>
        <v>#REF!</v>
      </c>
      <c r="D85" t="e" cm="1">
        <f t="array" ref="D85">pareto($B$85:$B$90,$C$85:$C$90,1,"rate",Summary!#REF!,$C$84,$E$84)</f>
        <v>#VALUE!</v>
      </c>
      <c r="E85" t="e" cm="1">
        <f t="array" ref="E85">pareto($B$85:$B$90,$C$85:$C$90,1,"dist",Summary!#REF!,$C$84,$E$84)</f>
        <v>#VALUE!</v>
      </c>
      <c r="F85" t="e">
        <f>#REF!</f>
        <v>#REF!</v>
      </c>
      <c r="G85" t="e">
        <f>#REF!</f>
        <v>#REF!</v>
      </c>
      <c r="H85" t="e" cm="1">
        <f t="array" ref="H85">pareto($F$85:$F$90,$G$85:$G$90,1,"rate",Summary!#REF!,$C$84,$E$84)</f>
        <v>#VALUE!</v>
      </c>
      <c r="I85" t="e" cm="1">
        <f t="array" ref="I85">pareto($F$85:$F$90,$G$85:$G$90,1,"dist",Summary!#REF!,$C$84,$E$84)</f>
        <v>#VALUE!</v>
      </c>
      <c r="K85" t="s">
        <v>22</v>
      </c>
    </row>
    <row r="86" spans="1:11" x14ac:dyDescent="0.25">
      <c r="B86" t="e">
        <f>#REF!</f>
        <v>#REF!</v>
      </c>
      <c r="C86" t="e">
        <f>#REF!</f>
        <v>#REF!</v>
      </c>
      <c r="D86" t="e" cm="1">
        <f t="array" ref="D86">pareto($B$85:$B$90,$C$85:$C$90,2,"rate",Summary!#REF!,$C$84,$E$84)</f>
        <v>#VALUE!</v>
      </c>
      <c r="E86" t="e" cm="1">
        <f t="array" ref="E86">pareto($B$85:$B$90,$C$85:$C$90,2,"dist",Summary!#REF!,$C$84,$E$84)</f>
        <v>#VALUE!</v>
      </c>
      <c r="F86" t="e">
        <f>#REF!</f>
        <v>#REF!</v>
      </c>
      <c r="G86" t="e">
        <f>#REF!</f>
        <v>#REF!</v>
      </c>
      <c r="H86" t="e" cm="1">
        <f t="array" ref="H86">pareto($F$85:$F$90,$G$85:$G$90,2,"rate",Summary!#REF!,$C$84,$E$84)</f>
        <v>#VALUE!</v>
      </c>
      <c r="I86" t="e" cm="1">
        <f t="array" ref="I86">pareto($F$85:$F$90,$G$85:$G$90,2,"dist",Summary!#REF!,$C$84,$E$84)</f>
        <v>#VALUE!</v>
      </c>
      <c r="K86" t="s">
        <v>45</v>
      </c>
    </row>
    <row r="87" spans="1:11" x14ac:dyDescent="0.25">
      <c r="B87" t="e">
        <f>#REF!</f>
        <v>#REF!</v>
      </c>
      <c r="C87" t="e">
        <f>#REF!</f>
        <v>#REF!</v>
      </c>
      <c r="D87" t="e" cm="1">
        <f t="array" ref="D87">pareto($B$85:$B$90,$C$85:$C$90,3,"rate",Summary!#REF!,$C$84,$E$84)</f>
        <v>#VALUE!</v>
      </c>
      <c r="E87" t="e" cm="1">
        <f t="array" ref="E87">pareto($B$85:$B$90,$C$85:$C$90,3,"dist",Summary!#REF!,$C$84,$E$84)</f>
        <v>#VALUE!</v>
      </c>
      <c r="F87" t="e">
        <f>#REF!</f>
        <v>#REF!</v>
      </c>
      <c r="G87" t="e">
        <f>#REF!</f>
        <v>#REF!</v>
      </c>
      <c r="H87" t="e" cm="1">
        <f t="array" ref="H87">pareto($F$85:$F$90,$G$85:$G$90,3,"rate",Summary!#REF!,$C$84,$E$84)</f>
        <v>#VALUE!</v>
      </c>
      <c r="I87" t="e" cm="1">
        <f t="array" ref="I87">pareto($F$85:$F$90,$G$85:$G$90,3,"dist",Summary!#REF!,$C$84,$E$84)</f>
        <v>#VALUE!</v>
      </c>
    </row>
    <row r="88" spans="1:11" x14ac:dyDescent="0.25">
      <c r="B88" t="e">
        <f>#REF!</f>
        <v>#REF!</v>
      </c>
      <c r="C88" t="e">
        <f>#REF!</f>
        <v>#REF!</v>
      </c>
      <c r="D88" t="e" cm="1">
        <f t="array" ref="D88">pareto($B$85:$B$90,$C$85:$C$90,4,"rate",Summary!#REF!,$C$84,$E$84)</f>
        <v>#VALUE!</v>
      </c>
      <c r="E88" t="e" cm="1">
        <f t="array" ref="E88">pareto($B$85:$B$90,$C$85:$C$90,4,"dist",Summary!#REF!,$C$84,$E$84)</f>
        <v>#VALUE!</v>
      </c>
      <c r="F88" t="e">
        <f>#REF!</f>
        <v>#REF!</v>
      </c>
      <c r="G88" t="e">
        <f>#REF!</f>
        <v>#REF!</v>
      </c>
      <c r="H88" t="e" cm="1">
        <f t="array" ref="H88">pareto($F$85:$F$90,$G$85:$G$90,4,"rate",Summary!#REF!,$C$84,$E$84)</f>
        <v>#VALUE!</v>
      </c>
      <c r="I88" t="e" cm="1">
        <f t="array" ref="I88">pareto($F$85:$F$90,$G$85:$G$90,4,"dist",Summary!#REF!,$C$84,$E$84)</f>
        <v>#VALUE!</v>
      </c>
    </row>
    <row r="89" spans="1:11" x14ac:dyDescent="0.25">
      <c r="B89" t="e">
        <f>#REF!</f>
        <v>#REF!</v>
      </c>
      <c r="C89" t="e">
        <f>#REF!</f>
        <v>#REF!</v>
      </c>
      <c r="D89" t="e" cm="1">
        <f t="array" ref="D89">pareto($B$85:$B$90,$C$85:$C$90,5,"rate",Summary!#REF!,$C$84,$E$84)</f>
        <v>#VALUE!</v>
      </c>
      <c r="E89" t="e" cm="1">
        <f t="array" ref="E89">pareto($B$85:$B$90,$C$85:$C$90,5,"dist",Summary!#REF!,$C$84,$E$84)</f>
        <v>#VALUE!</v>
      </c>
      <c r="F89" t="e">
        <f>#REF!</f>
        <v>#REF!</v>
      </c>
      <c r="G89" t="e">
        <f>#REF!</f>
        <v>#REF!</v>
      </c>
      <c r="H89" t="e" cm="1">
        <f t="array" ref="H89">pareto($F$85:$F$90,$G$85:$G$90,5,"rate",Summary!#REF!,$C$84,$E$84)</f>
        <v>#VALUE!</v>
      </c>
      <c r="I89" t="e" cm="1">
        <f t="array" ref="I89">pareto($F$85:$F$90,$G$85:$G$90,5,"dist",Summary!#REF!,$C$84,$E$84)</f>
        <v>#VALUE!</v>
      </c>
    </row>
    <row r="90" spans="1:11" x14ac:dyDescent="0.25">
      <c r="B90" t="e">
        <f>#REF!</f>
        <v>#REF!</v>
      </c>
      <c r="C90" t="e">
        <f>#REF!</f>
        <v>#REF!</v>
      </c>
      <c r="D90" t="e" cm="1">
        <f t="array" ref="D90">pareto($B$85:$B$90,$C$85:$C$90,6,"rate",Summary!#REF!,$C$84,$E$84)</f>
        <v>#VALUE!</v>
      </c>
      <c r="E90" t="e" cm="1">
        <f t="array" ref="E90">pareto($B$85:$B$90,$C$85:$C$90,6,"dist",Summary!#REF!,$C$84,$E$84)</f>
        <v>#VALUE!</v>
      </c>
      <c r="F90" t="e">
        <f>#REF!</f>
        <v>#REF!</v>
      </c>
      <c r="G90" t="e">
        <f>#REF!</f>
        <v>#REF!</v>
      </c>
      <c r="H90" t="e" cm="1">
        <f t="array" ref="H90">pareto($F$85:$F$90,$G$85:$G$90,6,"rate",Summary!#REF!,$C$84,$E$84)</f>
        <v>#VALUE!</v>
      </c>
      <c r="I90" t="e" cm="1">
        <f t="array" ref="I90">pareto($F$85:$F$90,$G$85:$G$90,6,"dist",Summary!#REF!,$C$84,$E$84)</f>
        <v>#VALUE!</v>
      </c>
    </row>
    <row r="92" spans="1:11" x14ac:dyDescent="0.25">
      <c r="B92" s="36"/>
    </row>
    <row r="109" spans="1:9" x14ac:dyDescent="0.25">
      <c r="A109" t="s">
        <v>111</v>
      </c>
      <c r="B109" t="s">
        <v>40</v>
      </c>
      <c r="C109">
        <v>55.4</v>
      </c>
      <c r="D109" t="s">
        <v>44</v>
      </c>
      <c r="E109">
        <v>25</v>
      </c>
    </row>
    <row r="110" spans="1:9" x14ac:dyDescent="0.25">
      <c r="B110" t="e">
        <f>#REF!</f>
        <v>#REF!</v>
      </c>
      <c r="C110" t="e">
        <f>#REF!</f>
        <v>#REF!</v>
      </c>
      <c r="D110" t="e" cm="1">
        <f t="array" ref="D110">pareto($B$110:$B$115,$C$110:$C$115,1,"rate",Summary!#REF!,$C$109,$E$109)</f>
        <v>#VALUE!</v>
      </c>
      <c r="E110" t="e" cm="1">
        <f t="array" ref="E110">pareto($B$110:$B$115,$C$110:$C$115,1,"dist",Summary!#REF!,$C$109,$E$109)</f>
        <v>#VALUE!</v>
      </c>
      <c r="F110" t="e">
        <f>#REF!</f>
        <v>#REF!</v>
      </c>
      <c r="G110" t="e">
        <f>#REF!</f>
        <v>#REF!</v>
      </c>
      <c r="H110" t="e" cm="1">
        <f t="array" ref="H110">pareto($F$110:$F$115,$G$110:$G$115,1,"rate",Summary!#REF!,$C$109,$E$109)</f>
        <v>#VALUE!</v>
      </c>
      <c r="I110" t="e" cm="1">
        <f t="array" ref="I110">pareto($F$110:$F$115,$G$110:$G$115,1,"dist",Summary!#REF!,$C$109,$E$109)</f>
        <v>#VALUE!</v>
      </c>
    </row>
    <row r="111" spans="1:9" x14ac:dyDescent="0.25">
      <c r="B111" t="e">
        <f>#REF!</f>
        <v>#REF!</v>
      </c>
      <c r="C111" t="e">
        <f>#REF!</f>
        <v>#REF!</v>
      </c>
      <c r="D111" t="e" cm="1">
        <f t="array" ref="D111">pareto($B$110:$B$115,$C$110:$C$115,2,"rate",Summary!#REF!,$C$109,$E$109)</f>
        <v>#VALUE!</v>
      </c>
      <c r="E111" t="e" cm="1">
        <f t="array" ref="E111">pareto($B$110:$B$115,$C$110:$C$115,2,"dist",Summary!#REF!,$C$109,$E$109)</f>
        <v>#VALUE!</v>
      </c>
      <c r="F111" t="e">
        <f>#REF!</f>
        <v>#REF!</v>
      </c>
      <c r="G111" t="e">
        <f>#REF!</f>
        <v>#REF!</v>
      </c>
      <c r="H111" t="e" cm="1">
        <f t="array" ref="H111">pareto($F$110:$F$115,$G$110:$G$115,2,"rate",Summary!#REF!,$C$109,$E$109)</f>
        <v>#VALUE!</v>
      </c>
      <c r="I111" t="e" cm="1">
        <f t="array" ref="I111">pareto($F$110:$F$115,$G$110:$G$115,2,"dist",Summary!#REF!,$C$109,$E$109)</f>
        <v>#VALUE!</v>
      </c>
    </row>
    <row r="112" spans="1:9" x14ac:dyDescent="0.25">
      <c r="B112" t="e">
        <f>#REF!</f>
        <v>#REF!</v>
      </c>
      <c r="C112" t="e">
        <f>#REF!</f>
        <v>#REF!</v>
      </c>
      <c r="D112" t="e" cm="1">
        <f t="array" ref="D112">pareto($B$110:$B$115,$C$110:$C$115,3,"rate",Summary!#REF!,$C$109,$E$109)</f>
        <v>#VALUE!</v>
      </c>
      <c r="E112" t="e" cm="1">
        <f t="array" ref="E112">pareto($B$110:$B$115,$C$110:$C$115,3,"dist",Summary!#REF!,$C$109,$E$109)</f>
        <v>#VALUE!</v>
      </c>
      <c r="F112" t="e">
        <f>#REF!</f>
        <v>#REF!</v>
      </c>
      <c r="G112" t="e">
        <f>#REF!</f>
        <v>#REF!</v>
      </c>
      <c r="H112" t="e" cm="1">
        <f t="array" ref="H112">pareto($F$110:$F$115,$G$110:$G$115,3,"rate",Summary!#REF!,$C$109,$E$109)</f>
        <v>#VALUE!</v>
      </c>
      <c r="I112" t="e" cm="1">
        <f t="array" ref="I112">pareto($F$110:$F$115,$G$110:$G$115,3,"dist",Summary!#REF!,$C$109,$E$109)</f>
        <v>#VALUE!</v>
      </c>
    </row>
    <row r="113" spans="2:9" x14ac:dyDescent="0.25">
      <c r="B113" t="e">
        <f>#REF!</f>
        <v>#REF!</v>
      </c>
      <c r="C113" t="e">
        <f>#REF!</f>
        <v>#REF!</v>
      </c>
      <c r="D113" t="e" cm="1">
        <f t="array" ref="D113">pareto($B$110:$B$115,$C$110:$C$115,4,"rate",Summary!#REF!,$C$109,$E$109)</f>
        <v>#VALUE!</v>
      </c>
      <c r="E113" t="e" cm="1">
        <f t="array" ref="E113">pareto($B$110:$B$115,$C$110:$C$115,4,"dist",Summary!#REF!,$C$109,$E$109)</f>
        <v>#VALUE!</v>
      </c>
      <c r="F113" t="e">
        <f>#REF!</f>
        <v>#REF!</v>
      </c>
      <c r="G113" t="e">
        <f>#REF!</f>
        <v>#REF!</v>
      </c>
      <c r="H113" t="e" cm="1">
        <f t="array" ref="H113">pareto($F$110:$F$115,$G$110:$G$115,4,"rate",Summary!#REF!,$C$109,$E$109)</f>
        <v>#VALUE!</v>
      </c>
      <c r="I113" t="e" cm="1">
        <f t="array" ref="I113">pareto($F$110:$F$115,$G$110:$G$115,4,"dist",Summary!#REF!,$C$109,$E$109)</f>
        <v>#VALUE!</v>
      </c>
    </row>
    <row r="114" spans="2:9" x14ac:dyDescent="0.25">
      <c r="B114" t="e">
        <f>#REF!</f>
        <v>#REF!</v>
      </c>
      <c r="C114" t="e">
        <f>#REF!</f>
        <v>#REF!</v>
      </c>
      <c r="D114" t="e" cm="1">
        <f t="array" ref="D114">pareto($B$110:$B$115,$C$110:$C$115,5,"rate",Summary!#REF!,$C$109,$E$109)</f>
        <v>#VALUE!</v>
      </c>
      <c r="E114" t="e" cm="1">
        <f t="array" ref="E114">pareto($B$110:$B$115,$C$110:$C$115,5,"dist",Summary!#REF!,$C$109,$E$109)</f>
        <v>#VALUE!</v>
      </c>
      <c r="F114" t="e">
        <f>#REF!</f>
        <v>#REF!</v>
      </c>
      <c r="G114" t="e">
        <f>#REF!</f>
        <v>#REF!</v>
      </c>
      <c r="H114" t="e" cm="1">
        <f t="array" ref="H114">pareto($F$110:$F$115,$G$110:$G$115,5,"rate",Summary!#REF!,$C$109,$E$109)</f>
        <v>#VALUE!</v>
      </c>
      <c r="I114" t="e" cm="1">
        <f t="array" ref="I114">pareto($F$110:$F$115,$G$110:$G$115,5,"dist",Summary!#REF!,$C$109,$E$109)</f>
        <v>#VALUE!</v>
      </c>
    </row>
    <row r="115" spans="2:9" x14ac:dyDescent="0.25">
      <c r="B115" t="e">
        <f>#REF!</f>
        <v>#REF!</v>
      </c>
      <c r="C115" t="e">
        <f>#REF!</f>
        <v>#REF!</v>
      </c>
      <c r="D115" t="e" cm="1">
        <f t="array" ref="D115">pareto($B$110:$B$115,$C$110:$C$115,6,"rate",Summary!#REF!,$C$109,$E$109)</f>
        <v>#VALUE!</v>
      </c>
      <c r="E115" t="e" cm="1">
        <f t="array" ref="E115">pareto($B$110:$B$115,$C$110:$C$115,6,"dist",Summary!#REF!,$C$109,$E$109)</f>
        <v>#VALUE!</v>
      </c>
      <c r="F115" t="e">
        <f>#REF!</f>
        <v>#REF!</v>
      </c>
      <c r="G115" t="e">
        <f>#REF!</f>
        <v>#REF!</v>
      </c>
      <c r="H115" t="e" cm="1">
        <f t="array" ref="H115">pareto($F$110:$F$115,$G$110:$G$115,6,"rate",Summary!#REF!,$C$109,$E$109)</f>
        <v>#VALUE!</v>
      </c>
      <c r="I115" t="e" cm="1">
        <f t="array" ref="I115">pareto($F$110:$F$115,$G$110:$G$115,6,"dist",Summary!#REF!,$C$109,$E$109)</f>
        <v>#VALUE!</v>
      </c>
    </row>
    <row r="134" spans="1:9" x14ac:dyDescent="0.25">
      <c r="A134" t="s">
        <v>112</v>
      </c>
      <c r="B134" t="s">
        <v>40</v>
      </c>
      <c r="C134">
        <v>67.900000000000006</v>
      </c>
      <c r="D134" t="s">
        <v>44</v>
      </c>
      <c r="E134">
        <v>25</v>
      </c>
    </row>
    <row r="135" spans="1:9" x14ac:dyDescent="0.25">
      <c r="B135" t="e">
        <f>#REF!</f>
        <v>#REF!</v>
      </c>
      <c r="C135" t="e">
        <f>#REF!</f>
        <v>#REF!</v>
      </c>
      <c r="D135" t="e" cm="1">
        <f t="array" ref="D135">pareto($B$135:$B$140,$C$135:$C$140,1,"rate",Summary!#REF!,$C$134,$E$134)</f>
        <v>#VALUE!</v>
      </c>
      <c r="E135" t="e" cm="1">
        <f t="array" ref="E135">pareto($B$135:$B$140,$C$135:$C$140,1,"dist",Summary!#REF!,$C$134,$E$134)</f>
        <v>#VALUE!</v>
      </c>
      <c r="F135" t="e">
        <f>#REF!</f>
        <v>#REF!</v>
      </c>
      <c r="G135" t="e">
        <f>#REF!</f>
        <v>#REF!</v>
      </c>
      <c r="H135" t="e" cm="1">
        <f t="array" ref="H135">pareto($F$135:$F$140,$G$135:$G$140,1,"rate",Summary!#REF!,$C$134,$E$134)</f>
        <v>#VALUE!</v>
      </c>
      <c r="I135" t="e" cm="1">
        <f t="array" ref="I135">pareto($F$135:$F$140,$G$135:$G$140,1,"dist",Summary!#REF!,$C$134,$E$134)</f>
        <v>#VALUE!</v>
      </c>
    </row>
    <row r="136" spans="1:9" x14ac:dyDescent="0.25">
      <c r="B136" t="e">
        <f>#REF!</f>
        <v>#REF!</v>
      </c>
      <c r="C136" t="e">
        <f>#REF!</f>
        <v>#REF!</v>
      </c>
      <c r="D136" t="e" cm="1">
        <f t="array" ref="D136">pareto($B$135:$B$140,$C$135:$C$140,2,"rate",Summary!#REF!,$C$134,$E$134)</f>
        <v>#VALUE!</v>
      </c>
      <c r="E136" t="e" cm="1">
        <f t="array" ref="E136">pareto($B$135:$B$140,$C$135:$C$140,2,"dist",Summary!#REF!,$C$134,$E$134)</f>
        <v>#VALUE!</v>
      </c>
      <c r="F136" t="e">
        <f>#REF!</f>
        <v>#REF!</v>
      </c>
      <c r="G136" t="e">
        <f>#REF!</f>
        <v>#REF!</v>
      </c>
      <c r="H136" t="e" cm="1">
        <f t="array" ref="H136">pareto($F$135:$F$140,$G$135:$G$140,2,"rate",Summary!#REF!,$C$134,$E$134)</f>
        <v>#VALUE!</v>
      </c>
      <c r="I136" t="e" cm="1">
        <f t="array" ref="I136">pareto($F$135:$F$140,$G$135:$G$140,2,"dist",Summary!#REF!,$C$134,$E$134)</f>
        <v>#VALUE!</v>
      </c>
    </row>
    <row r="137" spans="1:9" x14ac:dyDescent="0.25">
      <c r="B137" t="e">
        <f>#REF!</f>
        <v>#REF!</v>
      </c>
      <c r="C137" t="e">
        <f>#REF!</f>
        <v>#REF!</v>
      </c>
      <c r="D137" t="e" cm="1">
        <f t="array" ref="D137">pareto($B$135:$B$140,$C$135:$C$140,3,"rate",Summary!#REF!,$C$134,$E$134)</f>
        <v>#VALUE!</v>
      </c>
      <c r="E137" t="e" cm="1">
        <f t="array" ref="E137">pareto($B$135:$B$140,$C$135:$C$140,3,"dist",Summary!#REF!,$C$134,$E$134)</f>
        <v>#VALUE!</v>
      </c>
      <c r="F137" t="e">
        <f>#REF!</f>
        <v>#REF!</v>
      </c>
      <c r="G137" t="e">
        <f>#REF!</f>
        <v>#REF!</v>
      </c>
      <c r="H137" t="e" cm="1">
        <f t="array" ref="H137">pareto($F$135:$F$140,$G$135:$G$140,3,"rate",Summary!#REF!,$C$134,$E$134)</f>
        <v>#VALUE!</v>
      </c>
      <c r="I137" t="e" cm="1">
        <f t="array" ref="I137">pareto($F$135:$F$140,$G$135:$G$140,3,"dist",Summary!#REF!,$C$134,$E$134)</f>
        <v>#VALUE!</v>
      </c>
    </row>
    <row r="138" spans="1:9" x14ac:dyDescent="0.25">
      <c r="B138" t="e">
        <f>#REF!</f>
        <v>#REF!</v>
      </c>
      <c r="C138" t="e">
        <f>#REF!</f>
        <v>#REF!</v>
      </c>
      <c r="D138" t="e" cm="1">
        <f t="array" ref="D138">pareto($B$135:$B$140,$C$135:$C$140,4,"rate",Summary!#REF!,$C$134,$E$134)</f>
        <v>#VALUE!</v>
      </c>
      <c r="E138" t="e" cm="1">
        <f t="array" ref="E138">pareto($B$135:$B$140,$C$135:$C$140,4,"dist",Summary!#REF!,$C$134,$E$134)</f>
        <v>#VALUE!</v>
      </c>
      <c r="F138" t="e">
        <f>#REF!</f>
        <v>#REF!</v>
      </c>
      <c r="G138" t="e">
        <f>#REF!</f>
        <v>#REF!</v>
      </c>
      <c r="H138" t="e" cm="1">
        <f t="array" ref="H138">pareto($F$135:$F$140,$G$135:$G$140,4,"rate",Summary!#REF!,$C$134,$E$134)</f>
        <v>#VALUE!</v>
      </c>
      <c r="I138" t="e" cm="1">
        <f t="array" ref="I138">pareto($F$135:$F$140,$G$135:$G$140,4,"dist",Summary!#REF!,$C$134,$E$134)</f>
        <v>#VALUE!</v>
      </c>
    </row>
    <row r="139" spans="1:9" x14ac:dyDescent="0.25">
      <c r="B139" t="e">
        <f>#REF!</f>
        <v>#REF!</v>
      </c>
      <c r="C139" t="e">
        <f>#REF!</f>
        <v>#REF!</v>
      </c>
      <c r="D139" t="e" cm="1">
        <f t="array" ref="D139">pareto($B$135:$B$140,$C$135:$C$140,5,"rate",Summary!#REF!,$C$134,$E$134)</f>
        <v>#VALUE!</v>
      </c>
      <c r="E139" t="e" cm="1">
        <f t="array" ref="E139">pareto($B$135:$B$140,$C$135:$C$140,5,"dist",Summary!#REF!,$C$134,$E$134)</f>
        <v>#VALUE!</v>
      </c>
      <c r="F139" t="e">
        <f>#REF!</f>
        <v>#REF!</v>
      </c>
      <c r="G139" t="e">
        <f>#REF!</f>
        <v>#REF!</v>
      </c>
      <c r="H139" t="e" cm="1">
        <f t="array" ref="H139">pareto($F$135:$F$140,$G$135:$G$140,5,"rate",Summary!#REF!,$C$134,$E$134)</f>
        <v>#VALUE!</v>
      </c>
      <c r="I139" t="e" cm="1">
        <f t="array" ref="I139">pareto($F$135:$F$140,$G$135:$G$140,5,"dist",Summary!#REF!,$C$134,$E$134)</f>
        <v>#VALUE!</v>
      </c>
    </row>
    <row r="140" spans="1:9" x14ac:dyDescent="0.25">
      <c r="B140" t="e">
        <f>#REF!</f>
        <v>#REF!</v>
      </c>
      <c r="C140" t="e">
        <f>#REF!</f>
        <v>#REF!</v>
      </c>
      <c r="D140" t="e" cm="1">
        <f t="array" ref="D140">pareto($B$135:$B$140,$C$135:$C$140,6,"rate",Summary!#REF!,$C$134,$E$134)</f>
        <v>#VALUE!</v>
      </c>
      <c r="E140" t="e" cm="1">
        <f t="array" ref="E140">pareto($B$135:$B$140,$C$135:$C$140,6,"dist",Summary!#REF!,$C$134,$E$134)</f>
        <v>#VALUE!</v>
      </c>
      <c r="F140" t="e">
        <f>#REF!</f>
        <v>#REF!</v>
      </c>
      <c r="G140" t="e">
        <f>#REF!</f>
        <v>#REF!</v>
      </c>
      <c r="H140" t="e" cm="1">
        <f t="array" ref="H140">pareto($F$135:$F$140,$G$135:$G$140,6,"rate",Summary!#REF!,$C$134,$E$134)</f>
        <v>#VALUE!</v>
      </c>
      <c r="I140" t="e" cm="1">
        <f t="array" ref="I140">pareto($F$135:$F$140,$G$135:$G$140,6,"dist",Summary!#REF!,$C$134,$E$134)</f>
        <v>#VALUE!</v>
      </c>
    </row>
  </sheetData>
  <mergeCells count="12">
    <mergeCell ref="P1:Q1"/>
    <mergeCell ref="R1:S1"/>
    <mergeCell ref="B1:C1"/>
    <mergeCell ref="D1:E1"/>
    <mergeCell ref="F1:G1"/>
    <mergeCell ref="H1:I1"/>
    <mergeCell ref="L1:M1"/>
    <mergeCell ref="B82:C82"/>
    <mergeCell ref="D82:E82"/>
    <mergeCell ref="F82:G82"/>
    <mergeCell ref="H82:I82"/>
    <mergeCell ref="N1:O1"/>
  </mergeCells>
  <phoneticPr fontId="1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I59"/>
  <sheetViews>
    <sheetView workbookViewId="0">
      <selection activeCell="E5" sqref="E5"/>
    </sheetView>
  </sheetViews>
  <sheetFormatPr defaultColWidth="11" defaultRowHeight="16.5" x14ac:dyDescent="0.25"/>
  <sheetData>
    <row r="1" spans="1:9" x14ac:dyDescent="0.25">
      <c r="A1" t="s">
        <v>117</v>
      </c>
      <c r="B1" s="312" t="s">
        <v>26</v>
      </c>
      <c r="C1" s="312"/>
      <c r="D1" s="312" t="s">
        <v>27</v>
      </c>
      <c r="E1" s="312"/>
      <c r="F1" s="312" t="s">
        <v>28</v>
      </c>
      <c r="G1" s="312"/>
      <c r="H1" s="312" t="s">
        <v>29</v>
      </c>
      <c r="I1" s="312"/>
    </row>
    <row r="2" spans="1:9" x14ac:dyDescent="0.25">
      <c r="B2" t="s">
        <v>24</v>
      </c>
      <c r="C2" t="s">
        <v>25</v>
      </c>
      <c r="D2" t="s">
        <v>24</v>
      </c>
      <c r="E2" t="s">
        <v>25</v>
      </c>
      <c r="F2" t="s">
        <v>24</v>
      </c>
      <c r="G2" t="s">
        <v>25</v>
      </c>
      <c r="H2" t="s">
        <v>24</v>
      </c>
      <c r="I2" t="s">
        <v>25</v>
      </c>
    </row>
    <row r="3" spans="1:9" x14ac:dyDescent="0.25">
      <c r="A3" t="s">
        <v>142</v>
      </c>
      <c r="B3" t="s">
        <v>40</v>
      </c>
      <c r="C3">
        <v>79.276749772585703</v>
      </c>
      <c r="D3" t="s">
        <v>44</v>
      </c>
      <c r="E3">
        <v>30</v>
      </c>
    </row>
    <row r="4" spans="1:9" x14ac:dyDescent="0.25">
      <c r="B4">
        <f>Image_AI!C3</f>
        <v>0.86311464562697093</v>
      </c>
      <c r="C4">
        <f>Image_AI!D3</f>
        <v>78.893175914560445</v>
      </c>
      <c r="D4" t="e" cm="1">
        <f t="array" ref="D4">pareto($B$4:$B$9,$C$4:$C$9,1,"rate",Summary!#REF!,$C$3,$E$3)</f>
        <v>#VALUE!</v>
      </c>
      <c r="E4" t="e" cm="1">
        <f t="array" ref="E4">pareto($B$4:$B$27,$C$4:$C$27,1,"dist",Summary!#REF!,$C$3,$E$3)</f>
        <v>#VALUE!</v>
      </c>
      <c r="F4">
        <f>Image_AI!L3</f>
        <v>0</v>
      </c>
      <c r="G4">
        <f>Image_AI!M3</f>
        <v>0</v>
      </c>
      <c r="H4" t="e" cm="1">
        <f t="array" ref="H4">pareto($F$4:$F$27,$G$4:$G$27,1,"rate",Summary!#REF!,$C$3,$E$3)</f>
        <v>#VALUE!</v>
      </c>
      <c r="I4" t="e" cm="1">
        <f t="array" ref="I4">pareto($F$4:$F$27,$G$4:$G$27,1,"dist",Summary!#REF!,$C$3,$E$3)</f>
        <v>#VALUE!</v>
      </c>
    </row>
    <row r="5" spans="1:9" x14ac:dyDescent="0.25">
      <c r="B5">
        <f>Image_AI!C4</f>
        <v>0.50970091187041677</v>
      </c>
      <c r="C5">
        <f>Image_AI!D4</f>
        <v>77.927258611746652</v>
      </c>
      <c r="D5" t="e" cm="1">
        <f t="array" ref="D5">pareto($B$4:$B$27,$C$4:$C$27,2,"rate",Summary!#REF!,$C$3,$E$3)</f>
        <v>#VALUE!</v>
      </c>
      <c r="E5" t="e" cm="1">
        <f t="array" ref="E5">pareto($B$4:$B$27,$C$4:$C$27,2,"dist",Summary!#REF!,$C$3,$E$3)</f>
        <v>#VALUE!</v>
      </c>
      <c r="F5">
        <f>Image_AI!L4</f>
        <v>0</v>
      </c>
      <c r="G5">
        <f>Image_AI!M4</f>
        <v>0</v>
      </c>
      <c r="H5" t="e" cm="1">
        <f t="array" ref="H5">pareto($F$4:$F$27,$G$4:$G$27,2,"rate",Summary!#REF!,$C$3,$E$3)</f>
        <v>#VALUE!</v>
      </c>
      <c r="I5" t="e" cm="1">
        <f t="array" ref="I5">pareto($F$4:$F$27,$G$4:$G$27,2,"dist",Summary!#REF!,$C$3,$E$3)</f>
        <v>#VALUE!</v>
      </c>
    </row>
    <row r="6" spans="1:9" x14ac:dyDescent="0.25">
      <c r="B6">
        <f>Image_AI!C5</f>
        <v>0.28686795080877642</v>
      </c>
      <c r="C6">
        <f>Image_AI!D5</f>
        <v>77.22838338193398</v>
      </c>
      <c r="D6" t="e" cm="1">
        <f t="array" ref="D6">pareto($B$4:$B$27,$C$4:$C$27,3,"rate",Summary!#REF!,$C$3,$E$3)</f>
        <v>#VALUE!</v>
      </c>
      <c r="E6" t="e" cm="1">
        <f t="array" ref="E6">pareto($B$4:$B$27,$C$4:$C$27,3,"dist",Summary!#REF!,$C$3,$E$3)</f>
        <v>#VALUE!</v>
      </c>
      <c r="F6">
        <f>Image_AI!L5</f>
        <v>0</v>
      </c>
      <c r="G6">
        <f>Image_AI!M5</f>
        <v>0</v>
      </c>
      <c r="H6" t="e" cm="1">
        <f t="array" ref="H6">pareto($F$4:$F$27,$G$4:$G$27,3,"rate",Summary!#REF!,$C$3,$E$3)</f>
        <v>#VALUE!</v>
      </c>
      <c r="I6" t="e" cm="1">
        <f t="array" ref="I6">pareto($F$4:$F$27,$G$4:$G$27,3,"dist",Summary!#REF!,$C$3,$E$3)</f>
        <v>#VALUE!</v>
      </c>
    </row>
    <row r="7" spans="1:9" x14ac:dyDescent="0.25">
      <c r="B7">
        <f>Image_AI!C6</f>
        <v>0.15318521705622601</v>
      </c>
      <c r="C7">
        <f>Image_AI!D6</f>
        <v>74.109698747642497</v>
      </c>
      <c r="D7" t="e" cm="1">
        <f t="array" ref="D7">pareto($B$4:$B$27,$C$4:$C$27,4,"rate",Summary!#REF!,$C$3,$E$3)</f>
        <v>#VALUE!</v>
      </c>
      <c r="E7" t="e" cm="1">
        <f t="array" ref="E7">pareto($B$4:$B$27,$C$4:$C$27,4,"dist",Summary!#REF!,$C$3,$E$3)</f>
        <v>#VALUE!</v>
      </c>
      <c r="F7">
        <f>Image_AI!L6</f>
        <v>0</v>
      </c>
      <c r="G7">
        <f>Image_AI!M6</f>
        <v>0</v>
      </c>
      <c r="H7" t="e" cm="1">
        <f t="array" ref="H7">pareto($F$4:$F$27,$G$4:$G$27,4,"rate",Summary!#REF!,$C$3,$E$3)</f>
        <v>#VALUE!</v>
      </c>
      <c r="I7" t="e" cm="1">
        <f t="array" ref="I7">pareto($F$4:$F$27,$G$4:$G$27,4,"dist",Summary!#REF!,$C$3,$E$3)</f>
        <v>#VALUE!</v>
      </c>
    </row>
    <row r="8" spans="1:9" x14ac:dyDescent="0.25">
      <c r="B8">
        <f>Image_AI!C7</f>
        <v>7.765185437409565E-2</v>
      </c>
      <c r="C8">
        <f>Image_AI!D7</f>
        <v>68.866686708606807</v>
      </c>
      <c r="D8" t="e" cm="1">
        <f t="array" ref="D8">pareto($B$4:$B$27,$C$4:$C$27,5,"rate",Summary!#REF!,$C$3,$E$3)</f>
        <v>#VALUE!</v>
      </c>
      <c r="E8" t="e" cm="1">
        <f t="array" ref="E8">pareto($B$4:$B$27,$C$4:$C$27,5,"dist",Summary!#REF!,$C$3,$E$3)</f>
        <v>#VALUE!</v>
      </c>
      <c r="F8">
        <f>Image_AI!L7</f>
        <v>0</v>
      </c>
      <c r="G8">
        <f>Image_AI!M7</f>
        <v>0</v>
      </c>
      <c r="H8" t="e" cm="1">
        <f t="array" ref="H8">pareto($F$4:$F$27,$G$4:$G$27,5,"rate",Summary!#REF!,$C$3,$E$3)</f>
        <v>#VALUE!</v>
      </c>
      <c r="I8" t="e" cm="1">
        <f t="array" ref="I8">pareto($F$4:$F$27,$G$4:$G$27,5,"dist",Summary!#REF!,$C$3,$E$3)</f>
        <v>#VALUE!</v>
      </c>
    </row>
    <row r="9" spans="1:9" x14ac:dyDescent="0.25">
      <c r="B9">
        <f>Image_AI!C8</f>
        <v>3.757511201873813E-2</v>
      </c>
      <c r="C9">
        <f>Image_AI!D8</f>
        <v>58.081874720680617</v>
      </c>
      <c r="D9" t="e" cm="1">
        <f t="array" ref="D9">pareto($B$4:$B$27,$C$4:$C$27,6,"rate",Summary!#REF!,$C$3,$E$3)</f>
        <v>#VALUE!</v>
      </c>
      <c r="E9" t="e" cm="1">
        <f t="array" ref="E9">pareto($B$4:$B$27,$C$4:$C$27,6,"dist",Summary!#REF!,$C$3,$E$3)</f>
        <v>#VALUE!</v>
      </c>
      <c r="F9">
        <f>Image_AI!L8</f>
        <v>0</v>
      </c>
      <c r="G9">
        <f>Image_AI!M8</f>
        <v>0</v>
      </c>
      <c r="H9" t="e" cm="1">
        <f t="array" ref="H9">pareto($F$4:$F$27,$G$4:$G$27,6,"rate",Summary!#REF!,$C$3,$E$3)</f>
        <v>#VALUE!</v>
      </c>
      <c r="I9" t="e" cm="1">
        <f t="array" ref="I9">pareto($F$4:$F$27,$G$4:$G$27,6,"dist",Summary!#REF!,$C$3,$E$3)</f>
        <v>#VALUE!</v>
      </c>
    </row>
    <row r="28" spans="1:9" x14ac:dyDescent="0.25">
      <c r="A28" t="s">
        <v>143</v>
      </c>
      <c r="B28" t="s">
        <v>40</v>
      </c>
      <c r="C28">
        <v>40.557000000000002</v>
      </c>
      <c r="D28" t="s">
        <v>44</v>
      </c>
      <c r="E28">
        <v>10</v>
      </c>
    </row>
    <row r="29" spans="1:9" x14ac:dyDescent="0.25">
      <c r="B29">
        <f>Image_AI!C9</f>
        <v>1.8919449055989579</v>
      </c>
      <c r="C29">
        <f>Image_AI!D9</f>
        <v>39.296239049684857</v>
      </c>
      <c r="D29" t="e" cm="1">
        <f t="array" ref="D29">pareto($B$29:$B$52,$C$29:$C$52,1,"rate",Summary!#REF!,$C$28,$E$28)</f>
        <v>#VALUE!</v>
      </c>
      <c r="E29" t="e" cm="1">
        <f t="array" ref="E29">pareto($B$29:$B$52,$C$29:$C$52,1,"dist",Summary!#REF!,$C$28,$E$28)</f>
        <v>#VALUE!</v>
      </c>
      <c r="F29">
        <f>Image_AI!L9</f>
        <v>0</v>
      </c>
      <c r="G29">
        <f>Image_AI!M9</f>
        <v>0</v>
      </c>
      <c r="H29" t="e" cm="1">
        <f t="array" ref="H29">pareto($F$29:$F$52,$G$29:$G$52,1,"rate",Summary!#REF!,$C$28,$E$28)</f>
        <v>#VALUE!</v>
      </c>
      <c r="I29" t="e" cm="1">
        <f t="array" ref="I29">pareto($F$29:$F$52,$G$29:$G$52,1,"dist",Summary!#REF!,$C$28,$E$28)</f>
        <v>#VALUE!</v>
      </c>
    </row>
    <row r="30" spans="1:9" x14ac:dyDescent="0.25">
      <c r="B30">
        <f>Image_AI!C10</f>
        <v>1.325424723307292</v>
      </c>
      <c r="C30">
        <f>Image_AI!D10</f>
        <v>39.3102122485192</v>
      </c>
      <c r="D30" t="e" cm="1">
        <f t="array" ref="D30">pareto($B$29:$B$52,$C$29:$C$52,2,"rate",Summary!#REF!,$C$28,$E$28)</f>
        <v>#VALUE!</v>
      </c>
      <c r="E30" t="e" cm="1">
        <f t="array" ref="E30">pareto($B$29:$B$52,$C$29:$C$52,2,"dist",Summary!#REF!,$C$28,$E$28)</f>
        <v>#VALUE!</v>
      </c>
      <c r="F30">
        <f>Image_AI!L10</f>
        <v>0</v>
      </c>
      <c r="G30">
        <f>Image_AI!M10</f>
        <v>0</v>
      </c>
      <c r="H30" t="e" cm="1">
        <f t="array" ref="H30">pareto($F$29:$F$52,$G$29:$G$52,2,"rate",Summary!#REF!,$C$28,$E$28)</f>
        <v>#VALUE!</v>
      </c>
      <c r="I30" t="e" cm="1">
        <f t="array" ref="I30">pareto($F$29:$F$52,$G$29:$G$52,2,"dist",Summary!#REF!,$C$28,$E$28)</f>
        <v>#VALUE!</v>
      </c>
    </row>
    <row r="31" spans="1:9" x14ac:dyDescent="0.25">
      <c r="B31">
        <f>Image_AI!C11</f>
        <v>0.37637988281250001</v>
      </c>
      <c r="C31">
        <f>Image_AI!D11</f>
        <v>39.68214325826672</v>
      </c>
      <c r="D31" t="e" cm="1">
        <f t="array" ref="D31">pareto($B$29:$B$52,$C$29:$C$52,3,"rate",Summary!#REF!,$C$28,$E$28)</f>
        <v>#VALUE!</v>
      </c>
      <c r="E31" t="e" cm="1">
        <f t="array" ref="E31">pareto($B$29:$B$52,$C$29:$C$52,3,"dist",Summary!#REF!,$C$28,$E$28)</f>
        <v>#VALUE!</v>
      </c>
      <c r="F31">
        <f>Image_AI!L11</f>
        <v>0</v>
      </c>
      <c r="G31">
        <f>Image_AI!M11</f>
        <v>0</v>
      </c>
      <c r="H31" t="e" cm="1">
        <f t="array" ref="H31">pareto($F$29:$F$52,$G$29:$G$52,3,"rate",Summary!#REF!,$C$28,$E$28)</f>
        <v>#VALUE!</v>
      </c>
      <c r="I31" t="e" cm="1">
        <f t="array" ref="I31">pareto($F$29:$F$52,$G$29:$G$52,3,"dist",Summary!#REF!,$C$28,$E$28)</f>
        <v>#VALUE!</v>
      </c>
    </row>
    <row r="32" spans="1:9" x14ac:dyDescent="0.25">
      <c r="B32">
        <f>Image_AI!C12</f>
        <v>0.14596468098958329</v>
      </c>
      <c r="C32">
        <f>Image_AI!D12</f>
        <v>34.579273871540117</v>
      </c>
      <c r="D32" t="e" cm="1">
        <f t="array" ref="D32">pareto($B$29:$B$52,$C$29:$C$52,4,"rate",Summary!#REF!,$C$28,$E$28)</f>
        <v>#VALUE!</v>
      </c>
      <c r="E32" t="e" cm="1">
        <f t="array" ref="E32">pareto($B$29:$B$52,$C$29:$C$52,4,"dist",Summary!#REF!,$C$28,$E$28)</f>
        <v>#VALUE!</v>
      </c>
      <c r="F32">
        <f>Image_AI!L12</f>
        <v>0</v>
      </c>
      <c r="G32">
        <f>Image_AI!M12</f>
        <v>0</v>
      </c>
      <c r="H32" t="e" cm="1">
        <f t="array" ref="H32">pareto($F$29:$F$52,$G$29:$G$52,4,"rate",Summary!#REF!,$C$28,$E$28)</f>
        <v>#VALUE!</v>
      </c>
      <c r="I32" t="e" cm="1">
        <f t="array" ref="I32">pareto($F$29:$F$52,$G$29:$G$52,4,"dist",Summary!#REF!,$C$28,$E$28)</f>
        <v>#VALUE!</v>
      </c>
    </row>
    <row r="33" spans="2:9" x14ac:dyDescent="0.25">
      <c r="B33">
        <f>Image_AI!C13</f>
        <v>7.2636474609375001E-2</v>
      </c>
      <c r="C33">
        <f>Image_AI!D13</f>
        <v>24.90526514508851</v>
      </c>
      <c r="D33" t="e" cm="1">
        <f t="array" ref="D33">pareto($B$29:$B$52,$C$29:$C$52,5,"rate",Summary!#REF!,$C$28,$E$28)</f>
        <v>#VALUE!</v>
      </c>
      <c r="E33" t="e" cm="1">
        <f t="array" ref="E33">pareto($B$29:$B$52,$C$29:$C$52,5,"dist",Summary!#REF!,$C$28,$E$28)</f>
        <v>#VALUE!</v>
      </c>
      <c r="F33">
        <f>Image_AI!L13</f>
        <v>0</v>
      </c>
      <c r="G33">
        <f>Image_AI!M13</f>
        <v>0</v>
      </c>
      <c r="H33" t="e" cm="1">
        <f t="array" ref="H33">pareto($F$29:$F$52,$G$29:$G$52,5,"rate",Summary!#REF!,$C$28,$E$28)</f>
        <v>#VALUE!</v>
      </c>
      <c r="I33" t="e" cm="1">
        <f t="array" ref="I33">pareto($F$29:$F$52,$G$29:$G$52,5,"dist",Summary!#REF!,$C$28,$E$28)</f>
        <v>#VALUE!</v>
      </c>
    </row>
    <row r="34" spans="2:9" x14ac:dyDescent="0.25">
      <c r="B34">
        <f>Image_AI!C14</f>
        <v>3.421573893229167E-2</v>
      </c>
      <c r="C34">
        <f>Image_AI!D14</f>
        <v>12.761267236465679</v>
      </c>
      <c r="D34" t="e" cm="1">
        <f t="array" ref="D34">pareto($B$29:$B$52,$C$29:$C$52,6,"rate",Summary!#REF!,$C$28,$E$28)</f>
        <v>#VALUE!</v>
      </c>
      <c r="E34" t="e" cm="1">
        <f t="array" ref="E34">pareto($B$29:$B$52,$C$29:$C$52,6,"dist",Summary!#REF!,$C$28,$E$28)</f>
        <v>#VALUE!</v>
      </c>
      <c r="F34">
        <f>Image_AI!L14</f>
        <v>0</v>
      </c>
      <c r="G34">
        <f>Image_AI!M14</f>
        <v>0</v>
      </c>
      <c r="H34" t="e" cm="1">
        <f t="array" ref="H34">pareto($F$29:$F$52,$G$29:$G$52,6,"rate",Summary!#REF!,$C$28,$E$28)</f>
        <v>#VALUE!</v>
      </c>
      <c r="I34" t="e" cm="1">
        <f t="array" ref="I34">pareto($F$29:$F$52,$G$29:$G$52,6,"dist",Summary!#REF!,$C$28,$E$28)</f>
        <v>#VALUE!</v>
      </c>
    </row>
    <row r="53" spans="1:9" x14ac:dyDescent="0.25">
      <c r="A53" t="s">
        <v>144</v>
      </c>
      <c r="B53" t="s">
        <v>40</v>
      </c>
      <c r="C53">
        <v>56.082490111528898</v>
      </c>
      <c r="D53" t="s">
        <v>44</v>
      </c>
      <c r="E53">
        <v>10</v>
      </c>
    </row>
    <row r="54" spans="1:9" x14ac:dyDescent="0.25">
      <c r="B54">
        <f>Image_AI!C15</f>
        <v>0.47493371634686898</v>
      </c>
      <c r="C54">
        <f>Image_AI!D15</f>
        <v>55.690112840063307</v>
      </c>
      <c r="D54" t="e" cm="1">
        <f t="array" ref="D54">pareto($B$54:$B$77,$C$54:$C$77,1,"rate",Summary!#REF!,$C$53,$E$53)</f>
        <v>#VALUE!</v>
      </c>
      <c r="E54" t="e" cm="1">
        <f t="array" ref="E54">pareto($B$54:$B$77,$C$54:$C$77,1,"dist",Summary!#REF!,$C$53,$E$53)</f>
        <v>#VALUE!</v>
      </c>
      <c r="F54">
        <f>Image_AI!L15</f>
        <v>0</v>
      </c>
      <c r="G54">
        <f>Image_AI!M15</f>
        <v>0</v>
      </c>
      <c r="H54" t="e" cm="1">
        <f t="array" ref="H54">pareto($F$54:$F$77,$G$54:$G$77,1,"rate",Summary!#REF!,$C$53,$E$53)</f>
        <v>#VALUE!</v>
      </c>
      <c r="I54" t="e" cm="1">
        <f t="array" ref="I54">pareto($F$54:$F$77,$G$54:$G$77,1,"dist",Summary!#REF!,$C$53,$E$53)</f>
        <v>#VALUE!</v>
      </c>
    </row>
    <row r="55" spans="1:9" x14ac:dyDescent="0.25">
      <c r="B55">
        <f>Image_AI!C16</f>
        <v>0.26638358991521638</v>
      </c>
      <c r="C55">
        <f>Image_AI!D16</f>
        <v>53.778645917272968</v>
      </c>
      <c r="D55" t="e" cm="1">
        <f t="array" ref="D55">pareto($B$54:$B$77,$C$54:$C$77,2,"rate",Summary!#REF!,$C$53,$E$53)</f>
        <v>#VALUE!</v>
      </c>
      <c r="E55" t="e" cm="1">
        <f t="array" ref="E55">pareto($B$54:$B$77,$C$54:$C$77,2,"dist",Summary!#REF!,$C$53,$E$53)</f>
        <v>#VALUE!</v>
      </c>
      <c r="F55">
        <f>Image_AI!L16</f>
        <v>0</v>
      </c>
      <c r="G55">
        <f>Image_AI!M16</f>
        <v>0</v>
      </c>
      <c r="H55" t="e" cm="1">
        <f t="array" ref="H55">pareto($F$54:$F$77,$G$54:$G$77,2,"rate",Summary!#REF!,$C$53,$E$53)</f>
        <v>#VALUE!</v>
      </c>
      <c r="I55" t="e" cm="1">
        <f t="array" ref="I55">pareto($F$54:$F$77,$G$54:$G$77,2,"dist",Summary!#REF!,$C$53,$E$53)</f>
        <v>#VALUE!</v>
      </c>
    </row>
    <row r="56" spans="1:9" x14ac:dyDescent="0.25">
      <c r="B56">
        <f>Image_AI!C17</f>
        <v>0.14510904730031229</v>
      </c>
      <c r="C56">
        <f>Image_AI!D17</f>
        <v>50.660653293383859</v>
      </c>
      <c r="D56" t="e" cm="1">
        <f t="array" ref="D56">pareto($B$54:$B$77,$C$54:$C$77,3,"rate",Summary!#REF!,$C$53,$E$53)</f>
        <v>#VALUE!</v>
      </c>
      <c r="E56" t="e" cm="1">
        <f t="array" ref="E56">pareto($B$54:$B$77,$C$54:$C$77,3,"dist",Summary!#REF!,$C$53,$E$53)</f>
        <v>#VALUE!</v>
      </c>
      <c r="F56">
        <f>Image_AI!L17</f>
        <v>0</v>
      </c>
      <c r="G56">
        <f>Image_AI!M17</f>
        <v>0</v>
      </c>
      <c r="H56" t="e" cm="1">
        <f t="array" ref="H56">pareto($F$54:$F$77,$G$54:$G$77,3,"rate",Summary!#REF!,$C$53,$E$53)</f>
        <v>#VALUE!</v>
      </c>
      <c r="I56" t="e" cm="1">
        <f t="array" ref="I56">pareto($F$54:$F$77,$G$54:$G$77,3,"dist",Summary!#REF!,$C$53,$E$53)</f>
        <v>#VALUE!</v>
      </c>
    </row>
    <row r="57" spans="1:9" x14ac:dyDescent="0.25">
      <c r="B57">
        <f>Image_AI!C18</f>
        <v>7.5285517068273092E-2</v>
      </c>
      <c r="C57">
        <f>Image_AI!D18</f>
        <v>45.279398643700368</v>
      </c>
      <c r="D57" t="e" cm="1">
        <f t="array" ref="D57">pareto($B$54:$B$77,$C$54:$C$77,4,"rate",Summary!#REF!,$C$53,$E$53)</f>
        <v>#VALUE!</v>
      </c>
      <c r="E57" t="e" cm="1">
        <f t="array" ref="E57">pareto($B$54:$B$77,$C$54:$C$77,4,"dist",Summary!#REF!,$C$53,$E$53)</f>
        <v>#VALUE!</v>
      </c>
      <c r="F57">
        <f>Image_AI!L18</f>
        <v>0</v>
      </c>
      <c r="G57">
        <f>Image_AI!M18</f>
        <v>0</v>
      </c>
      <c r="H57" t="e" cm="1">
        <f t="array" ref="H57">pareto($F$54:$F$77,$G$54:$G$77,4,"rate",Summary!#REF!,$C$53,$E$53)</f>
        <v>#VALUE!</v>
      </c>
      <c r="I57" t="e" cm="1">
        <f t="array" ref="I57">pareto($F$54:$F$77,$G$54:$G$77,4,"dist",Summary!#REF!,$C$53,$E$53)</f>
        <v>#VALUE!</v>
      </c>
    </row>
    <row r="58" spans="1:9" x14ac:dyDescent="0.25">
      <c r="B58">
        <f>Image_AI!C19</f>
        <v>3.7149709950914767E-2</v>
      </c>
      <c r="C58">
        <f>Image_AI!D19</f>
        <v>38.523570450059609</v>
      </c>
      <c r="D58" t="e" cm="1">
        <f t="array" ref="D58">pareto($B$54:$B$77,$C$54:$C$77,5,"rate",Summary!#REF!,$C$53,$E$53)</f>
        <v>#VALUE!</v>
      </c>
      <c r="E58" t="e" cm="1">
        <f t="array" ref="E58">pareto($B$54:$B$77,$C$54:$C$77,5,"dist",Summary!#REF!,$C$53,$E$53)</f>
        <v>#VALUE!</v>
      </c>
      <c r="F58">
        <f>Image_AI!L19</f>
        <v>0</v>
      </c>
      <c r="G58">
        <f>Image_AI!M19</f>
        <v>0</v>
      </c>
      <c r="H58" t="e" cm="1">
        <f t="array" ref="H58">pareto($F$54:$F$77,$G$54:$G$77,5,"rate",Summary!#REF!,$C$53,$E$53)</f>
        <v>#VALUE!</v>
      </c>
      <c r="I58" t="e" cm="1">
        <f t="array" ref="I58">pareto($F$54:$F$77,$G$54:$G$77,5,"dist",Summary!#REF!,$C$53,$E$53)</f>
        <v>#VALUE!</v>
      </c>
    </row>
    <row r="59" spans="1:9" x14ac:dyDescent="0.25">
      <c r="B59">
        <f>Image_AI!C20</f>
        <v>1.746406923992265E-2</v>
      </c>
      <c r="C59">
        <f>Image_AI!D20</f>
        <v>20.117992234421841</v>
      </c>
      <c r="D59" t="e" cm="1">
        <f t="array" ref="D59">pareto($B$54:$B$77,$C$54:$C$77,6,"rate",Summary!#REF!,$C$53,$E$53)</f>
        <v>#VALUE!</v>
      </c>
      <c r="E59" t="e" cm="1">
        <f t="array" ref="E59">pareto($B$54:$B$77,$C$54:$C$77,6,"dist",Summary!#REF!,$C$53,$E$53)</f>
        <v>#VALUE!</v>
      </c>
      <c r="F59">
        <f>Image_AI!L20</f>
        <v>0</v>
      </c>
      <c r="G59">
        <f>Image_AI!M20</f>
        <v>0</v>
      </c>
      <c r="H59" t="e" cm="1">
        <f t="array" ref="H59">pareto($F$54:$F$77,$G$54:$G$77,6,"rate",Summary!#REF!,$C$53,$E$53)</f>
        <v>#VALUE!</v>
      </c>
      <c r="I59" t="e" cm="1">
        <f t="array" ref="I59">pareto($F$54:$F$77,$G$54:$G$77,6,"dist",Summary!#REF!,$C$53,$E$53)</f>
        <v>#VALUE!</v>
      </c>
    </row>
  </sheetData>
  <mergeCells count="4">
    <mergeCell ref="B1:C1"/>
    <mergeCell ref="D1:E1"/>
    <mergeCell ref="F1:G1"/>
    <mergeCell ref="H1:I1"/>
  </mergeCells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7AC0C743A294CADF60F661720E3E6" ma:contentTypeVersion="12" ma:contentTypeDescription="Create a new document." ma:contentTypeScope="" ma:versionID="12a8f9a0a53a093a870d146ced0ea6bf">
  <xsd:schema xmlns:xsd="http://www.w3.org/2001/XMLSchema" xmlns:xs="http://www.w3.org/2001/XMLSchema" xmlns:p="http://schemas.microsoft.com/office/2006/metadata/properties" xmlns:ns3="6f846979-0e6f-42ff-8b87-e1893efeda99" xmlns:ns4="db33437f-65a5-48c5-b537-19efd290f967" targetNamespace="http://schemas.microsoft.com/office/2006/metadata/properties" ma:root="true" ma:fieldsID="73be8c225cdd5e916efe67a64f8e8338" ns3:_="" ns4:_="">
    <xsd:import namespace="6f846979-0e6f-42ff-8b87-e1893efeda99"/>
    <xsd:import namespace="db33437f-65a5-48c5-b537-19efd290f9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846979-0e6f-42ff-8b87-e1893efeda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33437f-65a5-48c5-b537-19efd290f96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94FA72-7B38-4655-AFD4-8EC65F39951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38B169B-5781-47AA-BC26-867C2B5C0CEE}">
  <ds:schemaRefs>
    <ds:schemaRef ds:uri="6f846979-0e6f-42ff-8b87-e1893efeda99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db33437f-65a5-48c5-b537-19efd290f967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E8AFFA4-E522-45FB-9439-161E091BEB0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78BA03C-59B9-416E-A823-2545193AAC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846979-0e6f-42ff-8b87-e1893efeda99"/>
    <ds:schemaRef ds:uri="db33437f-65a5-48c5-b537-19efd290f9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7</vt:i4>
      </vt:variant>
    </vt:vector>
  </HeadingPairs>
  <TitlesOfParts>
    <vt:vector size="19" baseType="lpstr">
      <vt:lpstr>Summary</vt:lpstr>
      <vt:lpstr>SFU-HW_RA</vt:lpstr>
      <vt:lpstr>SFU-HW_LD</vt:lpstr>
      <vt:lpstr>SFU-HW_AI</vt:lpstr>
      <vt:lpstr>TVD_RA</vt:lpstr>
      <vt:lpstr>TVD_LD</vt:lpstr>
      <vt:lpstr>TVD_AI</vt:lpstr>
      <vt:lpstr>Image_AI</vt:lpstr>
      <vt:lpstr>R-D Curve</vt:lpstr>
      <vt:lpstr>Pareto_SFU</vt:lpstr>
      <vt:lpstr>Pareto_TVD</vt:lpstr>
      <vt:lpstr>Pareto_Image</vt:lpstr>
      <vt:lpstr>Action_Recognition</vt:lpstr>
      <vt:lpstr>Instance_Segmentation</vt:lpstr>
      <vt:lpstr>Object_Detection</vt:lpstr>
      <vt:lpstr>Object_Segmentation</vt:lpstr>
      <vt:lpstr>Object_Tracking</vt:lpstr>
      <vt:lpstr>Pose_Estimation</vt:lpstr>
      <vt:lpstr>SFU_HW_sequences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Liu</dc:creator>
  <cp:keywords>CTPClassification=CTP_NT</cp:keywords>
  <cp:lastModifiedBy>B20229</cp:lastModifiedBy>
  <dcterms:created xsi:type="dcterms:W3CDTF">2011-06-30T00:09:01Z</dcterms:created>
  <dcterms:modified xsi:type="dcterms:W3CDTF">2023-10-06T06:38:16Z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ContentTypeId">
    <vt:lpwstr>0x0101003AA7AC0C743A294CADF60F661720E3E6</vt:lpwstr>
  </property>
</Properties>
</file>